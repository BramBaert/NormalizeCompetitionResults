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Resultaten" sheetId="2" state="visible" r:id="rId2"/>
    <sheet name="Klassement" sheetId="3" state="visible" r:id="rId3"/>
    <sheet name="Coëfficiënten" sheetId="4" state="visible" r:id="rId4"/>
  </sheets>
  <definedNames>
    <definedName name="_xlnm.Print_Area" localSheetId="0">'Uitleg'!$A$1:$D$42</definedName>
    <definedName name="_xlnm.Print_Titles" localSheetId="1">'Resultaten'!$4:$6</definedName>
    <definedName name="_xlnm.Print_Area" localSheetId="1">'Resultaten'!$A$1:$AA$66</definedName>
    <definedName name="_xlnm.Print_Titles" localSheetId="2">'Klassement'!$6:$6</definedName>
    <definedName name="_xlnm.Print_Area" localSheetId="2">'Klassement'!$A$1:$Q$126</definedName>
    <definedName name="_xlnm.Print_Area" localSheetId="3">'Coëfficiënten'!$A$1:$AB$6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"/>
  </numFmts>
  <fonts count="1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C8322A"/>
      <sz val="12"/>
    </font>
    <font>
      <name val="Arial"/>
      <b val="1"/>
      <sz val="12"/>
    </font>
    <font>
      <name val="Arial"/>
    </font>
    <font>
      <name val="Arial"/>
      <b val="1"/>
    </font>
    <font>
      <name val="Arial"/>
      <i val="1"/>
      <color rgb="007F7F7F"/>
    </font>
    <font>
      <name val="Arial"/>
      <sz val="10"/>
    </font>
    <font>
      <name val="Arial"/>
      <b val="1"/>
      <color rgb="00F5C55E"/>
    </font>
    <font>
      <name val="Arial"/>
      <b val="1"/>
      <sz val="14"/>
    </font>
    <font>
      <name val="Arial"/>
      <color rgb="007F7F7F"/>
      <sz val="8"/>
    </font>
    <font>
      <name val="Arial"/>
      <b val="1"/>
      <color rgb="00000000"/>
    </font>
    <font>
      <name val="Arial"/>
      <color rgb="007F7F7F"/>
    </font>
    <font>
      <name val="Arial"/>
      <b val="1"/>
      <sz val="2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0" pivotButton="0" quotePrefix="0" xfId="0"/>
    <xf numFmtId="0" fontId="5" fillId="0" borderId="1" applyAlignment="1" pivotButton="0" quotePrefix="0" xfId="0">
      <alignment horizont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2" fillId="0" borderId="1" applyAlignment="1" pivotButton="0" quotePrefix="0" xfId="0">
      <alignment horizontal="center"/>
    </xf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6" fontId="4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</font>
      <fill>
        <patternFill patternType="solid">
          <fgColor rgb="00FBE3A6"/>
        </patternFill>
      </fill>
    </dxf>
    <dxf>
      <font>
        <name val="Arial"/>
        <b val="1"/>
      </font>
      <fill>
        <patternFill patternType="solid">
          <fgColor rgb="00FBE3A6"/>
        </patternFill>
      </fill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ont>
        <name val="Arial"/>
        <b val="1"/>
      </font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ill>
        <patternFill patternType="solid">
          <fgColor rgb="00F5C55E"/>
        </patternFill>
      </fill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ill>
        <patternFill patternType="solid">
          <fgColor rgb="00D9D9D9"/>
        </patternFill>
      </fill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ill>
        <patternFill patternType="solid">
          <fgColor rgb="00E6B48A"/>
        </patternFill>
      </fill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ill>
        <patternFill patternType="solid">
          <fgColor rgb="00F2F2F2"/>
        </patternFill>
      </fill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28700" cy="1000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2" customWidth="1" min="4" max="4"/>
  </cols>
  <sheetData>
    <row r="1" ht="36" customHeight="1">
      <c r="B1" s="1" t="inlineStr">
        <is>
          <t>Schuttersvereniging St. Michiel Roeselare</t>
        </is>
      </c>
    </row>
    <row r="2" ht="36" customHeight="1">
      <c r="B2" s="2" t="inlineStr">
        <is>
          <t>Clubklassement over leeftijdscategorieën en disciplines heen</t>
        </is>
      </c>
    </row>
    <row r="6">
      <c r="B6" s="3" t="inlineStr">
        <is>
          <t>Instellingen</t>
        </is>
      </c>
    </row>
    <row r="7">
      <c r="B7" s="4" t="inlineStr">
        <is>
          <t>Seizoen</t>
        </is>
      </c>
      <c r="C7" s="5" t="n">
        <v>2026</v>
      </c>
      <c r="D7" s="6" t="inlineStr">
        <is>
          <t>Verschijnt in de titels van het klassement</t>
        </is>
      </c>
    </row>
    <row r="8">
      <c r="B8" s="4" t="inlineStr">
        <is>
          <t>Aantal tellende wedstrijden</t>
        </is>
      </c>
      <c r="C8" s="5" t="n">
        <v>5</v>
      </c>
      <c r="D8" s="6" t="inlineStr">
        <is>
          <t>De beste resultaten die meetellen (1 - 10)</t>
        </is>
      </c>
    </row>
    <row r="9">
      <c r="B9" s="4" t="inlineStr">
        <is>
          <t>Schoten per wedstrijd</t>
        </is>
      </c>
      <c r="C9" s="7" t="n">
        <v>30</v>
      </c>
      <c r="D9" s="6" t="inlineStr">
        <is>
          <t>Vast: de coëfficiënten zijn berekend voor 30 schoten</t>
        </is>
      </c>
    </row>
    <row r="12">
      <c r="B12" s="3" t="inlineStr">
        <is>
          <t>Zo gebruik je dit bestand</t>
        </is>
      </c>
    </row>
    <row r="13">
      <c r="B13" s="8" t="inlineStr">
        <is>
          <t>1. Vul op het tabblad 'Resultaten' per schutter de naam, de discipline (LK of LP) en de categorie in.</t>
        </is>
      </c>
    </row>
    <row r="14">
      <c r="B14" s="8" t="inlineStr">
        <is>
          <t xml:space="preserve">   Een schutter die beide disciplines schiet, krijgt een rij per discipline.</t>
        </is>
      </c>
    </row>
    <row r="15">
      <c r="B15" s="8" t="inlineStr">
        <is>
          <t xml:space="preserve">   Vul na elke wedstrijd het resultaat (30 schoten) in: LK met decimalen, LP in gehele getallen.</t>
        </is>
      </c>
    </row>
    <row r="16">
      <c r="B16" s="8" t="inlineStr">
        <is>
          <t xml:space="preserve">   Laat de cel leeg als de schutter niet meedeed.</t>
        </is>
      </c>
    </row>
    <row r="17">
      <c r="B17" s="8" t="inlineStr">
        <is>
          <t>2. Het tabblad 'Klassement' sorteert zichzelf en is klaar om af te drukken. De tellende resultaten zijn gemarkeerd.</t>
        </is>
      </c>
    </row>
    <row r="18">
      <c r="B18" s="8" t="inlineStr">
        <is>
          <t>Alleen de gele cellen invullen, de rest wordt berekend. Rij 1 op 'Resultaten' is een voorbeeld: overschrijf of wis die.</t>
        </is>
      </c>
    </row>
    <row r="21">
      <c r="B21" s="3" t="inlineStr">
        <is>
          <t>Categorieën</t>
        </is>
      </c>
    </row>
    <row r="22">
      <c r="B22" s="9" t="inlineStr">
        <is>
          <t>Categorie</t>
        </is>
      </c>
      <c r="C22" s="9" t="inlineStr">
        <is>
          <t>Groep</t>
        </is>
      </c>
      <c r="D22" s="9" t="inlineStr">
        <is>
          <t>Omschrijving</t>
        </is>
      </c>
    </row>
    <row r="23">
      <c r="B23" s="10" t="inlineStr">
        <is>
          <t>DUV</t>
        </is>
      </c>
      <c r="C23" s="10" t="inlineStr">
        <is>
          <t>DUV</t>
        </is>
      </c>
      <c r="D23" s="10" t="inlineStr">
        <is>
          <t>Duiveltje, &lt; 12 jaar</t>
        </is>
      </c>
    </row>
    <row r="24">
      <c r="B24" s="10" t="inlineStr">
        <is>
          <t>BEN</t>
        </is>
      </c>
      <c r="C24" s="10" t="inlineStr">
        <is>
          <t>BEN</t>
        </is>
      </c>
      <c r="D24" s="10" t="inlineStr">
        <is>
          <t>Benjamin, 12 - 13 jaar</t>
        </is>
      </c>
    </row>
    <row r="25">
      <c r="B25" s="10" t="inlineStr">
        <is>
          <t>CAD</t>
        </is>
      </c>
      <c r="C25" s="10" t="inlineStr">
        <is>
          <t>CAD</t>
        </is>
      </c>
      <c r="D25" s="10" t="inlineStr">
        <is>
          <t>Cadet, 14 - 15 jaar</t>
        </is>
      </c>
    </row>
    <row r="26">
      <c r="B26" s="10" t="inlineStr">
        <is>
          <t>JD</t>
        </is>
      </c>
      <c r="C26" s="10" t="inlineStr">
        <is>
          <t>JUN</t>
        </is>
      </c>
      <c r="D26" s="10" t="inlineStr">
        <is>
          <t>Junior dame, 16 - 20 jaar</t>
        </is>
      </c>
    </row>
    <row r="27">
      <c r="B27" s="10" t="inlineStr">
        <is>
          <t>JH</t>
        </is>
      </c>
      <c r="C27" s="10" t="inlineStr">
        <is>
          <t>JUN</t>
        </is>
      </c>
      <c r="D27" s="10" t="inlineStr">
        <is>
          <t>Junior heer, 16 - 20 jaar</t>
        </is>
      </c>
    </row>
    <row r="28">
      <c r="B28" s="10" t="inlineStr">
        <is>
          <t>D1</t>
        </is>
      </c>
      <c r="C28" s="10" t="inlineStr">
        <is>
          <t>D1 &amp; S1</t>
        </is>
      </c>
      <c r="D28" s="10" t="inlineStr">
        <is>
          <t>Dame 1, 21 - 49 jaar</t>
        </is>
      </c>
    </row>
    <row r="29">
      <c r="B29" s="10" t="inlineStr">
        <is>
          <t>S1</t>
        </is>
      </c>
      <c r="C29" s="10" t="inlineStr">
        <is>
          <t>D1 &amp; S1</t>
        </is>
      </c>
      <c r="D29" s="10" t="inlineStr">
        <is>
          <t>Senioren 1, 21 - 49 jaar</t>
        </is>
      </c>
    </row>
    <row r="30">
      <c r="B30" s="10" t="inlineStr">
        <is>
          <t>D2</t>
        </is>
      </c>
      <c r="C30" s="10" t="inlineStr">
        <is>
          <t>D2 &amp; S2</t>
        </is>
      </c>
      <c r="D30" s="10" t="inlineStr">
        <is>
          <t>Dame 2, 50 - 59 jaar</t>
        </is>
      </c>
    </row>
    <row r="31">
      <c r="B31" s="10" t="inlineStr">
        <is>
          <t>S2</t>
        </is>
      </c>
      <c r="C31" s="10" t="inlineStr">
        <is>
          <t>D2 &amp; S2</t>
        </is>
      </c>
      <c r="D31" s="10" t="inlineStr">
        <is>
          <t>Senioren 2, 50 - 59 jaar</t>
        </is>
      </c>
    </row>
    <row r="32">
      <c r="B32" s="10" t="inlineStr">
        <is>
          <t>D3</t>
        </is>
      </c>
      <c r="C32" s="10" t="inlineStr">
        <is>
          <t>D3 &amp; S3</t>
        </is>
      </c>
      <c r="D32" s="10" t="inlineStr">
        <is>
          <t>Dame 3, 60+ jaar</t>
        </is>
      </c>
    </row>
    <row r="33">
      <c r="B33" s="10" t="inlineStr">
        <is>
          <t>S3</t>
        </is>
      </c>
      <c r="C33" s="10" t="inlineStr">
        <is>
          <t>D3 &amp; S3</t>
        </is>
      </c>
      <c r="D33" s="10" t="inlineStr">
        <is>
          <t>Senioren 3, 60+ jaar</t>
        </is>
      </c>
    </row>
    <row r="36">
      <c r="B36" s="3" t="inlineStr">
        <is>
          <t>Wat betekent 'op 100 schutters'?</t>
        </is>
      </c>
    </row>
    <row r="37">
      <c r="B37" s="8" t="inlineStr">
        <is>
          <t>Jongeren, senioren, luchtkarabijn en luchtpistool halen gemiddeld andere scores. Daarom wordt elk resultaat omgerekend</t>
        </is>
      </c>
    </row>
    <row r="38">
      <c r="B38" s="8" t="inlineStr">
        <is>
          <t>naar een score op 100: stel dat er 100 schutters van jouw leeftijdsgroep en discipline op het Belgisch kampioenschap (BOA)</t>
        </is>
      </c>
    </row>
    <row r="39">
      <c r="B39" s="8" t="inlineStr">
        <is>
          <t>meedoen, hoeveel daarvan zou je dan verslaan? Een score van 60 betekent dat je beter schiet dan 60 van de 100.</t>
        </is>
      </c>
    </row>
    <row r="40">
      <c r="B40" s="8" t="inlineStr">
        <is>
          <t>Dames en heren van dezelfde leeftijd zitten in dezelfde groep: op topniveau scoren ze gelijkwaardig.</t>
        </is>
      </c>
    </row>
    <row r="41">
      <c r="B41" s="8" t="inlineStr">
        <is>
          <t>De coëfficiënten staan op het tabblad 'Coëfficiënten' en worden jaarlijks bijgewerkt met de nieuwe BOA-resultaten.</t>
        </is>
      </c>
    </row>
    <row r="42">
      <c r="B42" s="6" t="inlineStr">
        <is>
          <t>Gegenereerd op 30/10/2026 met github.com/BramBaert/NormalizeCompetitionResults (src/build_club_sheet.py).</t>
        </is>
      </c>
    </row>
  </sheetData>
  <dataValidations count="1">
    <dataValidation sqref="C8" showDropDown="0" showInputMessage="0" showErrorMessage="1" allowBlank="0" errorTitle="Ongeldige waarde" error="Geef een geheel getal tussen 1 en 10." type="whole" operator="between">
      <formula1>1</formula1>
      <formula2>10</formula2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6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10" customWidth="1" min="25" max="25"/>
    <col width="14" customWidth="1" min="26" max="26"/>
    <col width="7" customWidth="1" min="27" max="27"/>
    <col hidden="1" width="7.5" customWidth="1" min="28" max="28"/>
    <col hidden="1" width="7.5" customWidth="1" min="29" max="29"/>
  </cols>
  <sheetData>
    <row r="1" ht="30" customHeight="1">
      <c r="C1" s="1">
        <f>"Resultaten clubcompetitie "&amp;Uitleg!$C$7</f>
        <v/>
      </c>
    </row>
    <row r="2" ht="20" customHeight="1">
      <c r="C2" s="6" t="inlineStr">
        <is>
          <t>Gele cellen invullen: naam, discipline, categorie en resultaat (30 schoten). Leeg laten als de schutter niet meedeed. De rest wordt berekend.</t>
        </is>
      </c>
    </row>
    <row r="4">
      <c r="E4" s="9" t="inlineStr">
        <is>
          <t>Geschoten (30 schoten)</t>
        </is>
      </c>
      <c r="O4" s="9" t="inlineStr">
        <is>
          <t>Op 100 schutters</t>
        </is>
      </c>
    </row>
    <row r="5">
      <c r="AB5">
        <f>Uitleg!$C$8</f>
        <v/>
      </c>
    </row>
    <row r="6" ht="22" customHeight="1">
      <c r="A6" s="9" t="inlineStr">
        <is>
          <t>Nr</t>
        </is>
      </c>
      <c r="B6" s="9" t="inlineStr">
        <is>
          <t>Naam</t>
        </is>
      </c>
      <c r="C6" s="9" t="inlineStr">
        <is>
          <t>Disc.</t>
        </is>
      </c>
      <c r="D6" s="9" t="inlineStr">
        <is>
          <t>Cat.</t>
        </is>
      </c>
      <c r="E6" s="9" t="inlineStr">
        <is>
          <t>W1</t>
        </is>
      </c>
      <c r="F6" s="9" t="inlineStr">
        <is>
          <t>W2</t>
        </is>
      </c>
      <c r="G6" s="9" t="inlineStr">
        <is>
          <t>W3</t>
        </is>
      </c>
      <c r="H6" s="9" t="inlineStr">
        <is>
          <t>W4</t>
        </is>
      </c>
      <c r="I6" s="9" t="inlineStr">
        <is>
          <t>W5</t>
        </is>
      </c>
      <c r="J6" s="9" t="inlineStr">
        <is>
          <t>W6</t>
        </is>
      </c>
      <c r="K6" s="9" t="inlineStr">
        <is>
          <t>W7</t>
        </is>
      </c>
      <c r="L6" s="9" t="inlineStr">
        <is>
          <t>W8</t>
        </is>
      </c>
      <c r="M6" s="9" t="inlineStr">
        <is>
          <t>W9</t>
        </is>
      </c>
      <c r="N6" s="9" t="inlineStr">
        <is>
          <t>W10</t>
        </is>
      </c>
      <c r="O6" s="9" t="inlineStr">
        <is>
          <t>W1</t>
        </is>
      </c>
      <c r="P6" s="9" t="inlineStr">
        <is>
          <t>W2</t>
        </is>
      </c>
      <c r="Q6" s="9" t="inlineStr">
        <is>
          <t>W3</t>
        </is>
      </c>
      <c r="R6" s="9" t="inlineStr">
        <is>
          <t>W4</t>
        </is>
      </c>
      <c r="S6" s="9" t="inlineStr">
        <is>
          <t>W5</t>
        </is>
      </c>
      <c r="T6" s="9" t="inlineStr">
        <is>
          <t>W6</t>
        </is>
      </c>
      <c r="U6" s="9" t="inlineStr">
        <is>
          <t>W7</t>
        </is>
      </c>
      <c r="V6" s="9" t="inlineStr">
        <is>
          <t>W8</t>
        </is>
      </c>
      <c r="W6" s="9" t="inlineStr">
        <is>
          <t>W9</t>
        </is>
      </c>
      <c r="X6" s="9" t="inlineStr">
        <is>
          <t>W10</t>
        </is>
      </c>
      <c r="Y6" s="9">
        <f>"Beste "&amp;Uitleg!$C$8</f>
        <v/>
      </c>
      <c r="Z6" s="9" t="inlineStr">
        <is>
          <t>Gemiddelde</t>
        </is>
      </c>
      <c r="AA6" s="9" t="inlineStr">
        <is>
          <t>Plaats</t>
        </is>
      </c>
      <c r="AB6" s="9" t="inlineStr">
        <is>
          <t>kol</t>
        </is>
      </c>
      <c r="AC6" s="9" t="inlineStr">
        <is>
          <t>sorteer</t>
        </is>
      </c>
    </row>
    <row r="7">
      <c r="A7" s="11">
        <f>ROW()-6</f>
        <v/>
      </c>
      <c r="B7" s="12" t="inlineStr">
        <is>
          <t>Voorbeeld Schutter</t>
        </is>
      </c>
      <c r="C7" s="13" t="inlineStr">
        <is>
          <t>LK</t>
        </is>
      </c>
      <c r="D7" s="13" t="inlineStr">
        <is>
          <t>S2</t>
        </is>
      </c>
      <c r="E7" s="13" t="n">
        <v>287.4</v>
      </c>
      <c r="F7" s="13" t="n">
        <v>291</v>
      </c>
      <c r="G7" s="13" t="n">
        <v>289.6</v>
      </c>
      <c r="H7" s="13" t="n">
        <v>284.2</v>
      </c>
      <c r="I7" s="13" t="n">
        <v>290.3</v>
      </c>
      <c r="J7" s="13" t="n">
        <v>292.1</v>
      </c>
      <c r="K7" s="13" t="n"/>
      <c r="L7" s="13" t="n"/>
      <c r="M7" s="13" t="n"/>
      <c r="N7" s="13" t="n"/>
      <c r="O7" s="14">
        <f>IF(OR($AB7="",N(E7)&lt;=0),"",ROUND(E7*INDEX('Coëfficiënten'!$A$7:$AB$1006,MATCH(E7,INDEX('Coëfficiënten'!$A$7:$AB$1006,0,$AB7),1),$AB7+1),1))</f>
        <v/>
      </c>
      <c r="P7" s="14">
        <f>IF(OR($AB7="",N(F7)&lt;=0),"",ROUND(F7*INDEX('Coëfficiënten'!$A$7:$AB$1006,MATCH(F7,INDEX('Coëfficiënten'!$A$7:$AB$1006,0,$AB7),1),$AB7+1),1))</f>
        <v/>
      </c>
      <c r="Q7" s="14">
        <f>IF(OR($AB7="",N(G7)&lt;=0),"",ROUND(G7*INDEX('Coëfficiënten'!$A$7:$AB$1006,MATCH(G7,INDEX('Coëfficiënten'!$A$7:$AB$1006,0,$AB7),1),$AB7+1),1))</f>
        <v/>
      </c>
      <c r="R7" s="14">
        <f>IF(OR($AB7="",N(H7)&lt;=0),"",ROUND(H7*INDEX('Coëfficiënten'!$A$7:$AB$1006,MATCH(H7,INDEX('Coëfficiënten'!$A$7:$AB$1006,0,$AB7),1),$AB7+1),1))</f>
        <v/>
      </c>
      <c r="S7" s="14">
        <f>IF(OR($AB7="",N(I7)&lt;=0),"",ROUND(I7*INDEX('Coëfficiënten'!$A$7:$AB$1006,MATCH(I7,INDEX('Coëfficiënten'!$A$7:$AB$1006,0,$AB7),1),$AB7+1),1))</f>
        <v/>
      </c>
      <c r="T7" s="14">
        <f>IF(OR($AB7="",N(J7)&lt;=0),"",ROUND(J7*INDEX('Coëfficiënten'!$A$7:$AB$1006,MATCH(J7,INDEX('Coëfficiënten'!$A$7:$AB$1006,0,$AB7),1),$AB7+1),1))</f>
        <v/>
      </c>
      <c r="U7" s="14">
        <f>IF(OR($AB7="",N(K7)&lt;=0),"",ROUND(K7*INDEX('Coëfficiënten'!$A$7:$AB$1006,MATCH(K7,INDEX('Coëfficiënten'!$A$7:$AB$1006,0,$AB7),1),$AB7+1),1))</f>
        <v/>
      </c>
      <c r="V7" s="14">
        <f>IF(OR($AB7="",N(L7)&lt;=0),"",ROUND(L7*INDEX('Coëfficiënten'!$A$7:$AB$1006,MATCH(L7,INDEX('Coëfficiënten'!$A$7:$AB$1006,0,$AB7),1),$AB7+1),1))</f>
        <v/>
      </c>
      <c r="W7" s="14">
        <f>IF(OR($AB7="",N(M7)&lt;=0),"",ROUND(M7*INDEX('Coëfficiënten'!$A$7:$AB$1006,MATCH(M7,INDEX('Coëfficiënten'!$A$7:$AB$1006,0,$AB7),1),$AB7+1),1))</f>
        <v/>
      </c>
      <c r="X7" s="14">
        <f>IF(OR($AB7="",N(N7)&lt;=0),"",ROUND(N7*INDEX('Coëfficiënten'!$A$7:$AB$1006,MATCH(N7,INDEX('Coëfficiënten'!$A$7:$AB$1006,0,$AB7),1),$AB7+1),1))</f>
        <v/>
      </c>
      <c r="Y7" s="15">
        <f>IF(OR($B7="",COUNT($O7:$X7)=0),"",IFERROR(LARGE($O7:$X7,1),0)*($AB$5&gt;=1)+IFERROR(LARGE($O7:$X7,2),0)*($AB$5&gt;=2)+IFERROR(LARGE($O7:$X7,3),0)*($AB$5&gt;=3)+IFERROR(LARGE($O7:$X7,4),0)*($AB$5&gt;=4)+IFERROR(LARGE($O7:$X7,5),0)*($AB$5&gt;=5)+IFERROR(LARGE($O7:$X7,6),0)*($AB$5&gt;=6)+IFERROR(LARGE($O7:$X7,7),0)*($AB$5&gt;=7)+IFERROR(LARGE($O7:$X7,8),0)*($AB$5&gt;=8)+IFERROR(LARGE($O7:$X7,9),0)*($AB$5&gt;=9)+IFERROR(LARGE($O7:$X7,10),0)*($AB$5&gt;=10))</f>
        <v/>
      </c>
      <c r="Z7" s="14">
        <f>IF(N($Y7)=0,"",$Y7/MIN($AB$5,COUNT($O7:$X7)))</f>
        <v/>
      </c>
      <c r="AA7" s="7">
        <f>IF(N($Y7)=0,"",RANK($Y7,$Y$7:$Y$66))</f>
        <v/>
      </c>
      <c r="AB7" s="11">
        <f>IF(OR($C7="",$D7=""),"",IFERROR(MATCH($C7&amp;"|"&amp;VLOOKUP($D7,Uitleg!$B$23:$C$33,2,FALSE),'Coëfficiënten'!$A$5:$AB$5,0),""))</f>
        <v/>
      </c>
      <c r="AC7" s="11">
        <f>IF(N($Y7)=0,"",$Y7+(67-ROW())/1000000000)</f>
        <v/>
      </c>
    </row>
    <row r="8">
      <c r="A8" s="11">
        <f>ROW()-6</f>
        <v/>
      </c>
      <c r="B8" s="12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4">
        <f>IF(OR($AB8="",N(E8)&lt;=0),"",ROUND(E8*INDEX('Coëfficiënten'!$A$7:$AB$1006,MATCH(E8,INDEX('Coëfficiënten'!$A$7:$AB$1006,0,$AB8),1),$AB8+1),1))</f>
        <v/>
      </c>
      <c r="P8" s="14">
        <f>IF(OR($AB8="",N(F8)&lt;=0),"",ROUND(F8*INDEX('Coëfficiënten'!$A$7:$AB$1006,MATCH(F8,INDEX('Coëfficiënten'!$A$7:$AB$1006,0,$AB8),1),$AB8+1),1))</f>
        <v/>
      </c>
      <c r="Q8" s="14">
        <f>IF(OR($AB8="",N(G8)&lt;=0),"",ROUND(G8*INDEX('Coëfficiënten'!$A$7:$AB$1006,MATCH(G8,INDEX('Coëfficiënten'!$A$7:$AB$1006,0,$AB8),1),$AB8+1),1))</f>
        <v/>
      </c>
      <c r="R8" s="14">
        <f>IF(OR($AB8="",N(H8)&lt;=0),"",ROUND(H8*INDEX('Coëfficiënten'!$A$7:$AB$1006,MATCH(H8,INDEX('Coëfficiënten'!$A$7:$AB$1006,0,$AB8),1),$AB8+1),1))</f>
        <v/>
      </c>
      <c r="S8" s="14">
        <f>IF(OR($AB8="",N(I8)&lt;=0),"",ROUND(I8*INDEX('Coëfficiënten'!$A$7:$AB$1006,MATCH(I8,INDEX('Coëfficiënten'!$A$7:$AB$1006,0,$AB8),1),$AB8+1),1))</f>
        <v/>
      </c>
      <c r="T8" s="14">
        <f>IF(OR($AB8="",N(J8)&lt;=0),"",ROUND(J8*INDEX('Coëfficiënten'!$A$7:$AB$1006,MATCH(J8,INDEX('Coëfficiënten'!$A$7:$AB$1006,0,$AB8),1),$AB8+1),1))</f>
        <v/>
      </c>
      <c r="U8" s="14">
        <f>IF(OR($AB8="",N(K8)&lt;=0),"",ROUND(K8*INDEX('Coëfficiënten'!$A$7:$AB$1006,MATCH(K8,INDEX('Coëfficiënten'!$A$7:$AB$1006,0,$AB8),1),$AB8+1),1))</f>
        <v/>
      </c>
      <c r="V8" s="14">
        <f>IF(OR($AB8="",N(L8)&lt;=0),"",ROUND(L8*INDEX('Coëfficiënten'!$A$7:$AB$1006,MATCH(L8,INDEX('Coëfficiënten'!$A$7:$AB$1006,0,$AB8),1),$AB8+1),1))</f>
        <v/>
      </c>
      <c r="W8" s="14">
        <f>IF(OR($AB8="",N(M8)&lt;=0),"",ROUND(M8*INDEX('Coëfficiënten'!$A$7:$AB$1006,MATCH(M8,INDEX('Coëfficiënten'!$A$7:$AB$1006,0,$AB8),1),$AB8+1),1))</f>
        <v/>
      </c>
      <c r="X8" s="14">
        <f>IF(OR($AB8="",N(N8)&lt;=0),"",ROUND(N8*INDEX('Coëfficiënten'!$A$7:$AB$1006,MATCH(N8,INDEX('Coëfficiënten'!$A$7:$AB$1006,0,$AB8),1),$AB8+1),1))</f>
        <v/>
      </c>
      <c r="Y8" s="15">
        <f>IF(OR($B8="",COUNT($O8:$X8)=0),"",IFERROR(LARGE($O8:$X8,1),0)*($AB$5&gt;=1)+IFERROR(LARGE($O8:$X8,2),0)*($AB$5&gt;=2)+IFERROR(LARGE($O8:$X8,3),0)*($AB$5&gt;=3)+IFERROR(LARGE($O8:$X8,4),0)*($AB$5&gt;=4)+IFERROR(LARGE($O8:$X8,5),0)*($AB$5&gt;=5)+IFERROR(LARGE($O8:$X8,6),0)*($AB$5&gt;=6)+IFERROR(LARGE($O8:$X8,7),0)*($AB$5&gt;=7)+IFERROR(LARGE($O8:$X8,8),0)*($AB$5&gt;=8)+IFERROR(LARGE($O8:$X8,9),0)*($AB$5&gt;=9)+IFERROR(LARGE($O8:$X8,10),0)*($AB$5&gt;=10))</f>
        <v/>
      </c>
      <c r="Z8" s="14">
        <f>IF(N($Y8)=0,"",$Y8/MIN($AB$5,COUNT($O8:$X8)))</f>
        <v/>
      </c>
      <c r="AA8" s="7">
        <f>IF(N($Y8)=0,"",RANK($Y8,$Y$7:$Y$66))</f>
        <v/>
      </c>
      <c r="AB8" s="11">
        <f>IF(OR($C8="",$D8=""),"",IFERROR(MATCH($C8&amp;"|"&amp;VLOOKUP($D8,Uitleg!$B$23:$C$33,2,FALSE),'Coëfficiënten'!$A$5:$AB$5,0),""))</f>
        <v/>
      </c>
      <c r="AC8" s="11">
        <f>IF(N($Y8)=0,"",$Y8+(67-ROW())/1000000000)</f>
        <v/>
      </c>
    </row>
    <row r="9">
      <c r="A9" s="11">
        <f>ROW()-6</f>
        <v/>
      </c>
      <c r="B9" s="12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4">
        <f>IF(OR($AB9="",N(E9)&lt;=0),"",ROUND(E9*INDEX('Coëfficiënten'!$A$7:$AB$1006,MATCH(E9,INDEX('Coëfficiënten'!$A$7:$AB$1006,0,$AB9),1),$AB9+1),1))</f>
        <v/>
      </c>
      <c r="P9" s="14">
        <f>IF(OR($AB9="",N(F9)&lt;=0),"",ROUND(F9*INDEX('Coëfficiënten'!$A$7:$AB$1006,MATCH(F9,INDEX('Coëfficiënten'!$A$7:$AB$1006,0,$AB9),1),$AB9+1),1))</f>
        <v/>
      </c>
      <c r="Q9" s="14">
        <f>IF(OR($AB9="",N(G9)&lt;=0),"",ROUND(G9*INDEX('Coëfficiënten'!$A$7:$AB$1006,MATCH(G9,INDEX('Coëfficiënten'!$A$7:$AB$1006,0,$AB9),1),$AB9+1),1))</f>
        <v/>
      </c>
      <c r="R9" s="14">
        <f>IF(OR($AB9="",N(H9)&lt;=0),"",ROUND(H9*INDEX('Coëfficiënten'!$A$7:$AB$1006,MATCH(H9,INDEX('Coëfficiënten'!$A$7:$AB$1006,0,$AB9),1),$AB9+1),1))</f>
        <v/>
      </c>
      <c r="S9" s="14">
        <f>IF(OR($AB9="",N(I9)&lt;=0),"",ROUND(I9*INDEX('Coëfficiënten'!$A$7:$AB$1006,MATCH(I9,INDEX('Coëfficiënten'!$A$7:$AB$1006,0,$AB9),1),$AB9+1),1))</f>
        <v/>
      </c>
      <c r="T9" s="14">
        <f>IF(OR($AB9="",N(J9)&lt;=0),"",ROUND(J9*INDEX('Coëfficiënten'!$A$7:$AB$1006,MATCH(J9,INDEX('Coëfficiënten'!$A$7:$AB$1006,0,$AB9),1),$AB9+1),1))</f>
        <v/>
      </c>
      <c r="U9" s="14">
        <f>IF(OR($AB9="",N(K9)&lt;=0),"",ROUND(K9*INDEX('Coëfficiënten'!$A$7:$AB$1006,MATCH(K9,INDEX('Coëfficiënten'!$A$7:$AB$1006,0,$AB9),1),$AB9+1),1))</f>
        <v/>
      </c>
      <c r="V9" s="14">
        <f>IF(OR($AB9="",N(L9)&lt;=0),"",ROUND(L9*INDEX('Coëfficiënten'!$A$7:$AB$1006,MATCH(L9,INDEX('Coëfficiënten'!$A$7:$AB$1006,0,$AB9),1),$AB9+1),1))</f>
        <v/>
      </c>
      <c r="W9" s="14">
        <f>IF(OR($AB9="",N(M9)&lt;=0),"",ROUND(M9*INDEX('Coëfficiënten'!$A$7:$AB$1006,MATCH(M9,INDEX('Coëfficiënten'!$A$7:$AB$1006,0,$AB9),1),$AB9+1),1))</f>
        <v/>
      </c>
      <c r="X9" s="14">
        <f>IF(OR($AB9="",N(N9)&lt;=0),"",ROUND(N9*INDEX('Coëfficiënten'!$A$7:$AB$1006,MATCH(N9,INDEX('Coëfficiënten'!$A$7:$AB$1006,0,$AB9),1),$AB9+1),1))</f>
        <v/>
      </c>
      <c r="Y9" s="15">
        <f>IF(OR($B9="",COUNT($O9:$X9)=0),"",IFERROR(LARGE($O9:$X9,1),0)*($AB$5&gt;=1)+IFERROR(LARGE($O9:$X9,2),0)*($AB$5&gt;=2)+IFERROR(LARGE($O9:$X9,3),0)*($AB$5&gt;=3)+IFERROR(LARGE($O9:$X9,4),0)*($AB$5&gt;=4)+IFERROR(LARGE($O9:$X9,5),0)*($AB$5&gt;=5)+IFERROR(LARGE($O9:$X9,6),0)*($AB$5&gt;=6)+IFERROR(LARGE($O9:$X9,7),0)*($AB$5&gt;=7)+IFERROR(LARGE($O9:$X9,8),0)*($AB$5&gt;=8)+IFERROR(LARGE($O9:$X9,9),0)*($AB$5&gt;=9)+IFERROR(LARGE($O9:$X9,10),0)*($AB$5&gt;=10))</f>
        <v/>
      </c>
      <c r="Z9" s="14">
        <f>IF(N($Y9)=0,"",$Y9/MIN($AB$5,COUNT($O9:$X9)))</f>
        <v/>
      </c>
      <c r="AA9" s="7">
        <f>IF(N($Y9)=0,"",RANK($Y9,$Y$7:$Y$66))</f>
        <v/>
      </c>
      <c r="AB9" s="11">
        <f>IF(OR($C9="",$D9=""),"",IFERROR(MATCH($C9&amp;"|"&amp;VLOOKUP($D9,Uitleg!$B$23:$C$33,2,FALSE),'Coëfficiënten'!$A$5:$AB$5,0),""))</f>
        <v/>
      </c>
      <c r="AC9" s="11">
        <f>IF(N($Y9)=0,"",$Y9+(67-ROW())/1000000000)</f>
        <v/>
      </c>
    </row>
    <row r="10">
      <c r="A10" s="11">
        <f>ROW()-6</f>
        <v/>
      </c>
      <c r="B10" s="12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4">
        <f>IF(OR($AB10="",N(E10)&lt;=0),"",ROUND(E10*INDEX('Coëfficiënten'!$A$7:$AB$1006,MATCH(E10,INDEX('Coëfficiënten'!$A$7:$AB$1006,0,$AB10),1),$AB10+1),1))</f>
        <v/>
      </c>
      <c r="P10" s="14">
        <f>IF(OR($AB10="",N(F10)&lt;=0),"",ROUND(F10*INDEX('Coëfficiënten'!$A$7:$AB$1006,MATCH(F10,INDEX('Coëfficiënten'!$A$7:$AB$1006,0,$AB10),1),$AB10+1),1))</f>
        <v/>
      </c>
      <c r="Q10" s="14">
        <f>IF(OR($AB10="",N(G10)&lt;=0),"",ROUND(G10*INDEX('Coëfficiënten'!$A$7:$AB$1006,MATCH(G10,INDEX('Coëfficiënten'!$A$7:$AB$1006,0,$AB10),1),$AB10+1),1))</f>
        <v/>
      </c>
      <c r="R10" s="14">
        <f>IF(OR($AB10="",N(H10)&lt;=0),"",ROUND(H10*INDEX('Coëfficiënten'!$A$7:$AB$1006,MATCH(H10,INDEX('Coëfficiënten'!$A$7:$AB$1006,0,$AB10),1),$AB10+1),1))</f>
        <v/>
      </c>
      <c r="S10" s="14">
        <f>IF(OR($AB10="",N(I10)&lt;=0),"",ROUND(I10*INDEX('Coëfficiënten'!$A$7:$AB$1006,MATCH(I10,INDEX('Coëfficiënten'!$A$7:$AB$1006,0,$AB10),1),$AB10+1),1))</f>
        <v/>
      </c>
      <c r="T10" s="14">
        <f>IF(OR($AB10="",N(J10)&lt;=0),"",ROUND(J10*INDEX('Coëfficiënten'!$A$7:$AB$1006,MATCH(J10,INDEX('Coëfficiënten'!$A$7:$AB$1006,0,$AB10),1),$AB10+1),1))</f>
        <v/>
      </c>
      <c r="U10" s="14">
        <f>IF(OR($AB10="",N(K10)&lt;=0),"",ROUND(K10*INDEX('Coëfficiënten'!$A$7:$AB$1006,MATCH(K10,INDEX('Coëfficiënten'!$A$7:$AB$1006,0,$AB10),1),$AB10+1),1))</f>
        <v/>
      </c>
      <c r="V10" s="14">
        <f>IF(OR($AB10="",N(L10)&lt;=0),"",ROUND(L10*INDEX('Coëfficiënten'!$A$7:$AB$1006,MATCH(L10,INDEX('Coëfficiënten'!$A$7:$AB$1006,0,$AB10),1),$AB10+1),1))</f>
        <v/>
      </c>
      <c r="W10" s="14">
        <f>IF(OR($AB10="",N(M10)&lt;=0),"",ROUND(M10*INDEX('Coëfficiënten'!$A$7:$AB$1006,MATCH(M10,INDEX('Coëfficiënten'!$A$7:$AB$1006,0,$AB10),1),$AB10+1),1))</f>
        <v/>
      </c>
      <c r="X10" s="14">
        <f>IF(OR($AB10="",N(N10)&lt;=0),"",ROUND(N10*INDEX('Coëfficiënten'!$A$7:$AB$1006,MATCH(N10,INDEX('Coëfficiënten'!$A$7:$AB$1006,0,$AB10),1),$AB10+1),1))</f>
        <v/>
      </c>
      <c r="Y10" s="15">
        <f>IF(OR($B10="",COUNT($O10:$X10)=0),"",IFERROR(LARGE($O10:$X10,1),0)*($AB$5&gt;=1)+IFERROR(LARGE($O10:$X10,2),0)*($AB$5&gt;=2)+IFERROR(LARGE($O10:$X10,3),0)*($AB$5&gt;=3)+IFERROR(LARGE($O10:$X10,4),0)*($AB$5&gt;=4)+IFERROR(LARGE($O10:$X10,5),0)*($AB$5&gt;=5)+IFERROR(LARGE($O10:$X10,6),0)*($AB$5&gt;=6)+IFERROR(LARGE($O10:$X10,7),0)*($AB$5&gt;=7)+IFERROR(LARGE($O10:$X10,8),0)*($AB$5&gt;=8)+IFERROR(LARGE($O10:$X10,9),0)*($AB$5&gt;=9)+IFERROR(LARGE($O10:$X10,10),0)*($AB$5&gt;=10))</f>
        <v/>
      </c>
      <c r="Z10" s="14">
        <f>IF(N($Y10)=0,"",$Y10/MIN($AB$5,COUNT($O10:$X10)))</f>
        <v/>
      </c>
      <c r="AA10" s="7">
        <f>IF(N($Y10)=0,"",RANK($Y10,$Y$7:$Y$66))</f>
        <v/>
      </c>
      <c r="AB10" s="11">
        <f>IF(OR($C10="",$D10=""),"",IFERROR(MATCH($C10&amp;"|"&amp;VLOOKUP($D10,Uitleg!$B$23:$C$33,2,FALSE),'Coëfficiënten'!$A$5:$AB$5,0),""))</f>
        <v/>
      </c>
      <c r="AC10" s="11">
        <f>IF(N($Y10)=0,"",$Y10+(67-ROW())/1000000000)</f>
        <v/>
      </c>
    </row>
    <row r="11">
      <c r="A11" s="11">
        <f>ROW()-6</f>
        <v/>
      </c>
      <c r="B11" s="12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4">
        <f>IF(OR($AB11="",N(E11)&lt;=0),"",ROUND(E11*INDEX('Coëfficiënten'!$A$7:$AB$1006,MATCH(E11,INDEX('Coëfficiënten'!$A$7:$AB$1006,0,$AB11),1),$AB11+1),1))</f>
        <v/>
      </c>
      <c r="P11" s="14">
        <f>IF(OR($AB11="",N(F11)&lt;=0),"",ROUND(F11*INDEX('Coëfficiënten'!$A$7:$AB$1006,MATCH(F11,INDEX('Coëfficiënten'!$A$7:$AB$1006,0,$AB11),1),$AB11+1),1))</f>
        <v/>
      </c>
      <c r="Q11" s="14">
        <f>IF(OR($AB11="",N(G11)&lt;=0),"",ROUND(G11*INDEX('Coëfficiënten'!$A$7:$AB$1006,MATCH(G11,INDEX('Coëfficiënten'!$A$7:$AB$1006,0,$AB11),1),$AB11+1),1))</f>
        <v/>
      </c>
      <c r="R11" s="14">
        <f>IF(OR($AB11="",N(H11)&lt;=0),"",ROUND(H11*INDEX('Coëfficiënten'!$A$7:$AB$1006,MATCH(H11,INDEX('Coëfficiënten'!$A$7:$AB$1006,0,$AB11),1),$AB11+1),1))</f>
        <v/>
      </c>
      <c r="S11" s="14">
        <f>IF(OR($AB11="",N(I11)&lt;=0),"",ROUND(I11*INDEX('Coëfficiënten'!$A$7:$AB$1006,MATCH(I11,INDEX('Coëfficiënten'!$A$7:$AB$1006,0,$AB11),1),$AB11+1),1))</f>
        <v/>
      </c>
      <c r="T11" s="14">
        <f>IF(OR($AB11="",N(J11)&lt;=0),"",ROUND(J11*INDEX('Coëfficiënten'!$A$7:$AB$1006,MATCH(J11,INDEX('Coëfficiënten'!$A$7:$AB$1006,0,$AB11),1),$AB11+1),1))</f>
        <v/>
      </c>
      <c r="U11" s="14">
        <f>IF(OR($AB11="",N(K11)&lt;=0),"",ROUND(K11*INDEX('Coëfficiënten'!$A$7:$AB$1006,MATCH(K11,INDEX('Coëfficiënten'!$A$7:$AB$1006,0,$AB11),1),$AB11+1),1))</f>
        <v/>
      </c>
      <c r="V11" s="14">
        <f>IF(OR($AB11="",N(L11)&lt;=0),"",ROUND(L11*INDEX('Coëfficiënten'!$A$7:$AB$1006,MATCH(L11,INDEX('Coëfficiënten'!$A$7:$AB$1006,0,$AB11),1),$AB11+1),1))</f>
        <v/>
      </c>
      <c r="W11" s="14">
        <f>IF(OR($AB11="",N(M11)&lt;=0),"",ROUND(M11*INDEX('Coëfficiënten'!$A$7:$AB$1006,MATCH(M11,INDEX('Coëfficiënten'!$A$7:$AB$1006,0,$AB11),1),$AB11+1),1))</f>
        <v/>
      </c>
      <c r="X11" s="14">
        <f>IF(OR($AB11="",N(N11)&lt;=0),"",ROUND(N11*INDEX('Coëfficiënten'!$A$7:$AB$1006,MATCH(N11,INDEX('Coëfficiënten'!$A$7:$AB$1006,0,$AB11),1),$AB11+1),1))</f>
        <v/>
      </c>
      <c r="Y11" s="15">
        <f>IF(OR($B11="",COUNT($O11:$X11)=0),"",IFERROR(LARGE($O11:$X11,1),0)*($AB$5&gt;=1)+IFERROR(LARGE($O11:$X11,2),0)*($AB$5&gt;=2)+IFERROR(LARGE($O11:$X11,3),0)*($AB$5&gt;=3)+IFERROR(LARGE($O11:$X11,4),0)*($AB$5&gt;=4)+IFERROR(LARGE($O11:$X11,5),0)*($AB$5&gt;=5)+IFERROR(LARGE($O11:$X11,6),0)*($AB$5&gt;=6)+IFERROR(LARGE($O11:$X11,7),0)*($AB$5&gt;=7)+IFERROR(LARGE($O11:$X11,8),0)*($AB$5&gt;=8)+IFERROR(LARGE($O11:$X11,9),0)*($AB$5&gt;=9)+IFERROR(LARGE($O11:$X11,10),0)*($AB$5&gt;=10))</f>
        <v/>
      </c>
      <c r="Z11" s="14">
        <f>IF(N($Y11)=0,"",$Y11/MIN($AB$5,COUNT($O11:$X11)))</f>
        <v/>
      </c>
      <c r="AA11" s="7">
        <f>IF(N($Y11)=0,"",RANK($Y11,$Y$7:$Y$66))</f>
        <v/>
      </c>
      <c r="AB11" s="11">
        <f>IF(OR($C11="",$D11=""),"",IFERROR(MATCH($C11&amp;"|"&amp;VLOOKUP($D11,Uitleg!$B$23:$C$33,2,FALSE),'Coëfficiënten'!$A$5:$AB$5,0),""))</f>
        <v/>
      </c>
      <c r="AC11" s="11">
        <f>IF(N($Y11)=0,"",$Y11+(67-ROW())/1000000000)</f>
        <v/>
      </c>
    </row>
    <row r="12">
      <c r="A12" s="11">
        <f>ROW()-6</f>
        <v/>
      </c>
      <c r="B12" s="12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4">
        <f>IF(OR($AB12="",N(E12)&lt;=0),"",ROUND(E12*INDEX('Coëfficiënten'!$A$7:$AB$1006,MATCH(E12,INDEX('Coëfficiënten'!$A$7:$AB$1006,0,$AB12),1),$AB12+1),1))</f>
        <v/>
      </c>
      <c r="P12" s="14">
        <f>IF(OR($AB12="",N(F12)&lt;=0),"",ROUND(F12*INDEX('Coëfficiënten'!$A$7:$AB$1006,MATCH(F12,INDEX('Coëfficiënten'!$A$7:$AB$1006,0,$AB12),1),$AB12+1),1))</f>
        <v/>
      </c>
      <c r="Q12" s="14">
        <f>IF(OR($AB12="",N(G12)&lt;=0),"",ROUND(G12*INDEX('Coëfficiënten'!$A$7:$AB$1006,MATCH(G12,INDEX('Coëfficiënten'!$A$7:$AB$1006,0,$AB12),1),$AB12+1),1))</f>
        <v/>
      </c>
      <c r="R12" s="14">
        <f>IF(OR($AB12="",N(H12)&lt;=0),"",ROUND(H12*INDEX('Coëfficiënten'!$A$7:$AB$1006,MATCH(H12,INDEX('Coëfficiënten'!$A$7:$AB$1006,0,$AB12),1),$AB12+1),1))</f>
        <v/>
      </c>
      <c r="S12" s="14">
        <f>IF(OR($AB12="",N(I12)&lt;=0),"",ROUND(I12*INDEX('Coëfficiënten'!$A$7:$AB$1006,MATCH(I12,INDEX('Coëfficiënten'!$A$7:$AB$1006,0,$AB12),1),$AB12+1),1))</f>
        <v/>
      </c>
      <c r="T12" s="14">
        <f>IF(OR($AB12="",N(J12)&lt;=0),"",ROUND(J12*INDEX('Coëfficiënten'!$A$7:$AB$1006,MATCH(J12,INDEX('Coëfficiënten'!$A$7:$AB$1006,0,$AB12),1),$AB12+1),1))</f>
        <v/>
      </c>
      <c r="U12" s="14">
        <f>IF(OR($AB12="",N(K12)&lt;=0),"",ROUND(K12*INDEX('Coëfficiënten'!$A$7:$AB$1006,MATCH(K12,INDEX('Coëfficiënten'!$A$7:$AB$1006,0,$AB12),1),$AB12+1),1))</f>
        <v/>
      </c>
      <c r="V12" s="14">
        <f>IF(OR($AB12="",N(L12)&lt;=0),"",ROUND(L12*INDEX('Coëfficiënten'!$A$7:$AB$1006,MATCH(L12,INDEX('Coëfficiënten'!$A$7:$AB$1006,0,$AB12),1),$AB12+1),1))</f>
        <v/>
      </c>
      <c r="W12" s="14">
        <f>IF(OR($AB12="",N(M12)&lt;=0),"",ROUND(M12*INDEX('Coëfficiënten'!$A$7:$AB$1006,MATCH(M12,INDEX('Coëfficiënten'!$A$7:$AB$1006,0,$AB12),1),$AB12+1),1))</f>
        <v/>
      </c>
      <c r="X12" s="14">
        <f>IF(OR($AB12="",N(N12)&lt;=0),"",ROUND(N12*INDEX('Coëfficiënten'!$A$7:$AB$1006,MATCH(N12,INDEX('Coëfficiënten'!$A$7:$AB$1006,0,$AB12),1),$AB12+1),1))</f>
        <v/>
      </c>
      <c r="Y12" s="15">
        <f>IF(OR($B12="",COUNT($O12:$X12)=0),"",IFERROR(LARGE($O12:$X12,1),0)*($AB$5&gt;=1)+IFERROR(LARGE($O12:$X12,2),0)*($AB$5&gt;=2)+IFERROR(LARGE($O12:$X12,3),0)*($AB$5&gt;=3)+IFERROR(LARGE($O12:$X12,4),0)*($AB$5&gt;=4)+IFERROR(LARGE($O12:$X12,5),0)*($AB$5&gt;=5)+IFERROR(LARGE($O12:$X12,6),0)*($AB$5&gt;=6)+IFERROR(LARGE($O12:$X12,7),0)*($AB$5&gt;=7)+IFERROR(LARGE($O12:$X12,8),0)*($AB$5&gt;=8)+IFERROR(LARGE($O12:$X12,9),0)*($AB$5&gt;=9)+IFERROR(LARGE($O12:$X12,10),0)*($AB$5&gt;=10))</f>
        <v/>
      </c>
      <c r="Z12" s="14">
        <f>IF(N($Y12)=0,"",$Y12/MIN($AB$5,COUNT($O12:$X12)))</f>
        <v/>
      </c>
      <c r="AA12" s="7">
        <f>IF(N($Y12)=0,"",RANK($Y12,$Y$7:$Y$66))</f>
        <v/>
      </c>
      <c r="AB12" s="11">
        <f>IF(OR($C12="",$D12=""),"",IFERROR(MATCH($C12&amp;"|"&amp;VLOOKUP($D12,Uitleg!$B$23:$C$33,2,FALSE),'Coëfficiënten'!$A$5:$AB$5,0),""))</f>
        <v/>
      </c>
      <c r="AC12" s="11">
        <f>IF(N($Y12)=0,"",$Y12+(67-ROW())/1000000000)</f>
        <v/>
      </c>
    </row>
    <row r="13">
      <c r="A13" s="11">
        <f>ROW()-6</f>
        <v/>
      </c>
      <c r="B13" s="12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4">
        <f>IF(OR($AB13="",N(E13)&lt;=0),"",ROUND(E13*INDEX('Coëfficiënten'!$A$7:$AB$1006,MATCH(E13,INDEX('Coëfficiënten'!$A$7:$AB$1006,0,$AB13),1),$AB13+1),1))</f>
        <v/>
      </c>
      <c r="P13" s="14">
        <f>IF(OR($AB13="",N(F13)&lt;=0),"",ROUND(F13*INDEX('Coëfficiënten'!$A$7:$AB$1006,MATCH(F13,INDEX('Coëfficiënten'!$A$7:$AB$1006,0,$AB13),1),$AB13+1),1))</f>
        <v/>
      </c>
      <c r="Q13" s="14">
        <f>IF(OR($AB13="",N(G13)&lt;=0),"",ROUND(G13*INDEX('Coëfficiënten'!$A$7:$AB$1006,MATCH(G13,INDEX('Coëfficiënten'!$A$7:$AB$1006,0,$AB13),1),$AB13+1),1))</f>
        <v/>
      </c>
      <c r="R13" s="14">
        <f>IF(OR($AB13="",N(H13)&lt;=0),"",ROUND(H13*INDEX('Coëfficiënten'!$A$7:$AB$1006,MATCH(H13,INDEX('Coëfficiënten'!$A$7:$AB$1006,0,$AB13),1),$AB13+1),1))</f>
        <v/>
      </c>
      <c r="S13" s="14">
        <f>IF(OR($AB13="",N(I13)&lt;=0),"",ROUND(I13*INDEX('Coëfficiënten'!$A$7:$AB$1006,MATCH(I13,INDEX('Coëfficiënten'!$A$7:$AB$1006,0,$AB13),1),$AB13+1),1))</f>
        <v/>
      </c>
      <c r="T13" s="14">
        <f>IF(OR($AB13="",N(J13)&lt;=0),"",ROUND(J13*INDEX('Coëfficiënten'!$A$7:$AB$1006,MATCH(J13,INDEX('Coëfficiënten'!$A$7:$AB$1006,0,$AB13),1),$AB13+1),1))</f>
        <v/>
      </c>
      <c r="U13" s="14">
        <f>IF(OR($AB13="",N(K13)&lt;=0),"",ROUND(K13*INDEX('Coëfficiënten'!$A$7:$AB$1006,MATCH(K13,INDEX('Coëfficiënten'!$A$7:$AB$1006,0,$AB13),1),$AB13+1),1))</f>
        <v/>
      </c>
      <c r="V13" s="14">
        <f>IF(OR($AB13="",N(L13)&lt;=0),"",ROUND(L13*INDEX('Coëfficiënten'!$A$7:$AB$1006,MATCH(L13,INDEX('Coëfficiënten'!$A$7:$AB$1006,0,$AB13),1),$AB13+1),1))</f>
        <v/>
      </c>
      <c r="W13" s="14">
        <f>IF(OR($AB13="",N(M13)&lt;=0),"",ROUND(M13*INDEX('Coëfficiënten'!$A$7:$AB$1006,MATCH(M13,INDEX('Coëfficiënten'!$A$7:$AB$1006,0,$AB13),1),$AB13+1),1))</f>
        <v/>
      </c>
      <c r="X13" s="14">
        <f>IF(OR($AB13="",N(N13)&lt;=0),"",ROUND(N13*INDEX('Coëfficiënten'!$A$7:$AB$1006,MATCH(N13,INDEX('Coëfficiënten'!$A$7:$AB$1006,0,$AB13),1),$AB13+1),1))</f>
        <v/>
      </c>
      <c r="Y13" s="15">
        <f>IF(OR($B13="",COUNT($O13:$X13)=0),"",IFERROR(LARGE($O13:$X13,1),0)*($AB$5&gt;=1)+IFERROR(LARGE($O13:$X13,2),0)*($AB$5&gt;=2)+IFERROR(LARGE($O13:$X13,3),0)*($AB$5&gt;=3)+IFERROR(LARGE($O13:$X13,4),0)*($AB$5&gt;=4)+IFERROR(LARGE($O13:$X13,5),0)*($AB$5&gt;=5)+IFERROR(LARGE($O13:$X13,6),0)*($AB$5&gt;=6)+IFERROR(LARGE($O13:$X13,7),0)*($AB$5&gt;=7)+IFERROR(LARGE($O13:$X13,8),0)*($AB$5&gt;=8)+IFERROR(LARGE($O13:$X13,9),0)*($AB$5&gt;=9)+IFERROR(LARGE($O13:$X13,10),0)*($AB$5&gt;=10))</f>
        <v/>
      </c>
      <c r="Z13" s="14">
        <f>IF(N($Y13)=0,"",$Y13/MIN($AB$5,COUNT($O13:$X13)))</f>
        <v/>
      </c>
      <c r="AA13" s="7">
        <f>IF(N($Y13)=0,"",RANK($Y13,$Y$7:$Y$66))</f>
        <v/>
      </c>
      <c r="AB13" s="11">
        <f>IF(OR($C13="",$D13=""),"",IFERROR(MATCH($C13&amp;"|"&amp;VLOOKUP($D13,Uitleg!$B$23:$C$33,2,FALSE),'Coëfficiënten'!$A$5:$AB$5,0),""))</f>
        <v/>
      </c>
      <c r="AC13" s="11">
        <f>IF(N($Y13)=0,"",$Y13+(67-ROW())/1000000000)</f>
        <v/>
      </c>
    </row>
    <row r="14">
      <c r="A14" s="11">
        <f>ROW()-6</f>
        <v/>
      </c>
      <c r="B14" s="12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4">
        <f>IF(OR($AB14="",N(E14)&lt;=0),"",ROUND(E14*INDEX('Coëfficiënten'!$A$7:$AB$1006,MATCH(E14,INDEX('Coëfficiënten'!$A$7:$AB$1006,0,$AB14),1),$AB14+1),1))</f>
        <v/>
      </c>
      <c r="P14" s="14">
        <f>IF(OR($AB14="",N(F14)&lt;=0),"",ROUND(F14*INDEX('Coëfficiënten'!$A$7:$AB$1006,MATCH(F14,INDEX('Coëfficiënten'!$A$7:$AB$1006,0,$AB14),1),$AB14+1),1))</f>
        <v/>
      </c>
      <c r="Q14" s="14">
        <f>IF(OR($AB14="",N(G14)&lt;=0),"",ROUND(G14*INDEX('Coëfficiënten'!$A$7:$AB$1006,MATCH(G14,INDEX('Coëfficiënten'!$A$7:$AB$1006,0,$AB14),1),$AB14+1),1))</f>
        <v/>
      </c>
      <c r="R14" s="14">
        <f>IF(OR($AB14="",N(H14)&lt;=0),"",ROUND(H14*INDEX('Coëfficiënten'!$A$7:$AB$1006,MATCH(H14,INDEX('Coëfficiënten'!$A$7:$AB$1006,0,$AB14),1),$AB14+1),1))</f>
        <v/>
      </c>
      <c r="S14" s="14">
        <f>IF(OR($AB14="",N(I14)&lt;=0),"",ROUND(I14*INDEX('Coëfficiënten'!$A$7:$AB$1006,MATCH(I14,INDEX('Coëfficiënten'!$A$7:$AB$1006,0,$AB14),1),$AB14+1),1))</f>
        <v/>
      </c>
      <c r="T14" s="14">
        <f>IF(OR($AB14="",N(J14)&lt;=0),"",ROUND(J14*INDEX('Coëfficiënten'!$A$7:$AB$1006,MATCH(J14,INDEX('Coëfficiënten'!$A$7:$AB$1006,0,$AB14),1),$AB14+1),1))</f>
        <v/>
      </c>
      <c r="U14" s="14">
        <f>IF(OR($AB14="",N(K14)&lt;=0),"",ROUND(K14*INDEX('Coëfficiënten'!$A$7:$AB$1006,MATCH(K14,INDEX('Coëfficiënten'!$A$7:$AB$1006,0,$AB14),1),$AB14+1),1))</f>
        <v/>
      </c>
      <c r="V14" s="14">
        <f>IF(OR($AB14="",N(L14)&lt;=0),"",ROUND(L14*INDEX('Coëfficiënten'!$A$7:$AB$1006,MATCH(L14,INDEX('Coëfficiënten'!$A$7:$AB$1006,0,$AB14),1),$AB14+1),1))</f>
        <v/>
      </c>
      <c r="W14" s="14">
        <f>IF(OR($AB14="",N(M14)&lt;=0),"",ROUND(M14*INDEX('Coëfficiënten'!$A$7:$AB$1006,MATCH(M14,INDEX('Coëfficiënten'!$A$7:$AB$1006,0,$AB14),1),$AB14+1),1))</f>
        <v/>
      </c>
      <c r="X14" s="14">
        <f>IF(OR($AB14="",N(N14)&lt;=0),"",ROUND(N14*INDEX('Coëfficiënten'!$A$7:$AB$1006,MATCH(N14,INDEX('Coëfficiënten'!$A$7:$AB$1006,0,$AB14),1),$AB14+1),1))</f>
        <v/>
      </c>
      <c r="Y14" s="15">
        <f>IF(OR($B14="",COUNT($O14:$X14)=0),"",IFERROR(LARGE($O14:$X14,1),0)*($AB$5&gt;=1)+IFERROR(LARGE($O14:$X14,2),0)*($AB$5&gt;=2)+IFERROR(LARGE($O14:$X14,3),0)*($AB$5&gt;=3)+IFERROR(LARGE($O14:$X14,4),0)*($AB$5&gt;=4)+IFERROR(LARGE($O14:$X14,5),0)*($AB$5&gt;=5)+IFERROR(LARGE($O14:$X14,6),0)*($AB$5&gt;=6)+IFERROR(LARGE($O14:$X14,7),0)*($AB$5&gt;=7)+IFERROR(LARGE($O14:$X14,8),0)*($AB$5&gt;=8)+IFERROR(LARGE($O14:$X14,9),0)*($AB$5&gt;=9)+IFERROR(LARGE($O14:$X14,10),0)*($AB$5&gt;=10))</f>
        <v/>
      </c>
      <c r="Z14" s="14">
        <f>IF(N($Y14)=0,"",$Y14/MIN($AB$5,COUNT($O14:$X14)))</f>
        <v/>
      </c>
      <c r="AA14" s="7">
        <f>IF(N($Y14)=0,"",RANK($Y14,$Y$7:$Y$66))</f>
        <v/>
      </c>
      <c r="AB14" s="11">
        <f>IF(OR($C14="",$D14=""),"",IFERROR(MATCH($C14&amp;"|"&amp;VLOOKUP($D14,Uitleg!$B$23:$C$33,2,FALSE),'Coëfficiënten'!$A$5:$AB$5,0),""))</f>
        <v/>
      </c>
      <c r="AC14" s="11">
        <f>IF(N($Y14)=0,"",$Y14+(67-ROW())/1000000000)</f>
        <v/>
      </c>
    </row>
    <row r="15">
      <c r="A15" s="11">
        <f>ROW()-6</f>
        <v/>
      </c>
      <c r="B15" s="12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4">
        <f>IF(OR($AB15="",N(E15)&lt;=0),"",ROUND(E15*INDEX('Coëfficiënten'!$A$7:$AB$1006,MATCH(E15,INDEX('Coëfficiënten'!$A$7:$AB$1006,0,$AB15),1),$AB15+1),1))</f>
        <v/>
      </c>
      <c r="P15" s="14">
        <f>IF(OR($AB15="",N(F15)&lt;=0),"",ROUND(F15*INDEX('Coëfficiënten'!$A$7:$AB$1006,MATCH(F15,INDEX('Coëfficiënten'!$A$7:$AB$1006,0,$AB15),1),$AB15+1),1))</f>
        <v/>
      </c>
      <c r="Q15" s="14">
        <f>IF(OR($AB15="",N(G15)&lt;=0),"",ROUND(G15*INDEX('Coëfficiënten'!$A$7:$AB$1006,MATCH(G15,INDEX('Coëfficiënten'!$A$7:$AB$1006,0,$AB15),1),$AB15+1),1))</f>
        <v/>
      </c>
      <c r="R15" s="14">
        <f>IF(OR($AB15="",N(H15)&lt;=0),"",ROUND(H15*INDEX('Coëfficiënten'!$A$7:$AB$1006,MATCH(H15,INDEX('Coëfficiënten'!$A$7:$AB$1006,0,$AB15),1),$AB15+1),1))</f>
        <v/>
      </c>
      <c r="S15" s="14">
        <f>IF(OR($AB15="",N(I15)&lt;=0),"",ROUND(I15*INDEX('Coëfficiënten'!$A$7:$AB$1006,MATCH(I15,INDEX('Coëfficiënten'!$A$7:$AB$1006,0,$AB15),1),$AB15+1),1))</f>
        <v/>
      </c>
      <c r="T15" s="14">
        <f>IF(OR($AB15="",N(J15)&lt;=0),"",ROUND(J15*INDEX('Coëfficiënten'!$A$7:$AB$1006,MATCH(J15,INDEX('Coëfficiënten'!$A$7:$AB$1006,0,$AB15),1),$AB15+1),1))</f>
        <v/>
      </c>
      <c r="U15" s="14">
        <f>IF(OR($AB15="",N(K15)&lt;=0),"",ROUND(K15*INDEX('Coëfficiënten'!$A$7:$AB$1006,MATCH(K15,INDEX('Coëfficiënten'!$A$7:$AB$1006,0,$AB15),1),$AB15+1),1))</f>
        <v/>
      </c>
      <c r="V15" s="14">
        <f>IF(OR($AB15="",N(L15)&lt;=0),"",ROUND(L15*INDEX('Coëfficiënten'!$A$7:$AB$1006,MATCH(L15,INDEX('Coëfficiënten'!$A$7:$AB$1006,0,$AB15),1),$AB15+1),1))</f>
        <v/>
      </c>
      <c r="W15" s="14">
        <f>IF(OR($AB15="",N(M15)&lt;=0),"",ROUND(M15*INDEX('Coëfficiënten'!$A$7:$AB$1006,MATCH(M15,INDEX('Coëfficiënten'!$A$7:$AB$1006,0,$AB15),1),$AB15+1),1))</f>
        <v/>
      </c>
      <c r="X15" s="14">
        <f>IF(OR($AB15="",N(N15)&lt;=0),"",ROUND(N15*INDEX('Coëfficiënten'!$A$7:$AB$1006,MATCH(N15,INDEX('Coëfficiënten'!$A$7:$AB$1006,0,$AB15),1),$AB15+1),1))</f>
        <v/>
      </c>
      <c r="Y15" s="15">
        <f>IF(OR($B15="",COUNT($O15:$X15)=0),"",IFERROR(LARGE($O15:$X15,1),0)*($AB$5&gt;=1)+IFERROR(LARGE($O15:$X15,2),0)*($AB$5&gt;=2)+IFERROR(LARGE($O15:$X15,3),0)*($AB$5&gt;=3)+IFERROR(LARGE($O15:$X15,4),0)*($AB$5&gt;=4)+IFERROR(LARGE($O15:$X15,5),0)*($AB$5&gt;=5)+IFERROR(LARGE($O15:$X15,6),0)*($AB$5&gt;=6)+IFERROR(LARGE($O15:$X15,7),0)*($AB$5&gt;=7)+IFERROR(LARGE($O15:$X15,8),0)*($AB$5&gt;=8)+IFERROR(LARGE($O15:$X15,9),0)*($AB$5&gt;=9)+IFERROR(LARGE($O15:$X15,10),0)*($AB$5&gt;=10))</f>
        <v/>
      </c>
      <c r="Z15" s="14">
        <f>IF(N($Y15)=0,"",$Y15/MIN($AB$5,COUNT($O15:$X15)))</f>
        <v/>
      </c>
      <c r="AA15" s="7">
        <f>IF(N($Y15)=0,"",RANK($Y15,$Y$7:$Y$66))</f>
        <v/>
      </c>
      <c r="AB15" s="11">
        <f>IF(OR($C15="",$D15=""),"",IFERROR(MATCH($C15&amp;"|"&amp;VLOOKUP($D15,Uitleg!$B$23:$C$33,2,FALSE),'Coëfficiënten'!$A$5:$AB$5,0),""))</f>
        <v/>
      </c>
      <c r="AC15" s="11">
        <f>IF(N($Y15)=0,"",$Y15+(67-ROW())/1000000000)</f>
        <v/>
      </c>
    </row>
    <row r="16">
      <c r="A16" s="11">
        <f>ROW()-6</f>
        <v/>
      </c>
      <c r="B16" s="12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4">
        <f>IF(OR($AB16="",N(E16)&lt;=0),"",ROUND(E16*INDEX('Coëfficiënten'!$A$7:$AB$1006,MATCH(E16,INDEX('Coëfficiënten'!$A$7:$AB$1006,0,$AB16),1),$AB16+1),1))</f>
        <v/>
      </c>
      <c r="P16" s="14">
        <f>IF(OR($AB16="",N(F16)&lt;=0),"",ROUND(F16*INDEX('Coëfficiënten'!$A$7:$AB$1006,MATCH(F16,INDEX('Coëfficiënten'!$A$7:$AB$1006,0,$AB16),1),$AB16+1),1))</f>
        <v/>
      </c>
      <c r="Q16" s="14">
        <f>IF(OR($AB16="",N(G16)&lt;=0),"",ROUND(G16*INDEX('Coëfficiënten'!$A$7:$AB$1006,MATCH(G16,INDEX('Coëfficiënten'!$A$7:$AB$1006,0,$AB16),1),$AB16+1),1))</f>
        <v/>
      </c>
      <c r="R16" s="14">
        <f>IF(OR($AB16="",N(H16)&lt;=0),"",ROUND(H16*INDEX('Coëfficiënten'!$A$7:$AB$1006,MATCH(H16,INDEX('Coëfficiënten'!$A$7:$AB$1006,0,$AB16),1),$AB16+1),1))</f>
        <v/>
      </c>
      <c r="S16" s="14">
        <f>IF(OR($AB16="",N(I16)&lt;=0),"",ROUND(I16*INDEX('Coëfficiënten'!$A$7:$AB$1006,MATCH(I16,INDEX('Coëfficiënten'!$A$7:$AB$1006,0,$AB16),1),$AB16+1),1))</f>
        <v/>
      </c>
      <c r="T16" s="14">
        <f>IF(OR($AB16="",N(J16)&lt;=0),"",ROUND(J16*INDEX('Coëfficiënten'!$A$7:$AB$1006,MATCH(J16,INDEX('Coëfficiënten'!$A$7:$AB$1006,0,$AB16),1),$AB16+1),1))</f>
        <v/>
      </c>
      <c r="U16" s="14">
        <f>IF(OR($AB16="",N(K16)&lt;=0),"",ROUND(K16*INDEX('Coëfficiënten'!$A$7:$AB$1006,MATCH(K16,INDEX('Coëfficiënten'!$A$7:$AB$1006,0,$AB16),1),$AB16+1),1))</f>
        <v/>
      </c>
      <c r="V16" s="14">
        <f>IF(OR($AB16="",N(L16)&lt;=0),"",ROUND(L16*INDEX('Coëfficiënten'!$A$7:$AB$1006,MATCH(L16,INDEX('Coëfficiënten'!$A$7:$AB$1006,0,$AB16),1),$AB16+1),1))</f>
        <v/>
      </c>
      <c r="W16" s="14">
        <f>IF(OR($AB16="",N(M16)&lt;=0),"",ROUND(M16*INDEX('Coëfficiënten'!$A$7:$AB$1006,MATCH(M16,INDEX('Coëfficiënten'!$A$7:$AB$1006,0,$AB16),1),$AB16+1),1))</f>
        <v/>
      </c>
      <c r="X16" s="14">
        <f>IF(OR($AB16="",N(N16)&lt;=0),"",ROUND(N16*INDEX('Coëfficiënten'!$A$7:$AB$1006,MATCH(N16,INDEX('Coëfficiënten'!$A$7:$AB$1006,0,$AB16),1),$AB16+1),1))</f>
        <v/>
      </c>
      <c r="Y16" s="15">
        <f>IF(OR($B16="",COUNT($O16:$X16)=0),"",IFERROR(LARGE($O16:$X16,1),0)*($AB$5&gt;=1)+IFERROR(LARGE($O16:$X16,2),0)*($AB$5&gt;=2)+IFERROR(LARGE($O16:$X16,3),0)*($AB$5&gt;=3)+IFERROR(LARGE($O16:$X16,4),0)*($AB$5&gt;=4)+IFERROR(LARGE($O16:$X16,5),0)*($AB$5&gt;=5)+IFERROR(LARGE($O16:$X16,6),0)*($AB$5&gt;=6)+IFERROR(LARGE($O16:$X16,7),0)*($AB$5&gt;=7)+IFERROR(LARGE($O16:$X16,8),0)*($AB$5&gt;=8)+IFERROR(LARGE($O16:$X16,9),0)*($AB$5&gt;=9)+IFERROR(LARGE($O16:$X16,10),0)*($AB$5&gt;=10))</f>
        <v/>
      </c>
      <c r="Z16" s="14">
        <f>IF(N($Y16)=0,"",$Y16/MIN($AB$5,COUNT($O16:$X16)))</f>
        <v/>
      </c>
      <c r="AA16" s="7">
        <f>IF(N($Y16)=0,"",RANK($Y16,$Y$7:$Y$66))</f>
        <v/>
      </c>
      <c r="AB16" s="11">
        <f>IF(OR($C16="",$D16=""),"",IFERROR(MATCH($C16&amp;"|"&amp;VLOOKUP($D16,Uitleg!$B$23:$C$33,2,FALSE),'Coëfficiënten'!$A$5:$AB$5,0),""))</f>
        <v/>
      </c>
      <c r="AC16" s="11">
        <f>IF(N($Y16)=0,"",$Y16+(67-ROW())/1000000000)</f>
        <v/>
      </c>
    </row>
    <row r="17">
      <c r="A17" s="11">
        <f>ROW()-6</f>
        <v/>
      </c>
      <c r="B17" s="12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4">
        <f>IF(OR($AB17="",N(E17)&lt;=0),"",ROUND(E17*INDEX('Coëfficiënten'!$A$7:$AB$1006,MATCH(E17,INDEX('Coëfficiënten'!$A$7:$AB$1006,0,$AB17),1),$AB17+1),1))</f>
        <v/>
      </c>
      <c r="P17" s="14">
        <f>IF(OR($AB17="",N(F17)&lt;=0),"",ROUND(F17*INDEX('Coëfficiënten'!$A$7:$AB$1006,MATCH(F17,INDEX('Coëfficiënten'!$A$7:$AB$1006,0,$AB17),1),$AB17+1),1))</f>
        <v/>
      </c>
      <c r="Q17" s="14">
        <f>IF(OR($AB17="",N(G17)&lt;=0),"",ROUND(G17*INDEX('Coëfficiënten'!$A$7:$AB$1006,MATCH(G17,INDEX('Coëfficiënten'!$A$7:$AB$1006,0,$AB17),1),$AB17+1),1))</f>
        <v/>
      </c>
      <c r="R17" s="14">
        <f>IF(OR($AB17="",N(H17)&lt;=0),"",ROUND(H17*INDEX('Coëfficiënten'!$A$7:$AB$1006,MATCH(H17,INDEX('Coëfficiënten'!$A$7:$AB$1006,0,$AB17),1),$AB17+1),1))</f>
        <v/>
      </c>
      <c r="S17" s="14">
        <f>IF(OR($AB17="",N(I17)&lt;=0),"",ROUND(I17*INDEX('Coëfficiënten'!$A$7:$AB$1006,MATCH(I17,INDEX('Coëfficiënten'!$A$7:$AB$1006,0,$AB17),1),$AB17+1),1))</f>
        <v/>
      </c>
      <c r="T17" s="14">
        <f>IF(OR($AB17="",N(J17)&lt;=0),"",ROUND(J17*INDEX('Coëfficiënten'!$A$7:$AB$1006,MATCH(J17,INDEX('Coëfficiënten'!$A$7:$AB$1006,0,$AB17),1),$AB17+1),1))</f>
        <v/>
      </c>
      <c r="U17" s="14">
        <f>IF(OR($AB17="",N(K17)&lt;=0),"",ROUND(K17*INDEX('Coëfficiënten'!$A$7:$AB$1006,MATCH(K17,INDEX('Coëfficiënten'!$A$7:$AB$1006,0,$AB17),1),$AB17+1),1))</f>
        <v/>
      </c>
      <c r="V17" s="14">
        <f>IF(OR($AB17="",N(L17)&lt;=0),"",ROUND(L17*INDEX('Coëfficiënten'!$A$7:$AB$1006,MATCH(L17,INDEX('Coëfficiënten'!$A$7:$AB$1006,0,$AB17),1),$AB17+1),1))</f>
        <v/>
      </c>
      <c r="W17" s="14">
        <f>IF(OR($AB17="",N(M17)&lt;=0),"",ROUND(M17*INDEX('Coëfficiënten'!$A$7:$AB$1006,MATCH(M17,INDEX('Coëfficiënten'!$A$7:$AB$1006,0,$AB17),1),$AB17+1),1))</f>
        <v/>
      </c>
      <c r="X17" s="14">
        <f>IF(OR($AB17="",N(N17)&lt;=0),"",ROUND(N17*INDEX('Coëfficiënten'!$A$7:$AB$1006,MATCH(N17,INDEX('Coëfficiënten'!$A$7:$AB$1006,0,$AB17),1),$AB17+1),1))</f>
        <v/>
      </c>
      <c r="Y17" s="15">
        <f>IF(OR($B17="",COUNT($O17:$X17)=0),"",IFERROR(LARGE($O17:$X17,1),0)*($AB$5&gt;=1)+IFERROR(LARGE($O17:$X17,2),0)*($AB$5&gt;=2)+IFERROR(LARGE($O17:$X17,3),0)*($AB$5&gt;=3)+IFERROR(LARGE($O17:$X17,4),0)*($AB$5&gt;=4)+IFERROR(LARGE($O17:$X17,5),0)*($AB$5&gt;=5)+IFERROR(LARGE($O17:$X17,6),0)*($AB$5&gt;=6)+IFERROR(LARGE($O17:$X17,7),0)*($AB$5&gt;=7)+IFERROR(LARGE($O17:$X17,8),0)*($AB$5&gt;=8)+IFERROR(LARGE($O17:$X17,9),0)*($AB$5&gt;=9)+IFERROR(LARGE($O17:$X17,10),0)*($AB$5&gt;=10))</f>
        <v/>
      </c>
      <c r="Z17" s="14">
        <f>IF(N($Y17)=0,"",$Y17/MIN($AB$5,COUNT($O17:$X17)))</f>
        <v/>
      </c>
      <c r="AA17" s="7">
        <f>IF(N($Y17)=0,"",RANK($Y17,$Y$7:$Y$66))</f>
        <v/>
      </c>
      <c r="AB17" s="11">
        <f>IF(OR($C17="",$D17=""),"",IFERROR(MATCH($C17&amp;"|"&amp;VLOOKUP($D17,Uitleg!$B$23:$C$33,2,FALSE),'Coëfficiënten'!$A$5:$AB$5,0),""))</f>
        <v/>
      </c>
      <c r="AC17" s="11">
        <f>IF(N($Y17)=0,"",$Y17+(67-ROW())/1000000000)</f>
        <v/>
      </c>
    </row>
    <row r="18">
      <c r="A18" s="11">
        <f>ROW()-6</f>
        <v/>
      </c>
      <c r="B18" s="12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4">
        <f>IF(OR($AB18="",N(E18)&lt;=0),"",ROUND(E18*INDEX('Coëfficiënten'!$A$7:$AB$1006,MATCH(E18,INDEX('Coëfficiënten'!$A$7:$AB$1006,0,$AB18),1),$AB18+1),1))</f>
        <v/>
      </c>
      <c r="P18" s="14">
        <f>IF(OR($AB18="",N(F18)&lt;=0),"",ROUND(F18*INDEX('Coëfficiënten'!$A$7:$AB$1006,MATCH(F18,INDEX('Coëfficiënten'!$A$7:$AB$1006,0,$AB18),1),$AB18+1),1))</f>
        <v/>
      </c>
      <c r="Q18" s="14">
        <f>IF(OR($AB18="",N(G18)&lt;=0),"",ROUND(G18*INDEX('Coëfficiënten'!$A$7:$AB$1006,MATCH(G18,INDEX('Coëfficiënten'!$A$7:$AB$1006,0,$AB18),1),$AB18+1),1))</f>
        <v/>
      </c>
      <c r="R18" s="14">
        <f>IF(OR($AB18="",N(H18)&lt;=0),"",ROUND(H18*INDEX('Coëfficiënten'!$A$7:$AB$1006,MATCH(H18,INDEX('Coëfficiënten'!$A$7:$AB$1006,0,$AB18),1),$AB18+1),1))</f>
        <v/>
      </c>
      <c r="S18" s="14">
        <f>IF(OR($AB18="",N(I18)&lt;=0),"",ROUND(I18*INDEX('Coëfficiënten'!$A$7:$AB$1006,MATCH(I18,INDEX('Coëfficiënten'!$A$7:$AB$1006,0,$AB18),1),$AB18+1),1))</f>
        <v/>
      </c>
      <c r="T18" s="14">
        <f>IF(OR($AB18="",N(J18)&lt;=0),"",ROUND(J18*INDEX('Coëfficiënten'!$A$7:$AB$1006,MATCH(J18,INDEX('Coëfficiënten'!$A$7:$AB$1006,0,$AB18),1),$AB18+1),1))</f>
        <v/>
      </c>
      <c r="U18" s="14">
        <f>IF(OR($AB18="",N(K18)&lt;=0),"",ROUND(K18*INDEX('Coëfficiënten'!$A$7:$AB$1006,MATCH(K18,INDEX('Coëfficiënten'!$A$7:$AB$1006,0,$AB18),1),$AB18+1),1))</f>
        <v/>
      </c>
      <c r="V18" s="14">
        <f>IF(OR($AB18="",N(L18)&lt;=0),"",ROUND(L18*INDEX('Coëfficiënten'!$A$7:$AB$1006,MATCH(L18,INDEX('Coëfficiënten'!$A$7:$AB$1006,0,$AB18),1),$AB18+1),1))</f>
        <v/>
      </c>
      <c r="W18" s="14">
        <f>IF(OR($AB18="",N(M18)&lt;=0),"",ROUND(M18*INDEX('Coëfficiënten'!$A$7:$AB$1006,MATCH(M18,INDEX('Coëfficiënten'!$A$7:$AB$1006,0,$AB18),1),$AB18+1),1))</f>
        <v/>
      </c>
      <c r="X18" s="14">
        <f>IF(OR($AB18="",N(N18)&lt;=0),"",ROUND(N18*INDEX('Coëfficiënten'!$A$7:$AB$1006,MATCH(N18,INDEX('Coëfficiënten'!$A$7:$AB$1006,0,$AB18),1),$AB18+1),1))</f>
        <v/>
      </c>
      <c r="Y18" s="15">
        <f>IF(OR($B18="",COUNT($O18:$X18)=0),"",IFERROR(LARGE($O18:$X18,1),0)*($AB$5&gt;=1)+IFERROR(LARGE($O18:$X18,2),0)*($AB$5&gt;=2)+IFERROR(LARGE($O18:$X18,3),0)*($AB$5&gt;=3)+IFERROR(LARGE($O18:$X18,4),0)*($AB$5&gt;=4)+IFERROR(LARGE($O18:$X18,5),0)*($AB$5&gt;=5)+IFERROR(LARGE($O18:$X18,6),0)*($AB$5&gt;=6)+IFERROR(LARGE($O18:$X18,7),0)*($AB$5&gt;=7)+IFERROR(LARGE($O18:$X18,8),0)*($AB$5&gt;=8)+IFERROR(LARGE($O18:$X18,9),0)*($AB$5&gt;=9)+IFERROR(LARGE($O18:$X18,10),0)*($AB$5&gt;=10))</f>
        <v/>
      </c>
      <c r="Z18" s="14">
        <f>IF(N($Y18)=0,"",$Y18/MIN($AB$5,COUNT($O18:$X18)))</f>
        <v/>
      </c>
      <c r="AA18" s="7">
        <f>IF(N($Y18)=0,"",RANK($Y18,$Y$7:$Y$66))</f>
        <v/>
      </c>
      <c r="AB18" s="11">
        <f>IF(OR($C18="",$D18=""),"",IFERROR(MATCH($C18&amp;"|"&amp;VLOOKUP($D18,Uitleg!$B$23:$C$33,2,FALSE),'Coëfficiënten'!$A$5:$AB$5,0),""))</f>
        <v/>
      </c>
      <c r="AC18" s="11">
        <f>IF(N($Y18)=0,"",$Y18+(67-ROW())/1000000000)</f>
        <v/>
      </c>
    </row>
    <row r="19">
      <c r="A19" s="11">
        <f>ROW()-6</f>
        <v/>
      </c>
      <c r="B19" s="12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4">
        <f>IF(OR($AB19="",N(E19)&lt;=0),"",ROUND(E19*INDEX('Coëfficiënten'!$A$7:$AB$1006,MATCH(E19,INDEX('Coëfficiënten'!$A$7:$AB$1006,0,$AB19),1),$AB19+1),1))</f>
        <v/>
      </c>
      <c r="P19" s="14">
        <f>IF(OR($AB19="",N(F19)&lt;=0),"",ROUND(F19*INDEX('Coëfficiënten'!$A$7:$AB$1006,MATCH(F19,INDEX('Coëfficiënten'!$A$7:$AB$1006,0,$AB19),1),$AB19+1),1))</f>
        <v/>
      </c>
      <c r="Q19" s="14">
        <f>IF(OR($AB19="",N(G19)&lt;=0),"",ROUND(G19*INDEX('Coëfficiënten'!$A$7:$AB$1006,MATCH(G19,INDEX('Coëfficiënten'!$A$7:$AB$1006,0,$AB19),1),$AB19+1),1))</f>
        <v/>
      </c>
      <c r="R19" s="14">
        <f>IF(OR($AB19="",N(H19)&lt;=0),"",ROUND(H19*INDEX('Coëfficiënten'!$A$7:$AB$1006,MATCH(H19,INDEX('Coëfficiënten'!$A$7:$AB$1006,0,$AB19),1),$AB19+1),1))</f>
        <v/>
      </c>
      <c r="S19" s="14">
        <f>IF(OR($AB19="",N(I19)&lt;=0),"",ROUND(I19*INDEX('Coëfficiënten'!$A$7:$AB$1006,MATCH(I19,INDEX('Coëfficiënten'!$A$7:$AB$1006,0,$AB19),1),$AB19+1),1))</f>
        <v/>
      </c>
      <c r="T19" s="14">
        <f>IF(OR($AB19="",N(J19)&lt;=0),"",ROUND(J19*INDEX('Coëfficiënten'!$A$7:$AB$1006,MATCH(J19,INDEX('Coëfficiënten'!$A$7:$AB$1006,0,$AB19),1),$AB19+1),1))</f>
        <v/>
      </c>
      <c r="U19" s="14">
        <f>IF(OR($AB19="",N(K19)&lt;=0),"",ROUND(K19*INDEX('Coëfficiënten'!$A$7:$AB$1006,MATCH(K19,INDEX('Coëfficiënten'!$A$7:$AB$1006,0,$AB19),1),$AB19+1),1))</f>
        <v/>
      </c>
      <c r="V19" s="14">
        <f>IF(OR($AB19="",N(L19)&lt;=0),"",ROUND(L19*INDEX('Coëfficiënten'!$A$7:$AB$1006,MATCH(L19,INDEX('Coëfficiënten'!$A$7:$AB$1006,0,$AB19),1),$AB19+1),1))</f>
        <v/>
      </c>
      <c r="W19" s="14">
        <f>IF(OR($AB19="",N(M19)&lt;=0),"",ROUND(M19*INDEX('Coëfficiënten'!$A$7:$AB$1006,MATCH(M19,INDEX('Coëfficiënten'!$A$7:$AB$1006,0,$AB19),1),$AB19+1),1))</f>
        <v/>
      </c>
      <c r="X19" s="14">
        <f>IF(OR($AB19="",N(N19)&lt;=0),"",ROUND(N19*INDEX('Coëfficiënten'!$A$7:$AB$1006,MATCH(N19,INDEX('Coëfficiënten'!$A$7:$AB$1006,0,$AB19),1),$AB19+1),1))</f>
        <v/>
      </c>
      <c r="Y19" s="15">
        <f>IF(OR($B19="",COUNT($O19:$X19)=0),"",IFERROR(LARGE($O19:$X19,1),0)*($AB$5&gt;=1)+IFERROR(LARGE($O19:$X19,2),0)*($AB$5&gt;=2)+IFERROR(LARGE($O19:$X19,3),0)*($AB$5&gt;=3)+IFERROR(LARGE($O19:$X19,4),0)*($AB$5&gt;=4)+IFERROR(LARGE($O19:$X19,5),0)*($AB$5&gt;=5)+IFERROR(LARGE($O19:$X19,6),0)*($AB$5&gt;=6)+IFERROR(LARGE($O19:$X19,7),0)*($AB$5&gt;=7)+IFERROR(LARGE($O19:$X19,8),0)*($AB$5&gt;=8)+IFERROR(LARGE($O19:$X19,9),0)*($AB$5&gt;=9)+IFERROR(LARGE($O19:$X19,10),0)*($AB$5&gt;=10))</f>
        <v/>
      </c>
      <c r="Z19" s="14">
        <f>IF(N($Y19)=0,"",$Y19/MIN($AB$5,COUNT($O19:$X19)))</f>
        <v/>
      </c>
      <c r="AA19" s="7">
        <f>IF(N($Y19)=0,"",RANK($Y19,$Y$7:$Y$66))</f>
        <v/>
      </c>
      <c r="AB19" s="11">
        <f>IF(OR($C19="",$D19=""),"",IFERROR(MATCH($C19&amp;"|"&amp;VLOOKUP($D19,Uitleg!$B$23:$C$33,2,FALSE),'Coëfficiënten'!$A$5:$AB$5,0),""))</f>
        <v/>
      </c>
      <c r="AC19" s="11">
        <f>IF(N($Y19)=0,"",$Y19+(67-ROW())/1000000000)</f>
        <v/>
      </c>
    </row>
    <row r="20">
      <c r="A20" s="11">
        <f>ROW()-6</f>
        <v/>
      </c>
      <c r="B20" s="12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4">
        <f>IF(OR($AB20="",N(E20)&lt;=0),"",ROUND(E20*INDEX('Coëfficiënten'!$A$7:$AB$1006,MATCH(E20,INDEX('Coëfficiënten'!$A$7:$AB$1006,0,$AB20),1),$AB20+1),1))</f>
        <v/>
      </c>
      <c r="P20" s="14">
        <f>IF(OR($AB20="",N(F20)&lt;=0),"",ROUND(F20*INDEX('Coëfficiënten'!$A$7:$AB$1006,MATCH(F20,INDEX('Coëfficiënten'!$A$7:$AB$1006,0,$AB20),1),$AB20+1),1))</f>
        <v/>
      </c>
      <c r="Q20" s="14">
        <f>IF(OR($AB20="",N(G20)&lt;=0),"",ROUND(G20*INDEX('Coëfficiënten'!$A$7:$AB$1006,MATCH(G20,INDEX('Coëfficiënten'!$A$7:$AB$1006,0,$AB20),1),$AB20+1),1))</f>
        <v/>
      </c>
      <c r="R20" s="14">
        <f>IF(OR($AB20="",N(H20)&lt;=0),"",ROUND(H20*INDEX('Coëfficiënten'!$A$7:$AB$1006,MATCH(H20,INDEX('Coëfficiënten'!$A$7:$AB$1006,0,$AB20),1),$AB20+1),1))</f>
        <v/>
      </c>
      <c r="S20" s="14">
        <f>IF(OR($AB20="",N(I20)&lt;=0),"",ROUND(I20*INDEX('Coëfficiënten'!$A$7:$AB$1006,MATCH(I20,INDEX('Coëfficiënten'!$A$7:$AB$1006,0,$AB20),1),$AB20+1),1))</f>
        <v/>
      </c>
      <c r="T20" s="14">
        <f>IF(OR($AB20="",N(J20)&lt;=0),"",ROUND(J20*INDEX('Coëfficiënten'!$A$7:$AB$1006,MATCH(J20,INDEX('Coëfficiënten'!$A$7:$AB$1006,0,$AB20),1),$AB20+1),1))</f>
        <v/>
      </c>
      <c r="U20" s="14">
        <f>IF(OR($AB20="",N(K20)&lt;=0),"",ROUND(K20*INDEX('Coëfficiënten'!$A$7:$AB$1006,MATCH(K20,INDEX('Coëfficiënten'!$A$7:$AB$1006,0,$AB20),1),$AB20+1),1))</f>
        <v/>
      </c>
      <c r="V20" s="14">
        <f>IF(OR($AB20="",N(L20)&lt;=0),"",ROUND(L20*INDEX('Coëfficiënten'!$A$7:$AB$1006,MATCH(L20,INDEX('Coëfficiënten'!$A$7:$AB$1006,0,$AB20),1),$AB20+1),1))</f>
        <v/>
      </c>
      <c r="W20" s="14">
        <f>IF(OR($AB20="",N(M20)&lt;=0),"",ROUND(M20*INDEX('Coëfficiënten'!$A$7:$AB$1006,MATCH(M20,INDEX('Coëfficiënten'!$A$7:$AB$1006,0,$AB20),1),$AB20+1),1))</f>
        <v/>
      </c>
      <c r="X20" s="14">
        <f>IF(OR($AB20="",N(N20)&lt;=0),"",ROUND(N20*INDEX('Coëfficiënten'!$A$7:$AB$1006,MATCH(N20,INDEX('Coëfficiënten'!$A$7:$AB$1006,0,$AB20),1),$AB20+1),1))</f>
        <v/>
      </c>
      <c r="Y20" s="15">
        <f>IF(OR($B20="",COUNT($O20:$X20)=0),"",IFERROR(LARGE($O20:$X20,1),0)*($AB$5&gt;=1)+IFERROR(LARGE($O20:$X20,2),0)*($AB$5&gt;=2)+IFERROR(LARGE($O20:$X20,3),0)*($AB$5&gt;=3)+IFERROR(LARGE($O20:$X20,4),0)*($AB$5&gt;=4)+IFERROR(LARGE($O20:$X20,5),0)*($AB$5&gt;=5)+IFERROR(LARGE($O20:$X20,6),0)*($AB$5&gt;=6)+IFERROR(LARGE($O20:$X20,7),0)*($AB$5&gt;=7)+IFERROR(LARGE($O20:$X20,8),0)*($AB$5&gt;=8)+IFERROR(LARGE($O20:$X20,9),0)*($AB$5&gt;=9)+IFERROR(LARGE($O20:$X20,10),0)*($AB$5&gt;=10))</f>
        <v/>
      </c>
      <c r="Z20" s="14">
        <f>IF(N($Y20)=0,"",$Y20/MIN($AB$5,COUNT($O20:$X20)))</f>
        <v/>
      </c>
      <c r="AA20" s="7">
        <f>IF(N($Y20)=0,"",RANK($Y20,$Y$7:$Y$66))</f>
        <v/>
      </c>
      <c r="AB20" s="11">
        <f>IF(OR($C20="",$D20=""),"",IFERROR(MATCH($C20&amp;"|"&amp;VLOOKUP($D20,Uitleg!$B$23:$C$33,2,FALSE),'Coëfficiënten'!$A$5:$AB$5,0),""))</f>
        <v/>
      </c>
      <c r="AC20" s="11">
        <f>IF(N($Y20)=0,"",$Y20+(67-ROW())/1000000000)</f>
        <v/>
      </c>
    </row>
    <row r="21">
      <c r="A21" s="11">
        <f>ROW()-6</f>
        <v/>
      </c>
      <c r="B21" s="12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4">
        <f>IF(OR($AB21="",N(E21)&lt;=0),"",ROUND(E21*INDEX('Coëfficiënten'!$A$7:$AB$1006,MATCH(E21,INDEX('Coëfficiënten'!$A$7:$AB$1006,0,$AB21),1),$AB21+1),1))</f>
        <v/>
      </c>
      <c r="P21" s="14">
        <f>IF(OR($AB21="",N(F21)&lt;=0),"",ROUND(F21*INDEX('Coëfficiënten'!$A$7:$AB$1006,MATCH(F21,INDEX('Coëfficiënten'!$A$7:$AB$1006,0,$AB21),1),$AB21+1),1))</f>
        <v/>
      </c>
      <c r="Q21" s="14">
        <f>IF(OR($AB21="",N(G21)&lt;=0),"",ROUND(G21*INDEX('Coëfficiënten'!$A$7:$AB$1006,MATCH(G21,INDEX('Coëfficiënten'!$A$7:$AB$1006,0,$AB21),1),$AB21+1),1))</f>
        <v/>
      </c>
      <c r="R21" s="14">
        <f>IF(OR($AB21="",N(H21)&lt;=0),"",ROUND(H21*INDEX('Coëfficiënten'!$A$7:$AB$1006,MATCH(H21,INDEX('Coëfficiënten'!$A$7:$AB$1006,0,$AB21),1),$AB21+1),1))</f>
        <v/>
      </c>
      <c r="S21" s="14">
        <f>IF(OR($AB21="",N(I21)&lt;=0),"",ROUND(I21*INDEX('Coëfficiënten'!$A$7:$AB$1006,MATCH(I21,INDEX('Coëfficiënten'!$A$7:$AB$1006,0,$AB21),1),$AB21+1),1))</f>
        <v/>
      </c>
      <c r="T21" s="14">
        <f>IF(OR($AB21="",N(J21)&lt;=0),"",ROUND(J21*INDEX('Coëfficiënten'!$A$7:$AB$1006,MATCH(J21,INDEX('Coëfficiënten'!$A$7:$AB$1006,0,$AB21),1),$AB21+1),1))</f>
        <v/>
      </c>
      <c r="U21" s="14">
        <f>IF(OR($AB21="",N(K21)&lt;=0),"",ROUND(K21*INDEX('Coëfficiënten'!$A$7:$AB$1006,MATCH(K21,INDEX('Coëfficiënten'!$A$7:$AB$1006,0,$AB21),1),$AB21+1),1))</f>
        <v/>
      </c>
      <c r="V21" s="14">
        <f>IF(OR($AB21="",N(L21)&lt;=0),"",ROUND(L21*INDEX('Coëfficiënten'!$A$7:$AB$1006,MATCH(L21,INDEX('Coëfficiënten'!$A$7:$AB$1006,0,$AB21),1),$AB21+1),1))</f>
        <v/>
      </c>
      <c r="W21" s="14">
        <f>IF(OR($AB21="",N(M21)&lt;=0),"",ROUND(M21*INDEX('Coëfficiënten'!$A$7:$AB$1006,MATCH(M21,INDEX('Coëfficiënten'!$A$7:$AB$1006,0,$AB21),1),$AB21+1),1))</f>
        <v/>
      </c>
      <c r="X21" s="14">
        <f>IF(OR($AB21="",N(N21)&lt;=0),"",ROUND(N21*INDEX('Coëfficiënten'!$A$7:$AB$1006,MATCH(N21,INDEX('Coëfficiënten'!$A$7:$AB$1006,0,$AB21),1),$AB21+1),1))</f>
        <v/>
      </c>
      <c r="Y21" s="15">
        <f>IF(OR($B21="",COUNT($O21:$X21)=0),"",IFERROR(LARGE($O21:$X21,1),0)*($AB$5&gt;=1)+IFERROR(LARGE($O21:$X21,2),0)*($AB$5&gt;=2)+IFERROR(LARGE($O21:$X21,3),0)*($AB$5&gt;=3)+IFERROR(LARGE($O21:$X21,4),0)*($AB$5&gt;=4)+IFERROR(LARGE($O21:$X21,5),0)*($AB$5&gt;=5)+IFERROR(LARGE($O21:$X21,6),0)*($AB$5&gt;=6)+IFERROR(LARGE($O21:$X21,7),0)*($AB$5&gt;=7)+IFERROR(LARGE($O21:$X21,8),0)*($AB$5&gt;=8)+IFERROR(LARGE($O21:$X21,9),0)*($AB$5&gt;=9)+IFERROR(LARGE($O21:$X21,10),0)*($AB$5&gt;=10))</f>
        <v/>
      </c>
      <c r="Z21" s="14">
        <f>IF(N($Y21)=0,"",$Y21/MIN($AB$5,COUNT($O21:$X21)))</f>
        <v/>
      </c>
      <c r="AA21" s="7">
        <f>IF(N($Y21)=0,"",RANK($Y21,$Y$7:$Y$66))</f>
        <v/>
      </c>
      <c r="AB21" s="11">
        <f>IF(OR($C21="",$D21=""),"",IFERROR(MATCH($C21&amp;"|"&amp;VLOOKUP($D21,Uitleg!$B$23:$C$33,2,FALSE),'Coëfficiënten'!$A$5:$AB$5,0),""))</f>
        <v/>
      </c>
      <c r="AC21" s="11">
        <f>IF(N($Y21)=0,"",$Y21+(67-ROW())/1000000000)</f>
        <v/>
      </c>
    </row>
    <row r="22">
      <c r="A22" s="11">
        <f>ROW()-6</f>
        <v/>
      </c>
      <c r="B22" s="12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4">
        <f>IF(OR($AB22="",N(E22)&lt;=0),"",ROUND(E22*INDEX('Coëfficiënten'!$A$7:$AB$1006,MATCH(E22,INDEX('Coëfficiënten'!$A$7:$AB$1006,0,$AB22),1),$AB22+1),1))</f>
        <v/>
      </c>
      <c r="P22" s="14">
        <f>IF(OR($AB22="",N(F22)&lt;=0),"",ROUND(F22*INDEX('Coëfficiënten'!$A$7:$AB$1006,MATCH(F22,INDEX('Coëfficiënten'!$A$7:$AB$1006,0,$AB22),1),$AB22+1),1))</f>
        <v/>
      </c>
      <c r="Q22" s="14">
        <f>IF(OR($AB22="",N(G22)&lt;=0),"",ROUND(G22*INDEX('Coëfficiënten'!$A$7:$AB$1006,MATCH(G22,INDEX('Coëfficiënten'!$A$7:$AB$1006,0,$AB22),1),$AB22+1),1))</f>
        <v/>
      </c>
      <c r="R22" s="14">
        <f>IF(OR($AB22="",N(H22)&lt;=0),"",ROUND(H22*INDEX('Coëfficiënten'!$A$7:$AB$1006,MATCH(H22,INDEX('Coëfficiënten'!$A$7:$AB$1006,0,$AB22),1),$AB22+1),1))</f>
        <v/>
      </c>
      <c r="S22" s="14">
        <f>IF(OR($AB22="",N(I22)&lt;=0),"",ROUND(I22*INDEX('Coëfficiënten'!$A$7:$AB$1006,MATCH(I22,INDEX('Coëfficiënten'!$A$7:$AB$1006,0,$AB22),1),$AB22+1),1))</f>
        <v/>
      </c>
      <c r="T22" s="14">
        <f>IF(OR($AB22="",N(J22)&lt;=0),"",ROUND(J22*INDEX('Coëfficiënten'!$A$7:$AB$1006,MATCH(J22,INDEX('Coëfficiënten'!$A$7:$AB$1006,0,$AB22),1),$AB22+1),1))</f>
        <v/>
      </c>
      <c r="U22" s="14">
        <f>IF(OR($AB22="",N(K22)&lt;=0),"",ROUND(K22*INDEX('Coëfficiënten'!$A$7:$AB$1006,MATCH(K22,INDEX('Coëfficiënten'!$A$7:$AB$1006,0,$AB22),1),$AB22+1),1))</f>
        <v/>
      </c>
      <c r="V22" s="14">
        <f>IF(OR($AB22="",N(L22)&lt;=0),"",ROUND(L22*INDEX('Coëfficiënten'!$A$7:$AB$1006,MATCH(L22,INDEX('Coëfficiënten'!$A$7:$AB$1006,0,$AB22),1),$AB22+1),1))</f>
        <v/>
      </c>
      <c r="W22" s="14">
        <f>IF(OR($AB22="",N(M22)&lt;=0),"",ROUND(M22*INDEX('Coëfficiënten'!$A$7:$AB$1006,MATCH(M22,INDEX('Coëfficiënten'!$A$7:$AB$1006,0,$AB22),1),$AB22+1),1))</f>
        <v/>
      </c>
      <c r="X22" s="14">
        <f>IF(OR($AB22="",N(N22)&lt;=0),"",ROUND(N22*INDEX('Coëfficiënten'!$A$7:$AB$1006,MATCH(N22,INDEX('Coëfficiënten'!$A$7:$AB$1006,0,$AB22),1),$AB22+1),1))</f>
        <v/>
      </c>
      <c r="Y22" s="15">
        <f>IF(OR($B22="",COUNT($O22:$X22)=0),"",IFERROR(LARGE($O22:$X22,1),0)*($AB$5&gt;=1)+IFERROR(LARGE($O22:$X22,2),0)*($AB$5&gt;=2)+IFERROR(LARGE($O22:$X22,3),0)*($AB$5&gt;=3)+IFERROR(LARGE($O22:$X22,4),0)*($AB$5&gt;=4)+IFERROR(LARGE($O22:$X22,5),0)*($AB$5&gt;=5)+IFERROR(LARGE($O22:$X22,6),0)*($AB$5&gt;=6)+IFERROR(LARGE($O22:$X22,7),0)*($AB$5&gt;=7)+IFERROR(LARGE($O22:$X22,8),0)*($AB$5&gt;=8)+IFERROR(LARGE($O22:$X22,9),0)*($AB$5&gt;=9)+IFERROR(LARGE($O22:$X22,10),0)*($AB$5&gt;=10))</f>
        <v/>
      </c>
      <c r="Z22" s="14">
        <f>IF(N($Y22)=0,"",$Y22/MIN($AB$5,COUNT($O22:$X22)))</f>
        <v/>
      </c>
      <c r="AA22" s="7">
        <f>IF(N($Y22)=0,"",RANK($Y22,$Y$7:$Y$66))</f>
        <v/>
      </c>
      <c r="AB22" s="11">
        <f>IF(OR($C22="",$D22=""),"",IFERROR(MATCH($C22&amp;"|"&amp;VLOOKUP($D22,Uitleg!$B$23:$C$33,2,FALSE),'Coëfficiënten'!$A$5:$AB$5,0),""))</f>
        <v/>
      </c>
      <c r="AC22" s="11">
        <f>IF(N($Y22)=0,"",$Y22+(67-ROW())/1000000000)</f>
        <v/>
      </c>
    </row>
    <row r="23">
      <c r="A23" s="11">
        <f>ROW()-6</f>
        <v/>
      </c>
      <c r="B23" s="12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4">
        <f>IF(OR($AB23="",N(E23)&lt;=0),"",ROUND(E23*INDEX('Coëfficiënten'!$A$7:$AB$1006,MATCH(E23,INDEX('Coëfficiënten'!$A$7:$AB$1006,0,$AB23),1),$AB23+1),1))</f>
        <v/>
      </c>
      <c r="P23" s="14">
        <f>IF(OR($AB23="",N(F23)&lt;=0),"",ROUND(F23*INDEX('Coëfficiënten'!$A$7:$AB$1006,MATCH(F23,INDEX('Coëfficiënten'!$A$7:$AB$1006,0,$AB23),1),$AB23+1),1))</f>
        <v/>
      </c>
      <c r="Q23" s="14">
        <f>IF(OR($AB23="",N(G23)&lt;=0),"",ROUND(G23*INDEX('Coëfficiënten'!$A$7:$AB$1006,MATCH(G23,INDEX('Coëfficiënten'!$A$7:$AB$1006,0,$AB23),1),$AB23+1),1))</f>
        <v/>
      </c>
      <c r="R23" s="14">
        <f>IF(OR($AB23="",N(H23)&lt;=0),"",ROUND(H23*INDEX('Coëfficiënten'!$A$7:$AB$1006,MATCH(H23,INDEX('Coëfficiënten'!$A$7:$AB$1006,0,$AB23),1),$AB23+1),1))</f>
        <v/>
      </c>
      <c r="S23" s="14">
        <f>IF(OR($AB23="",N(I23)&lt;=0),"",ROUND(I23*INDEX('Coëfficiënten'!$A$7:$AB$1006,MATCH(I23,INDEX('Coëfficiënten'!$A$7:$AB$1006,0,$AB23),1),$AB23+1),1))</f>
        <v/>
      </c>
      <c r="T23" s="14">
        <f>IF(OR($AB23="",N(J23)&lt;=0),"",ROUND(J23*INDEX('Coëfficiënten'!$A$7:$AB$1006,MATCH(J23,INDEX('Coëfficiënten'!$A$7:$AB$1006,0,$AB23),1),$AB23+1),1))</f>
        <v/>
      </c>
      <c r="U23" s="14">
        <f>IF(OR($AB23="",N(K23)&lt;=0),"",ROUND(K23*INDEX('Coëfficiënten'!$A$7:$AB$1006,MATCH(K23,INDEX('Coëfficiënten'!$A$7:$AB$1006,0,$AB23),1),$AB23+1),1))</f>
        <v/>
      </c>
      <c r="V23" s="14">
        <f>IF(OR($AB23="",N(L23)&lt;=0),"",ROUND(L23*INDEX('Coëfficiënten'!$A$7:$AB$1006,MATCH(L23,INDEX('Coëfficiënten'!$A$7:$AB$1006,0,$AB23),1),$AB23+1),1))</f>
        <v/>
      </c>
      <c r="W23" s="14">
        <f>IF(OR($AB23="",N(M23)&lt;=0),"",ROUND(M23*INDEX('Coëfficiënten'!$A$7:$AB$1006,MATCH(M23,INDEX('Coëfficiënten'!$A$7:$AB$1006,0,$AB23),1),$AB23+1),1))</f>
        <v/>
      </c>
      <c r="X23" s="14">
        <f>IF(OR($AB23="",N(N23)&lt;=0),"",ROUND(N23*INDEX('Coëfficiënten'!$A$7:$AB$1006,MATCH(N23,INDEX('Coëfficiënten'!$A$7:$AB$1006,0,$AB23),1),$AB23+1),1))</f>
        <v/>
      </c>
      <c r="Y23" s="15">
        <f>IF(OR($B23="",COUNT($O23:$X23)=0),"",IFERROR(LARGE($O23:$X23,1),0)*($AB$5&gt;=1)+IFERROR(LARGE($O23:$X23,2),0)*($AB$5&gt;=2)+IFERROR(LARGE($O23:$X23,3),0)*($AB$5&gt;=3)+IFERROR(LARGE($O23:$X23,4),0)*($AB$5&gt;=4)+IFERROR(LARGE($O23:$X23,5),0)*($AB$5&gt;=5)+IFERROR(LARGE($O23:$X23,6),0)*($AB$5&gt;=6)+IFERROR(LARGE($O23:$X23,7),0)*($AB$5&gt;=7)+IFERROR(LARGE($O23:$X23,8),0)*($AB$5&gt;=8)+IFERROR(LARGE($O23:$X23,9),0)*($AB$5&gt;=9)+IFERROR(LARGE($O23:$X23,10),0)*($AB$5&gt;=10))</f>
        <v/>
      </c>
      <c r="Z23" s="14">
        <f>IF(N($Y23)=0,"",$Y23/MIN($AB$5,COUNT($O23:$X23)))</f>
        <v/>
      </c>
      <c r="AA23" s="7">
        <f>IF(N($Y23)=0,"",RANK($Y23,$Y$7:$Y$66))</f>
        <v/>
      </c>
      <c r="AB23" s="11">
        <f>IF(OR($C23="",$D23=""),"",IFERROR(MATCH($C23&amp;"|"&amp;VLOOKUP($D23,Uitleg!$B$23:$C$33,2,FALSE),'Coëfficiënten'!$A$5:$AB$5,0),""))</f>
        <v/>
      </c>
      <c r="AC23" s="11">
        <f>IF(N($Y23)=0,"",$Y23+(67-ROW())/1000000000)</f>
        <v/>
      </c>
    </row>
    <row r="24">
      <c r="A24" s="11">
        <f>ROW()-6</f>
        <v/>
      </c>
      <c r="B24" s="12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4">
        <f>IF(OR($AB24="",N(E24)&lt;=0),"",ROUND(E24*INDEX('Coëfficiënten'!$A$7:$AB$1006,MATCH(E24,INDEX('Coëfficiënten'!$A$7:$AB$1006,0,$AB24),1),$AB24+1),1))</f>
        <v/>
      </c>
      <c r="P24" s="14">
        <f>IF(OR($AB24="",N(F24)&lt;=0),"",ROUND(F24*INDEX('Coëfficiënten'!$A$7:$AB$1006,MATCH(F24,INDEX('Coëfficiënten'!$A$7:$AB$1006,0,$AB24),1),$AB24+1),1))</f>
        <v/>
      </c>
      <c r="Q24" s="14">
        <f>IF(OR($AB24="",N(G24)&lt;=0),"",ROUND(G24*INDEX('Coëfficiënten'!$A$7:$AB$1006,MATCH(G24,INDEX('Coëfficiënten'!$A$7:$AB$1006,0,$AB24),1),$AB24+1),1))</f>
        <v/>
      </c>
      <c r="R24" s="14">
        <f>IF(OR($AB24="",N(H24)&lt;=0),"",ROUND(H24*INDEX('Coëfficiënten'!$A$7:$AB$1006,MATCH(H24,INDEX('Coëfficiënten'!$A$7:$AB$1006,0,$AB24),1),$AB24+1),1))</f>
        <v/>
      </c>
      <c r="S24" s="14">
        <f>IF(OR($AB24="",N(I24)&lt;=0),"",ROUND(I24*INDEX('Coëfficiënten'!$A$7:$AB$1006,MATCH(I24,INDEX('Coëfficiënten'!$A$7:$AB$1006,0,$AB24),1),$AB24+1),1))</f>
        <v/>
      </c>
      <c r="T24" s="14">
        <f>IF(OR($AB24="",N(J24)&lt;=0),"",ROUND(J24*INDEX('Coëfficiënten'!$A$7:$AB$1006,MATCH(J24,INDEX('Coëfficiënten'!$A$7:$AB$1006,0,$AB24),1),$AB24+1),1))</f>
        <v/>
      </c>
      <c r="U24" s="14">
        <f>IF(OR($AB24="",N(K24)&lt;=0),"",ROUND(K24*INDEX('Coëfficiënten'!$A$7:$AB$1006,MATCH(K24,INDEX('Coëfficiënten'!$A$7:$AB$1006,0,$AB24),1),$AB24+1),1))</f>
        <v/>
      </c>
      <c r="V24" s="14">
        <f>IF(OR($AB24="",N(L24)&lt;=0),"",ROUND(L24*INDEX('Coëfficiënten'!$A$7:$AB$1006,MATCH(L24,INDEX('Coëfficiënten'!$A$7:$AB$1006,0,$AB24),1),$AB24+1),1))</f>
        <v/>
      </c>
      <c r="W24" s="14">
        <f>IF(OR($AB24="",N(M24)&lt;=0),"",ROUND(M24*INDEX('Coëfficiënten'!$A$7:$AB$1006,MATCH(M24,INDEX('Coëfficiënten'!$A$7:$AB$1006,0,$AB24),1),$AB24+1),1))</f>
        <v/>
      </c>
      <c r="X24" s="14">
        <f>IF(OR($AB24="",N(N24)&lt;=0),"",ROUND(N24*INDEX('Coëfficiënten'!$A$7:$AB$1006,MATCH(N24,INDEX('Coëfficiënten'!$A$7:$AB$1006,0,$AB24),1),$AB24+1),1))</f>
        <v/>
      </c>
      <c r="Y24" s="15">
        <f>IF(OR($B24="",COUNT($O24:$X24)=0),"",IFERROR(LARGE($O24:$X24,1),0)*($AB$5&gt;=1)+IFERROR(LARGE($O24:$X24,2),0)*($AB$5&gt;=2)+IFERROR(LARGE($O24:$X24,3),0)*($AB$5&gt;=3)+IFERROR(LARGE($O24:$X24,4),0)*($AB$5&gt;=4)+IFERROR(LARGE($O24:$X24,5),0)*($AB$5&gt;=5)+IFERROR(LARGE($O24:$X24,6),0)*($AB$5&gt;=6)+IFERROR(LARGE($O24:$X24,7),0)*($AB$5&gt;=7)+IFERROR(LARGE($O24:$X24,8),0)*($AB$5&gt;=8)+IFERROR(LARGE($O24:$X24,9),0)*($AB$5&gt;=9)+IFERROR(LARGE($O24:$X24,10),0)*($AB$5&gt;=10))</f>
        <v/>
      </c>
      <c r="Z24" s="14">
        <f>IF(N($Y24)=0,"",$Y24/MIN($AB$5,COUNT($O24:$X24)))</f>
        <v/>
      </c>
      <c r="AA24" s="7">
        <f>IF(N($Y24)=0,"",RANK($Y24,$Y$7:$Y$66))</f>
        <v/>
      </c>
      <c r="AB24" s="11">
        <f>IF(OR($C24="",$D24=""),"",IFERROR(MATCH($C24&amp;"|"&amp;VLOOKUP($D24,Uitleg!$B$23:$C$33,2,FALSE),'Coëfficiënten'!$A$5:$AB$5,0),""))</f>
        <v/>
      </c>
      <c r="AC24" s="11">
        <f>IF(N($Y24)=0,"",$Y24+(67-ROW())/1000000000)</f>
        <v/>
      </c>
    </row>
    <row r="25">
      <c r="A25" s="11">
        <f>ROW()-6</f>
        <v/>
      </c>
      <c r="B25" s="12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4">
        <f>IF(OR($AB25="",N(E25)&lt;=0),"",ROUND(E25*INDEX('Coëfficiënten'!$A$7:$AB$1006,MATCH(E25,INDEX('Coëfficiënten'!$A$7:$AB$1006,0,$AB25),1),$AB25+1),1))</f>
        <v/>
      </c>
      <c r="P25" s="14">
        <f>IF(OR($AB25="",N(F25)&lt;=0),"",ROUND(F25*INDEX('Coëfficiënten'!$A$7:$AB$1006,MATCH(F25,INDEX('Coëfficiënten'!$A$7:$AB$1006,0,$AB25),1),$AB25+1),1))</f>
        <v/>
      </c>
      <c r="Q25" s="14">
        <f>IF(OR($AB25="",N(G25)&lt;=0),"",ROUND(G25*INDEX('Coëfficiënten'!$A$7:$AB$1006,MATCH(G25,INDEX('Coëfficiënten'!$A$7:$AB$1006,0,$AB25),1),$AB25+1),1))</f>
        <v/>
      </c>
      <c r="R25" s="14">
        <f>IF(OR($AB25="",N(H25)&lt;=0),"",ROUND(H25*INDEX('Coëfficiënten'!$A$7:$AB$1006,MATCH(H25,INDEX('Coëfficiënten'!$A$7:$AB$1006,0,$AB25),1),$AB25+1),1))</f>
        <v/>
      </c>
      <c r="S25" s="14">
        <f>IF(OR($AB25="",N(I25)&lt;=0),"",ROUND(I25*INDEX('Coëfficiënten'!$A$7:$AB$1006,MATCH(I25,INDEX('Coëfficiënten'!$A$7:$AB$1006,0,$AB25),1),$AB25+1),1))</f>
        <v/>
      </c>
      <c r="T25" s="14">
        <f>IF(OR($AB25="",N(J25)&lt;=0),"",ROUND(J25*INDEX('Coëfficiënten'!$A$7:$AB$1006,MATCH(J25,INDEX('Coëfficiënten'!$A$7:$AB$1006,0,$AB25),1),$AB25+1),1))</f>
        <v/>
      </c>
      <c r="U25" s="14">
        <f>IF(OR($AB25="",N(K25)&lt;=0),"",ROUND(K25*INDEX('Coëfficiënten'!$A$7:$AB$1006,MATCH(K25,INDEX('Coëfficiënten'!$A$7:$AB$1006,0,$AB25),1),$AB25+1),1))</f>
        <v/>
      </c>
      <c r="V25" s="14">
        <f>IF(OR($AB25="",N(L25)&lt;=0),"",ROUND(L25*INDEX('Coëfficiënten'!$A$7:$AB$1006,MATCH(L25,INDEX('Coëfficiënten'!$A$7:$AB$1006,0,$AB25),1),$AB25+1),1))</f>
        <v/>
      </c>
      <c r="W25" s="14">
        <f>IF(OR($AB25="",N(M25)&lt;=0),"",ROUND(M25*INDEX('Coëfficiënten'!$A$7:$AB$1006,MATCH(M25,INDEX('Coëfficiënten'!$A$7:$AB$1006,0,$AB25),1),$AB25+1),1))</f>
        <v/>
      </c>
      <c r="X25" s="14">
        <f>IF(OR($AB25="",N(N25)&lt;=0),"",ROUND(N25*INDEX('Coëfficiënten'!$A$7:$AB$1006,MATCH(N25,INDEX('Coëfficiënten'!$A$7:$AB$1006,0,$AB25),1),$AB25+1),1))</f>
        <v/>
      </c>
      <c r="Y25" s="15">
        <f>IF(OR($B25="",COUNT($O25:$X25)=0),"",IFERROR(LARGE($O25:$X25,1),0)*($AB$5&gt;=1)+IFERROR(LARGE($O25:$X25,2),0)*($AB$5&gt;=2)+IFERROR(LARGE($O25:$X25,3),0)*($AB$5&gt;=3)+IFERROR(LARGE($O25:$X25,4),0)*($AB$5&gt;=4)+IFERROR(LARGE($O25:$X25,5),0)*($AB$5&gt;=5)+IFERROR(LARGE($O25:$X25,6),0)*($AB$5&gt;=6)+IFERROR(LARGE($O25:$X25,7),0)*($AB$5&gt;=7)+IFERROR(LARGE($O25:$X25,8),0)*($AB$5&gt;=8)+IFERROR(LARGE($O25:$X25,9),0)*($AB$5&gt;=9)+IFERROR(LARGE($O25:$X25,10),0)*($AB$5&gt;=10))</f>
        <v/>
      </c>
      <c r="Z25" s="14">
        <f>IF(N($Y25)=0,"",$Y25/MIN($AB$5,COUNT($O25:$X25)))</f>
        <v/>
      </c>
      <c r="AA25" s="7">
        <f>IF(N($Y25)=0,"",RANK($Y25,$Y$7:$Y$66))</f>
        <v/>
      </c>
      <c r="AB25" s="11">
        <f>IF(OR($C25="",$D25=""),"",IFERROR(MATCH($C25&amp;"|"&amp;VLOOKUP($D25,Uitleg!$B$23:$C$33,2,FALSE),'Coëfficiënten'!$A$5:$AB$5,0),""))</f>
        <v/>
      </c>
      <c r="AC25" s="11">
        <f>IF(N($Y25)=0,"",$Y25+(67-ROW())/1000000000)</f>
        <v/>
      </c>
    </row>
    <row r="26">
      <c r="A26" s="11">
        <f>ROW()-6</f>
        <v/>
      </c>
      <c r="B26" s="12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4">
        <f>IF(OR($AB26="",N(E26)&lt;=0),"",ROUND(E26*INDEX('Coëfficiënten'!$A$7:$AB$1006,MATCH(E26,INDEX('Coëfficiënten'!$A$7:$AB$1006,0,$AB26),1),$AB26+1),1))</f>
        <v/>
      </c>
      <c r="P26" s="14">
        <f>IF(OR($AB26="",N(F26)&lt;=0),"",ROUND(F26*INDEX('Coëfficiënten'!$A$7:$AB$1006,MATCH(F26,INDEX('Coëfficiënten'!$A$7:$AB$1006,0,$AB26),1),$AB26+1),1))</f>
        <v/>
      </c>
      <c r="Q26" s="14">
        <f>IF(OR($AB26="",N(G26)&lt;=0),"",ROUND(G26*INDEX('Coëfficiënten'!$A$7:$AB$1006,MATCH(G26,INDEX('Coëfficiënten'!$A$7:$AB$1006,0,$AB26),1),$AB26+1),1))</f>
        <v/>
      </c>
      <c r="R26" s="14">
        <f>IF(OR($AB26="",N(H26)&lt;=0),"",ROUND(H26*INDEX('Coëfficiënten'!$A$7:$AB$1006,MATCH(H26,INDEX('Coëfficiënten'!$A$7:$AB$1006,0,$AB26),1),$AB26+1),1))</f>
        <v/>
      </c>
      <c r="S26" s="14">
        <f>IF(OR($AB26="",N(I26)&lt;=0),"",ROUND(I26*INDEX('Coëfficiënten'!$A$7:$AB$1006,MATCH(I26,INDEX('Coëfficiënten'!$A$7:$AB$1006,0,$AB26),1),$AB26+1),1))</f>
        <v/>
      </c>
      <c r="T26" s="14">
        <f>IF(OR($AB26="",N(J26)&lt;=0),"",ROUND(J26*INDEX('Coëfficiënten'!$A$7:$AB$1006,MATCH(J26,INDEX('Coëfficiënten'!$A$7:$AB$1006,0,$AB26),1),$AB26+1),1))</f>
        <v/>
      </c>
      <c r="U26" s="14">
        <f>IF(OR($AB26="",N(K26)&lt;=0),"",ROUND(K26*INDEX('Coëfficiënten'!$A$7:$AB$1006,MATCH(K26,INDEX('Coëfficiënten'!$A$7:$AB$1006,0,$AB26),1),$AB26+1),1))</f>
        <v/>
      </c>
      <c r="V26" s="14">
        <f>IF(OR($AB26="",N(L26)&lt;=0),"",ROUND(L26*INDEX('Coëfficiënten'!$A$7:$AB$1006,MATCH(L26,INDEX('Coëfficiënten'!$A$7:$AB$1006,0,$AB26),1),$AB26+1),1))</f>
        <v/>
      </c>
      <c r="W26" s="14">
        <f>IF(OR($AB26="",N(M26)&lt;=0),"",ROUND(M26*INDEX('Coëfficiënten'!$A$7:$AB$1006,MATCH(M26,INDEX('Coëfficiënten'!$A$7:$AB$1006,0,$AB26),1),$AB26+1),1))</f>
        <v/>
      </c>
      <c r="X26" s="14">
        <f>IF(OR($AB26="",N(N26)&lt;=0),"",ROUND(N26*INDEX('Coëfficiënten'!$A$7:$AB$1006,MATCH(N26,INDEX('Coëfficiënten'!$A$7:$AB$1006,0,$AB26),1),$AB26+1),1))</f>
        <v/>
      </c>
      <c r="Y26" s="15">
        <f>IF(OR($B26="",COUNT($O26:$X26)=0),"",IFERROR(LARGE($O26:$X26,1),0)*($AB$5&gt;=1)+IFERROR(LARGE($O26:$X26,2),0)*($AB$5&gt;=2)+IFERROR(LARGE($O26:$X26,3),0)*($AB$5&gt;=3)+IFERROR(LARGE($O26:$X26,4),0)*($AB$5&gt;=4)+IFERROR(LARGE($O26:$X26,5),0)*($AB$5&gt;=5)+IFERROR(LARGE($O26:$X26,6),0)*($AB$5&gt;=6)+IFERROR(LARGE($O26:$X26,7),0)*($AB$5&gt;=7)+IFERROR(LARGE($O26:$X26,8),0)*($AB$5&gt;=8)+IFERROR(LARGE($O26:$X26,9),0)*($AB$5&gt;=9)+IFERROR(LARGE($O26:$X26,10),0)*($AB$5&gt;=10))</f>
        <v/>
      </c>
      <c r="Z26" s="14">
        <f>IF(N($Y26)=0,"",$Y26/MIN($AB$5,COUNT($O26:$X26)))</f>
        <v/>
      </c>
      <c r="AA26" s="7">
        <f>IF(N($Y26)=0,"",RANK($Y26,$Y$7:$Y$66))</f>
        <v/>
      </c>
      <c r="AB26" s="11">
        <f>IF(OR($C26="",$D26=""),"",IFERROR(MATCH($C26&amp;"|"&amp;VLOOKUP($D26,Uitleg!$B$23:$C$33,2,FALSE),'Coëfficiënten'!$A$5:$AB$5,0),""))</f>
        <v/>
      </c>
      <c r="AC26" s="11">
        <f>IF(N($Y26)=0,"",$Y26+(67-ROW())/1000000000)</f>
        <v/>
      </c>
    </row>
    <row r="27">
      <c r="A27" s="11">
        <f>ROW()-6</f>
        <v/>
      </c>
      <c r="B27" s="12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4">
        <f>IF(OR($AB27="",N(E27)&lt;=0),"",ROUND(E27*INDEX('Coëfficiënten'!$A$7:$AB$1006,MATCH(E27,INDEX('Coëfficiënten'!$A$7:$AB$1006,0,$AB27),1),$AB27+1),1))</f>
        <v/>
      </c>
      <c r="P27" s="14">
        <f>IF(OR($AB27="",N(F27)&lt;=0),"",ROUND(F27*INDEX('Coëfficiënten'!$A$7:$AB$1006,MATCH(F27,INDEX('Coëfficiënten'!$A$7:$AB$1006,0,$AB27),1),$AB27+1),1))</f>
        <v/>
      </c>
      <c r="Q27" s="14">
        <f>IF(OR($AB27="",N(G27)&lt;=0),"",ROUND(G27*INDEX('Coëfficiënten'!$A$7:$AB$1006,MATCH(G27,INDEX('Coëfficiënten'!$A$7:$AB$1006,0,$AB27),1),$AB27+1),1))</f>
        <v/>
      </c>
      <c r="R27" s="14">
        <f>IF(OR($AB27="",N(H27)&lt;=0),"",ROUND(H27*INDEX('Coëfficiënten'!$A$7:$AB$1006,MATCH(H27,INDEX('Coëfficiënten'!$A$7:$AB$1006,0,$AB27),1),$AB27+1),1))</f>
        <v/>
      </c>
      <c r="S27" s="14">
        <f>IF(OR($AB27="",N(I27)&lt;=0),"",ROUND(I27*INDEX('Coëfficiënten'!$A$7:$AB$1006,MATCH(I27,INDEX('Coëfficiënten'!$A$7:$AB$1006,0,$AB27),1),$AB27+1),1))</f>
        <v/>
      </c>
      <c r="T27" s="14">
        <f>IF(OR($AB27="",N(J27)&lt;=0),"",ROUND(J27*INDEX('Coëfficiënten'!$A$7:$AB$1006,MATCH(J27,INDEX('Coëfficiënten'!$A$7:$AB$1006,0,$AB27),1),$AB27+1),1))</f>
        <v/>
      </c>
      <c r="U27" s="14">
        <f>IF(OR($AB27="",N(K27)&lt;=0),"",ROUND(K27*INDEX('Coëfficiënten'!$A$7:$AB$1006,MATCH(K27,INDEX('Coëfficiënten'!$A$7:$AB$1006,0,$AB27),1),$AB27+1),1))</f>
        <v/>
      </c>
      <c r="V27" s="14">
        <f>IF(OR($AB27="",N(L27)&lt;=0),"",ROUND(L27*INDEX('Coëfficiënten'!$A$7:$AB$1006,MATCH(L27,INDEX('Coëfficiënten'!$A$7:$AB$1006,0,$AB27),1),$AB27+1),1))</f>
        <v/>
      </c>
      <c r="W27" s="14">
        <f>IF(OR($AB27="",N(M27)&lt;=0),"",ROUND(M27*INDEX('Coëfficiënten'!$A$7:$AB$1006,MATCH(M27,INDEX('Coëfficiënten'!$A$7:$AB$1006,0,$AB27),1),$AB27+1),1))</f>
        <v/>
      </c>
      <c r="X27" s="14">
        <f>IF(OR($AB27="",N(N27)&lt;=0),"",ROUND(N27*INDEX('Coëfficiënten'!$A$7:$AB$1006,MATCH(N27,INDEX('Coëfficiënten'!$A$7:$AB$1006,0,$AB27),1),$AB27+1),1))</f>
        <v/>
      </c>
      <c r="Y27" s="15">
        <f>IF(OR($B27="",COUNT($O27:$X27)=0),"",IFERROR(LARGE($O27:$X27,1),0)*($AB$5&gt;=1)+IFERROR(LARGE($O27:$X27,2),0)*($AB$5&gt;=2)+IFERROR(LARGE($O27:$X27,3),0)*($AB$5&gt;=3)+IFERROR(LARGE($O27:$X27,4),0)*($AB$5&gt;=4)+IFERROR(LARGE($O27:$X27,5),0)*($AB$5&gt;=5)+IFERROR(LARGE($O27:$X27,6),0)*($AB$5&gt;=6)+IFERROR(LARGE($O27:$X27,7),0)*($AB$5&gt;=7)+IFERROR(LARGE($O27:$X27,8),0)*($AB$5&gt;=8)+IFERROR(LARGE($O27:$X27,9),0)*($AB$5&gt;=9)+IFERROR(LARGE($O27:$X27,10),0)*($AB$5&gt;=10))</f>
        <v/>
      </c>
      <c r="Z27" s="14">
        <f>IF(N($Y27)=0,"",$Y27/MIN($AB$5,COUNT($O27:$X27)))</f>
        <v/>
      </c>
      <c r="AA27" s="7">
        <f>IF(N($Y27)=0,"",RANK($Y27,$Y$7:$Y$66))</f>
        <v/>
      </c>
      <c r="AB27" s="11">
        <f>IF(OR($C27="",$D27=""),"",IFERROR(MATCH($C27&amp;"|"&amp;VLOOKUP($D27,Uitleg!$B$23:$C$33,2,FALSE),'Coëfficiënten'!$A$5:$AB$5,0),""))</f>
        <v/>
      </c>
      <c r="AC27" s="11">
        <f>IF(N($Y27)=0,"",$Y27+(67-ROW())/1000000000)</f>
        <v/>
      </c>
    </row>
    <row r="28">
      <c r="A28" s="11">
        <f>ROW()-6</f>
        <v/>
      </c>
      <c r="B28" s="12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4">
        <f>IF(OR($AB28="",N(E28)&lt;=0),"",ROUND(E28*INDEX('Coëfficiënten'!$A$7:$AB$1006,MATCH(E28,INDEX('Coëfficiënten'!$A$7:$AB$1006,0,$AB28),1),$AB28+1),1))</f>
        <v/>
      </c>
      <c r="P28" s="14">
        <f>IF(OR($AB28="",N(F28)&lt;=0),"",ROUND(F28*INDEX('Coëfficiënten'!$A$7:$AB$1006,MATCH(F28,INDEX('Coëfficiënten'!$A$7:$AB$1006,0,$AB28),1),$AB28+1),1))</f>
        <v/>
      </c>
      <c r="Q28" s="14">
        <f>IF(OR($AB28="",N(G28)&lt;=0),"",ROUND(G28*INDEX('Coëfficiënten'!$A$7:$AB$1006,MATCH(G28,INDEX('Coëfficiënten'!$A$7:$AB$1006,0,$AB28),1),$AB28+1),1))</f>
        <v/>
      </c>
      <c r="R28" s="14">
        <f>IF(OR($AB28="",N(H28)&lt;=0),"",ROUND(H28*INDEX('Coëfficiënten'!$A$7:$AB$1006,MATCH(H28,INDEX('Coëfficiënten'!$A$7:$AB$1006,0,$AB28),1),$AB28+1),1))</f>
        <v/>
      </c>
      <c r="S28" s="14">
        <f>IF(OR($AB28="",N(I28)&lt;=0),"",ROUND(I28*INDEX('Coëfficiënten'!$A$7:$AB$1006,MATCH(I28,INDEX('Coëfficiënten'!$A$7:$AB$1006,0,$AB28),1),$AB28+1),1))</f>
        <v/>
      </c>
      <c r="T28" s="14">
        <f>IF(OR($AB28="",N(J28)&lt;=0),"",ROUND(J28*INDEX('Coëfficiënten'!$A$7:$AB$1006,MATCH(J28,INDEX('Coëfficiënten'!$A$7:$AB$1006,0,$AB28),1),$AB28+1),1))</f>
        <v/>
      </c>
      <c r="U28" s="14">
        <f>IF(OR($AB28="",N(K28)&lt;=0),"",ROUND(K28*INDEX('Coëfficiënten'!$A$7:$AB$1006,MATCH(K28,INDEX('Coëfficiënten'!$A$7:$AB$1006,0,$AB28),1),$AB28+1),1))</f>
        <v/>
      </c>
      <c r="V28" s="14">
        <f>IF(OR($AB28="",N(L28)&lt;=0),"",ROUND(L28*INDEX('Coëfficiënten'!$A$7:$AB$1006,MATCH(L28,INDEX('Coëfficiënten'!$A$7:$AB$1006,0,$AB28),1),$AB28+1),1))</f>
        <v/>
      </c>
      <c r="W28" s="14">
        <f>IF(OR($AB28="",N(M28)&lt;=0),"",ROUND(M28*INDEX('Coëfficiënten'!$A$7:$AB$1006,MATCH(M28,INDEX('Coëfficiënten'!$A$7:$AB$1006,0,$AB28),1),$AB28+1),1))</f>
        <v/>
      </c>
      <c r="X28" s="14">
        <f>IF(OR($AB28="",N(N28)&lt;=0),"",ROUND(N28*INDEX('Coëfficiënten'!$A$7:$AB$1006,MATCH(N28,INDEX('Coëfficiënten'!$A$7:$AB$1006,0,$AB28),1),$AB28+1),1))</f>
        <v/>
      </c>
      <c r="Y28" s="15">
        <f>IF(OR($B28="",COUNT($O28:$X28)=0),"",IFERROR(LARGE($O28:$X28,1),0)*($AB$5&gt;=1)+IFERROR(LARGE($O28:$X28,2),0)*($AB$5&gt;=2)+IFERROR(LARGE($O28:$X28,3),0)*($AB$5&gt;=3)+IFERROR(LARGE($O28:$X28,4),0)*($AB$5&gt;=4)+IFERROR(LARGE($O28:$X28,5),0)*($AB$5&gt;=5)+IFERROR(LARGE($O28:$X28,6),0)*($AB$5&gt;=6)+IFERROR(LARGE($O28:$X28,7),0)*($AB$5&gt;=7)+IFERROR(LARGE($O28:$X28,8),0)*($AB$5&gt;=8)+IFERROR(LARGE($O28:$X28,9),0)*($AB$5&gt;=9)+IFERROR(LARGE($O28:$X28,10),0)*($AB$5&gt;=10))</f>
        <v/>
      </c>
      <c r="Z28" s="14">
        <f>IF(N($Y28)=0,"",$Y28/MIN($AB$5,COUNT($O28:$X28)))</f>
        <v/>
      </c>
      <c r="AA28" s="7">
        <f>IF(N($Y28)=0,"",RANK($Y28,$Y$7:$Y$66))</f>
        <v/>
      </c>
      <c r="AB28" s="11">
        <f>IF(OR($C28="",$D28=""),"",IFERROR(MATCH($C28&amp;"|"&amp;VLOOKUP($D28,Uitleg!$B$23:$C$33,2,FALSE),'Coëfficiënten'!$A$5:$AB$5,0),""))</f>
        <v/>
      </c>
      <c r="AC28" s="11">
        <f>IF(N($Y28)=0,"",$Y28+(67-ROW())/1000000000)</f>
        <v/>
      </c>
    </row>
    <row r="29">
      <c r="A29" s="11">
        <f>ROW()-6</f>
        <v/>
      </c>
      <c r="B29" s="12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4">
        <f>IF(OR($AB29="",N(E29)&lt;=0),"",ROUND(E29*INDEX('Coëfficiënten'!$A$7:$AB$1006,MATCH(E29,INDEX('Coëfficiënten'!$A$7:$AB$1006,0,$AB29),1),$AB29+1),1))</f>
        <v/>
      </c>
      <c r="P29" s="14">
        <f>IF(OR($AB29="",N(F29)&lt;=0),"",ROUND(F29*INDEX('Coëfficiënten'!$A$7:$AB$1006,MATCH(F29,INDEX('Coëfficiënten'!$A$7:$AB$1006,0,$AB29),1),$AB29+1),1))</f>
        <v/>
      </c>
      <c r="Q29" s="14">
        <f>IF(OR($AB29="",N(G29)&lt;=0),"",ROUND(G29*INDEX('Coëfficiënten'!$A$7:$AB$1006,MATCH(G29,INDEX('Coëfficiënten'!$A$7:$AB$1006,0,$AB29),1),$AB29+1),1))</f>
        <v/>
      </c>
      <c r="R29" s="14">
        <f>IF(OR($AB29="",N(H29)&lt;=0),"",ROUND(H29*INDEX('Coëfficiënten'!$A$7:$AB$1006,MATCH(H29,INDEX('Coëfficiënten'!$A$7:$AB$1006,0,$AB29),1),$AB29+1),1))</f>
        <v/>
      </c>
      <c r="S29" s="14">
        <f>IF(OR($AB29="",N(I29)&lt;=0),"",ROUND(I29*INDEX('Coëfficiënten'!$A$7:$AB$1006,MATCH(I29,INDEX('Coëfficiënten'!$A$7:$AB$1006,0,$AB29),1),$AB29+1),1))</f>
        <v/>
      </c>
      <c r="T29" s="14">
        <f>IF(OR($AB29="",N(J29)&lt;=0),"",ROUND(J29*INDEX('Coëfficiënten'!$A$7:$AB$1006,MATCH(J29,INDEX('Coëfficiënten'!$A$7:$AB$1006,0,$AB29),1),$AB29+1),1))</f>
        <v/>
      </c>
      <c r="U29" s="14">
        <f>IF(OR($AB29="",N(K29)&lt;=0),"",ROUND(K29*INDEX('Coëfficiënten'!$A$7:$AB$1006,MATCH(K29,INDEX('Coëfficiënten'!$A$7:$AB$1006,0,$AB29),1),$AB29+1),1))</f>
        <v/>
      </c>
      <c r="V29" s="14">
        <f>IF(OR($AB29="",N(L29)&lt;=0),"",ROUND(L29*INDEX('Coëfficiënten'!$A$7:$AB$1006,MATCH(L29,INDEX('Coëfficiënten'!$A$7:$AB$1006,0,$AB29),1),$AB29+1),1))</f>
        <v/>
      </c>
      <c r="W29" s="14">
        <f>IF(OR($AB29="",N(M29)&lt;=0),"",ROUND(M29*INDEX('Coëfficiënten'!$A$7:$AB$1006,MATCH(M29,INDEX('Coëfficiënten'!$A$7:$AB$1006,0,$AB29),1),$AB29+1),1))</f>
        <v/>
      </c>
      <c r="X29" s="14">
        <f>IF(OR($AB29="",N(N29)&lt;=0),"",ROUND(N29*INDEX('Coëfficiënten'!$A$7:$AB$1006,MATCH(N29,INDEX('Coëfficiënten'!$A$7:$AB$1006,0,$AB29),1),$AB29+1),1))</f>
        <v/>
      </c>
      <c r="Y29" s="15">
        <f>IF(OR($B29="",COUNT($O29:$X29)=0),"",IFERROR(LARGE($O29:$X29,1),0)*($AB$5&gt;=1)+IFERROR(LARGE($O29:$X29,2),0)*($AB$5&gt;=2)+IFERROR(LARGE($O29:$X29,3),0)*($AB$5&gt;=3)+IFERROR(LARGE($O29:$X29,4),0)*($AB$5&gt;=4)+IFERROR(LARGE($O29:$X29,5),0)*($AB$5&gt;=5)+IFERROR(LARGE($O29:$X29,6),0)*($AB$5&gt;=6)+IFERROR(LARGE($O29:$X29,7),0)*($AB$5&gt;=7)+IFERROR(LARGE($O29:$X29,8),0)*($AB$5&gt;=8)+IFERROR(LARGE($O29:$X29,9),0)*($AB$5&gt;=9)+IFERROR(LARGE($O29:$X29,10),0)*($AB$5&gt;=10))</f>
        <v/>
      </c>
      <c r="Z29" s="14">
        <f>IF(N($Y29)=0,"",$Y29/MIN($AB$5,COUNT($O29:$X29)))</f>
        <v/>
      </c>
      <c r="AA29" s="7">
        <f>IF(N($Y29)=0,"",RANK($Y29,$Y$7:$Y$66))</f>
        <v/>
      </c>
      <c r="AB29" s="11">
        <f>IF(OR($C29="",$D29=""),"",IFERROR(MATCH($C29&amp;"|"&amp;VLOOKUP($D29,Uitleg!$B$23:$C$33,2,FALSE),'Coëfficiënten'!$A$5:$AB$5,0),""))</f>
        <v/>
      </c>
      <c r="AC29" s="11">
        <f>IF(N($Y29)=0,"",$Y29+(67-ROW())/1000000000)</f>
        <v/>
      </c>
    </row>
    <row r="30">
      <c r="A30" s="11">
        <f>ROW()-6</f>
        <v/>
      </c>
      <c r="B30" s="12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4">
        <f>IF(OR($AB30="",N(E30)&lt;=0),"",ROUND(E30*INDEX('Coëfficiënten'!$A$7:$AB$1006,MATCH(E30,INDEX('Coëfficiënten'!$A$7:$AB$1006,0,$AB30),1),$AB30+1),1))</f>
        <v/>
      </c>
      <c r="P30" s="14">
        <f>IF(OR($AB30="",N(F30)&lt;=0),"",ROUND(F30*INDEX('Coëfficiënten'!$A$7:$AB$1006,MATCH(F30,INDEX('Coëfficiënten'!$A$7:$AB$1006,0,$AB30),1),$AB30+1),1))</f>
        <v/>
      </c>
      <c r="Q30" s="14">
        <f>IF(OR($AB30="",N(G30)&lt;=0),"",ROUND(G30*INDEX('Coëfficiënten'!$A$7:$AB$1006,MATCH(G30,INDEX('Coëfficiënten'!$A$7:$AB$1006,0,$AB30),1),$AB30+1),1))</f>
        <v/>
      </c>
      <c r="R30" s="14">
        <f>IF(OR($AB30="",N(H30)&lt;=0),"",ROUND(H30*INDEX('Coëfficiënten'!$A$7:$AB$1006,MATCH(H30,INDEX('Coëfficiënten'!$A$7:$AB$1006,0,$AB30),1),$AB30+1),1))</f>
        <v/>
      </c>
      <c r="S30" s="14">
        <f>IF(OR($AB30="",N(I30)&lt;=0),"",ROUND(I30*INDEX('Coëfficiënten'!$A$7:$AB$1006,MATCH(I30,INDEX('Coëfficiënten'!$A$7:$AB$1006,0,$AB30),1),$AB30+1),1))</f>
        <v/>
      </c>
      <c r="T30" s="14">
        <f>IF(OR($AB30="",N(J30)&lt;=0),"",ROUND(J30*INDEX('Coëfficiënten'!$A$7:$AB$1006,MATCH(J30,INDEX('Coëfficiënten'!$A$7:$AB$1006,0,$AB30),1),$AB30+1),1))</f>
        <v/>
      </c>
      <c r="U30" s="14">
        <f>IF(OR($AB30="",N(K30)&lt;=0),"",ROUND(K30*INDEX('Coëfficiënten'!$A$7:$AB$1006,MATCH(K30,INDEX('Coëfficiënten'!$A$7:$AB$1006,0,$AB30),1),$AB30+1),1))</f>
        <v/>
      </c>
      <c r="V30" s="14">
        <f>IF(OR($AB30="",N(L30)&lt;=0),"",ROUND(L30*INDEX('Coëfficiënten'!$A$7:$AB$1006,MATCH(L30,INDEX('Coëfficiënten'!$A$7:$AB$1006,0,$AB30),1),$AB30+1),1))</f>
        <v/>
      </c>
      <c r="W30" s="14">
        <f>IF(OR($AB30="",N(M30)&lt;=0),"",ROUND(M30*INDEX('Coëfficiënten'!$A$7:$AB$1006,MATCH(M30,INDEX('Coëfficiënten'!$A$7:$AB$1006,0,$AB30),1),$AB30+1),1))</f>
        <v/>
      </c>
      <c r="X30" s="14">
        <f>IF(OR($AB30="",N(N30)&lt;=0),"",ROUND(N30*INDEX('Coëfficiënten'!$A$7:$AB$1006,MATCH(N30,INDEX('Coëfficiënten'!$A$7:$AB$1006,0,$AB30),1),$AB30+1),1))</f>
        <v/>
      </c>
      <c r="Y30" s="15">
        <f>IF(OR($B30="",COUNT($O30:$X30)=0),"",IFERROR(LARGE($O30:$X30,1),0)*($AB$5&gt;=1)+IFERROR(LARGE($O30:$X30,2),0)*($AB$5&gt;=2)+IFERROR(LARGE($O30:$X30,3),0)*($AB$5&gt;=3)+IFERROR(LARGE($O30:$X30,4),0)*($AB$5&gt;=4)+IFERROR(LARGE($O30:$X30,5),0)*($AB$5&gt;=5)+IFERROR(LARGE($O30:$X30,6),0)*($AB$5&gt;=6)+IFERROR(LARGE($O30:$X30,7),0)*($AB$5&gt;=7)+IFERROR(LARGE($O30:$X30,8),0)*($AB$5&gt;=8)+IFERROR(LARGE($O30:$X30,9),0)*($AB$5&gt;=9)+IFERROR(LARGE($O30:$X30,10),0)*($AB$5&gt;=10))</f>
        <v/>
      </c>
      <c r="Z30" s="14">
        <f>IF(N($Y30)=0,"",$Y30/MIN($AB$5,COUNT($O30:$X30)))</f>
        <v/>
      </c>
      <c r="AA30" s="7">
        <f>IF(N($Y30)=0,"",RANK($Y30,$Y$7:$Y$66))</f>
        <v/>
      </c>
      <c r="AB30" s="11">
        <f>IF(OR($C30="",$D30=""),"",IFERROR(MATCH($C30&amp;"|"&amp;VLOOKUP($D30,Uitleg!$B$23:$C$33,2,FALSE),'Coëfficiënten'!$A$5:$AB$5,0),""))</f>
        <v/>
      </c>
      <c r="AC30" s="11">
        <f>IF(N($Y30)=0,"",$Y30+(67-ROW())/1000000000)</f>
        <v/>
      </c>
    </row>
    <row r="31">
      <c r="A31" s="11">
        <f>ROW()-6</f>
        <v/>
      </c>
      <c r="B31" s="12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4">
        <f>IF(OR($AB31="",N(E31)&lt;=0),"",ROUND(E31*INDEX('Coëfficiënten'!$A$7:$AB$1006,MATCH(E31,INDEX('Coëfficiënten'!$A$7:$AB$1006,0,$AB31),1),$AB31+1),1))</f>
        <v/>
      </c>
      <c r="P31" s="14">
        <f>IF(OR($AB31="",N(F31)&lt;=0),"",ROUND(F31*INDEX('Coëfficiënten'!$A$7:$AB$1006,MATCH(F31,INDEX('Coëfficiënten'!$A$7:$AB$1006,0,$AB31),1),$AB31+1),1))</f>
        <v/>
      </c>
      <c r="Q31" s="14">
        <f>IF(OR($AB31="",N(G31)&lt;=0),"",ROUND(G31*INDEX('Coëfficiënten'!$A$7:$AB$1006,MATCH(G31,INDEX('Coëfficiënten'!$A$7:$AB$1006,0,$AB31),1),$AB31+1),1))</f>
        <v/>
      </c>
      <c r="R31" s="14">
        <f>IF(OR($AB31="",N(H31)&lt;=0),"",ROUND(H31*INDEX('Coëfficiënten'!$A$7:$AB$1006,MATCH(H31,INDEX('Coëfficiënten'!$A$7:$AB$1006,0,$AB31),1),$AB31+1),1))</f>
        <v/>
      </c>
      <c r="S31" s="14">
        <f>IF(OR($AB31="",N(I31)&lt;=0),"",ROUND(I31*INDEX('Coëfficiënten'!$A$7:$AB$1006,MATCH(I31,INDEX('Coëfficiënten'!$A$7:$AB$1006,0,$AB31),1),$AB31+1),1))</f>
        <v/>
      </c>
      <c r="T31" s="14">
        <f>IF(OR($AB31="",N(J31)&lt;=0),"",ROUND(J31*INDEX('Coëfficiënten'!$A$7:$AB$1006,MATCH(J31,INDEX('Coëfficiënten'!$A$7:$AB$1006,0,$AB31),1),$AB31+1),1))</f>
        <v/>
      </c>
      <c r="U31" s="14">
        <f>IF(OR($AB31="",N(K31)&lt;=0),"",ROUND(K31*INDEX('Coëfficiënten'!$A$7:$AB$1006,MATCH(K31,INDEX('Coëfficiënten'!$A$7:$AB$1006,0,$AB31),1),$AB31+1),1))</f>
        <v/>
      </c>
      <c r="V31" s="14">
        <f>IF(OR($AB31="",N(L31)&lt;=0),"",ROUND(L31*INDEX('Coëfficiënten'!$A$7:$AB$1006,MATCH(L31,INDEX('Coëfficiënten'!$A$7:$AB$1006,0,$AB31),1),$AB31+1),1))</f>
        <v/>
      </c>
      <c r="W31" s="14">
        <f>IF(OR($AB31="",N(M31)&lt;=0),"",ROUND(M31*INDEX('Coëfficiënten'!$A$7:$AB$1006,MATCH(M31,INDEX('Coëfficiënten'!$A$7:$AB$1006,0,$AB31),1),$AB31+1),1))</f>
        <v/>
      </c>
      <c r="X31" s="14">
        <f>IF(OR($AB31="",N(N31)&lt;=0),"",ROUND(N31*INDEX('Coëfficiënten'!$A$7:$AB$1006,MATCH(N31,INDEX('Coëfficiënten'!$A$7:$AB$1006,0,$AB31),1),$AB31+1),1))</f>
        <v/>
      </c>
      <c r="Y31" s="15">
        <f>IF(OR($B31="",COUNT($O31:$X31)=0),"",IFERROR(LARGE($O31:$X31,1),0)*($AB$5&gt;=1)+IFERROR(LARGE($O31:$X31,2),0)*($AB$5&gt;=2)+IFERROR(LARGE($O31:$X31,3),0)*($AB$5&gt;=3)+IFERROR(LARGE($O31:$X31,4),0)*($AB$5&gt;=4)+IFERROR(LARGE($O31:$X31,5),0)*($AB$5&gt;=5)+IFERROR(LARGE($O31:$X31,6),0)*($AB$5&gt;=6)+IFERROR(LARGE($O31:$X31,7),0)*($AB$5&gt;=7)+IFERROR(LARGE($O31:$X31,8),0)*($AB$5&gt;=8)+IFERROR(LARGE($O31:$X31,9),0)*($AB$5&gt;=9)+IFERROR(LARGE($O31:$X31,10),0)*($AB$5&gt;=10))</f>
        <v/>
      </c>
      <c r="Z31" s="14">
        <f>IF(N($Y31)=0,"",$Y31/MIN($AB$5,COUNT($O31:$X31)))</f>
        <v/>
      </c>
      <c r="AA31" s="7">
        <f>IF(N($Y31)=0,"",RANK($Y31,$Y$7:$Y$66))</f>
        <v/>
      </c>
      <c r="AB31" s="11">
        <f>IF(OR($C31="",$D31=""),"",IFERROR(MATCH($C31&amp;"|"&amp;VLOOKUP($D31,Uitleg!$B$23:$C$33,2,FALSE),'Coëfficiënten'!$A$5:$AB$5,0),""))</f>
        <v/>
      </c>
      <c r="AC31" s="11">
        <f>IF(N($Y31)=0,"",$Y31+(67-ROW())/1000000000)</f>
        <v/>
      </c>
    </row>
    <row r="32">
      <c r="A32" s="11">
        <f>ROW()-6</f>
        <v/>
      </c>
      <c r="B32" s="12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4">
        <f>IF(OR($AB32="",N(E32)&lt;=0),"",ROUND(E32*INDEX('Coëfficiënten'!$A$7:$AB$1006,MATCH(E32,INDEX('Coëfficiënten'!$A$7:$AB$1006,0,$AB32),1),$AB32+1),1))</f>
        <v/>
      </c>
      <c r="P32" s="14">
        <f>IF(OR($AB32="",N(F32)&lt;=0),"",ROUND(F32*INDEX('Coëfficiënten'!$A$7:$AB$1006,MATCH(F32,INDEX('Coëfficiënten'!$A$7:$AB$1006,0,$AB32),1),$AB32+1),1))</f>
        <v/>
      </c>
      <c r="Q32" s="14">
        <f>IF(OR($AB32="",N(G32)&lt;=0),"",ROUND(G32*INDEX('Coëfficiënten'!$A$7:$AB$1006,MATCH(G32,INDEX('Coëfficiënten'!$A$7:$AB$1006,0,$AB32),1),$AB32+1),1))</f>
        <v/>
      </c>
      <c r="R32" s="14">
        <f>IF(OR($AB32="",N(H32)&lt;=0),"",ROUND(H32*INDEX('Coëfficiënten'!$A$7:$AB$1006,MATCH(H32,INDEX('Coëfficiënten'!$A$7:$AB$1006,0,$AB32),1),$AB32+1),1))</f>
        <v/>
      </c>
      <c r="S32" s="14">
        <f>IF(OR($AB32="",N(I32)&lt;=0),"",ROUND(I32*INDEX('Coëfficiënten'!$A$7:$AB$1006,MATCH(I32,INDEX('Coëfficiënten'!$A$7:$AB$1006,0,$AB32),1),$AB32+1),1))</f>
        <v/>
      </c>
      <c r="T32" s="14">
        <f>IF(OR($AB32="",N(J32)&lt;=0),"",ROUND(J32*INDEX('Coëfficiënten'!$A$7:$AB$1006,MATCH(J32,INDEX('Coëfficiënten'!$A$7:$AB$1006,0,$AB32),1),$AB32+1),1))</f>
        <v/>
      </c>
      <c r="U32" s="14">
        <f>IF(OR($AB32="",N(K32)&lt;=0),"",ROUND(K32*INDEX('Coëfficiënten'!$A$7:$AB$1006,MATCH(K32,INDEX('Coëfficiënten'!$A$7:$AB$1006,0,$AB32),1),$AB32+1),1))</f>
        <v/>
      </c>
      <c r="V32" s="14">
        <f>IF(OR($AB32="",N(L32)&lt;=0),"",ROUND(L32*INDEX('Coëfficiënten'!$A$7:$AB$1006,MATCH(L32,INDEX('Coëfficiënten'!$A$7:$AB$1006,0,$AB32),1),$AB32+1),1))</f>
        <v/>
      </c>
      <c r="W32" s="14">
        <f>IF(OR($AB32="",N(M32)&lt;=0),"",ROUND(M32*INDEX('Coëfficiënten'!$A$7:$AB$1006,MATCH(M32,INDEX('Coëfficiënten'!$A$7:$AB$1006,0,$AB32),1),$AB32+1),1))</f>
        <v/>
      </c>
      <c r="X32" s="14">
        <f>IF(OR($AB32="",N(N32)&lt;=0),"",ROUND(N32*INDEX('Coëfficiënten'!$A$7:$AB$1006,MATCH(N32,INDEX('Coëfficiënten'!$A$7:$AB$1006,0,$AB32),1),$AB32+1),1))</f>
        <v/>
      </c>
      <c r="Y32" s="15">
        <f>IF(OR($B32="",COUNT($O32:$X32)=0),"",IFERROR(LARGE($O32:$X32,1),0)*($AB$5&gt;=1)+IFERROR(LARGE($O32:$X32,2),0)*($AB$5&gt;=2)+IFERROR(LARGE($O32:$X32,3),0)*($AB$5&gt;=3)+IFERROR(LARGE($O32:$X32,4),0)*($AB$5&gt;=4)+IFERROR(LARGE($O32:$X32,5),0)*($AB$5&gt;=5)+IFERROR(LARGE($O32:$X32,6),0)*($AB$5&gt;=6)+IFERROR(LARGE($O32:$X32,7),0)*($AB$5&gt;=7)+IFERROR(LARGE($O32:$X32,8),0)*($AB$5&gt;=8)+IFERROR(LARGE($O32:$X32,9),0)*($AB$5&gt;=9)+IFERROR(LARGE($O32:$X32,10),0)*($AB$5&gt;=10))</f>
        <v/>
      </c>
      <c r="Z32" s="14">
        <f>IF(N($Y32)=0,"",$Y32/MIN($AB$5,COUNT($O32:$X32)))</f>
        <v/>
      </c>
      <c r="AA32" s="7">
        <f>IF(N($Y32)=0,"",RANK($Y32,$Y$7:$Y$66))</f>
        <v/>
      </c>
      <c r="AB32" s="11">
        <f>IF(OR($C32="",$D32=""),"",IFERROR(MATCH($C32&amp;"|"&amp;VLOOKUP($D32,Uitleg!$B$23:$C$33,2,FALSE),'Coëfficiënten'!$A$5:$AB$5,0),""))</f>
        <v/>
      </c>
      <c r="AC32" s="11">
        <f>IF(N($Y32)=0,"",$Y32+(67-ROW())/1000000000)</f>
        <v/>
      </c>
    </row>
    <row r="33">
      <c r="A33" s="11">
        <f>ROW()-6</f>
        <v/>
      </c>
      <c r="B33" s="12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4">
        <f>IF(OR($AB33="",N(E33)&lt;=0),"",ROUND(E33*INDEX('Coëfficiënten'!$A$7:$AB$1006,MATCH(E33,INDEX('Coëfficiënten'!$A$7:$AB$1006,0,$AB33),1),$AB33+1),1))</f>
        <v/>
      </c>
      <c r="P33" s="14">
        <f>IF(OR($AB33="",N(F33)&lt;=0),"",ROUND(F33*INDEX('Coëfficiënten'!$A$7:$AB$1006,MATCH(F33,INDEX('Coëfficiënten'!$A$7:$AB$1006,0,$AB33),1),$AB33+1),1))</f>
        <v/>
      </c>
      <c r="Q33" s="14">
        <f>IF(OR($AB33="",N(G33)&lt;=0),"",ROUND(G33*INDEX('Coëfficiënten'!$A$7:$AB$1006,MATCH(G33,INDEX('Coëfficiënten'!$A$7:$AB$1006,0,$AB33),1),$AB33+1),1))</f>
        <v/>
      </c>
      <c r="R33" s="14">
        <f>IF(OR($AB33="",N(H33)&lt;=0),"",ROUND(H33*INDEX('Coëfficiënten'!$A$7:$AB$1006,MATCH(H33,INDEX('Coëfficiënten'!$A$7:$AB$1006,0,$AB33),1),$AB33+1),1))</f>
        <v/>
      </c>
      <c r="S33" s="14">
        <f>IF(OR($AB33="",N(I33)&lt;=0),"",ROUND(I33*INDEX('Coëfficiënten'!$A$7:$AB$1006,MATCH(I33,INDEX('Coëfficiënten'!$A$7:$AB$1006,0,$AB33),1),$AB33+1),1))</f>
        <v/>
      </c>
      <c r="T33" s="14">
        <f>IF(OR($AB33="",N(J33)&lt;=0),"",ROUND(J33*INDEX('Coëfficiënten'!$A$7:$AB$1006,MATCH(J33,INDEX('Coëfficiënten'!$A$7:$AB$1006,0,$AB33),1),$AB33+1),1))</f>
        <v/>
      </c>
      <c r="U33" s="14">
        <f>IF(OR($AB33="",N(K33)&lt;=0),"",ROUND(K33*INDEX('Coëfficiënten'!$A$7:$AB$1006,MATCH(K33,INDEX('Coëfficiënten'!$A$7:$AB$1006,0,$AB33),1),$AB33+1),1))</f>
        <v/>
      </c>
      <c r="V33" s="14">
        <f>IF(OR($AB33="",N(L33)&lt;=0),"",ROUND(L33*INDEX('Coëfficiënten'!$A$7:$AB$1006,MATCH(L33,INDEX('Coëfficiënten'!$A$7:$AB$1006,0,$AB33),1),$AB33+1),1))</f>
        <v/>
      </c>
      <c r="W33" s="14">
        <f>IF(OR($AB33="",N(M33)&lt;=0),"",ROUND(M33*INDEX('Coëfficiënten'!$A$7:$AB$1006,MATCH(M33,INDEX('Coëfficiënten'!$A$7:$AB$1006,0,$AB33),1),$AB33+1),1))</f>
        <v/>
      </c>
      <c r="X33" s="14">
        <f>IF(OR($AB33="",N(N33)&lt;=0),"",ROUND(N33*INDEX('Coëfficiënten'!$A$7:$AB$1006,MATCH(N33,INDEX('Coëfficiënten'!$A$7:$AB$1006,0,$AB33),1),$AB33+1),1))</f>
        <v/>
      </c>
      <c r="Y33" s="15">
        <f>IF(OR($B33="",COUNT($O33:$X33)=0),"",IFERROR(LARGE($O33:$X33,1),0)*($AB$5&gt;=1)+IFERROR(LARGE($O33:$X33,2),0)*($AB$5&gt;=2)+IFERROR(LARGE($O33:$X33,3),0)*($AB$5&gt;=3)+IFERROR(LARGE($O33:$X33,4),0)*($AB$5&gt;=4)+IFERROR(LARGE($O33:$X33,5),0)*($AB$5&gt;=5)+IFERROR(LARGE($O33:$X33,6),0)*($AB$5&gt;=6)+IFERROR(LARGE($O33:$X33,7),0)*($AB$5&gt;=7)+IFERROR(LARGE($O33:$X33,8),0)*($AB$5&gt;=8)+IFERROR(LARGE($O33:$X33,9),0)*($AB$5&gt;=9)+IFERROR(LARGE($O33:$X33,10),0)*($AB$5&gt;=10))</f>
        <v/>
      </c>
      <c r="Z33" s="14">
        <f>IF(N($Y33)=0,"",$Y33/MIN($AB$5,COUNT($O33:$X33)))</f>
        <v/>
      </c>
      <c r="AA33" s="7">
        <f>IF(N($Y33)=0,"",RANK($Y33,$Y$7:$Y$66))</f>
        <v/>
      </c>
      <c r="AB33" s="11">
        <f>IF(OR($C33="",$D33=""),"",IFERROR(MATCH($C33&amp;"|"&amp;VLOOKUP($D33,Uitleg!$B$23:$C$33,2,FALSE),'Coëfficiënten'!$A$5:$AB$5,0),""))</f>
        <v/>
      </c>
      <c r="AC33" s="11">
        <f>IF(N($Y33)=0,"",$Y33+(67-ROW())/1000000000)</f>
        <v/>
      </c>
    </row>
    <row r="34">
      <c r="A34" s="11">
        <f>ROW()-6</f>
        <v/>
      </c>
      <c r="B34" s="12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4">
        <f>IF(OR($AB34="",N(E34)&lt;=0),"",ROUND(E34*INDEX('Coëfficiënten'!$A$7:$AB$1006,MATCH(E34,INDEX('Coëfficiënten'!$A$7:$AB$1006,0,$AB34),1),$AB34+1),1))</f>
        <v/>
      </c>
      <c r="P34" s="14">
        <f>IF(OR($AB34="",N(F34)&lt;=0),"",ROUND(F34*INDEX('Coëfficiënten'!$A$7:$AB$1006,MATCH(F34,INDEX('Coëfficiënten'!$A$7:$AB$1006,0,$AB34),1),$AB34+1),1))</f>
        <v/>
      </c>
      <c r="Q34" s="14">
        <f>IF(OR($AB34="",N(G34)&lt;=0),"",ROUND(G34*INDEX('Coëfficiënten'!$A$7:$AB$1006,MATCH(G34,INDEX('Coëfficiënten'!$A$7:$AB$1006,0,$AB34),1),$AB34+1),1))</f>
        <v/>
      </c>
      <c r="R34" s="14">
        <f>IF(OR($AB34="",N(H34)&lt;=0),"",ROUND(H34*INDEX('Coëfficiënten'!$A$7:$AB$1006,MATCH(H34,INDEX('Coëfficiënten'!$A$7:$AB$1006,0,$AB34),1),$AB34+1),1))</f>
        <v/>
      </c>
      <c r="S34" s="14">
        <f>IF(OR($AB34="",N(I34)&lt;=0),"",ROUND(I34*INDEX('Coëfficiënten'!$A$7:$AB$1006,MATCH(I34,INDEX('Coëfficiënten'!$A$7:$AB$1006,0,$AB34),1),$AB34+1),1))</f>
        <v/>
      </c>
      <c r="T34" s="14">
        <f>IF(OR($AB34="",N(J34)&lt;=0),"",ROUND(J34*INDEX('Coëfficiënten'!$A$7:$AB$1006,MATCH(J34,INDEX('Coëfficiënten'!$A$7:$AB$1006,0,$AB34),1),$AB34+1),1))</f>
        <v/>
      </c>
      <c r="U34" s="14">
        <f>IF(OR($AB34="",N(K34)&lt;=0),"",ROUND(K34*INDEX('Coëfficiënten'!$A$7:$AB$1006,MATCH(K34,INDEX('Coëfficiënten'!$A$7:$AB$1006,0,$AB34),1),$AB34+1),1))</f>
        <v/>
      </c>
      <c r="V34" s="14">
        <f>IF(OR($AB34="",N(L34)&lt;=0),"",ROUND(L34*INDEX('Coëfficiënten'!$A$7:$AB$1006,MATCH(L34,INDEX('Coëfficiënten'!$A$7:$AB$1006,0,$AB34),1),$AB34+1),1))</f>
        <v/>
      </c>
      <c r="W34" s="14">
        <f>IF(OR($AB34="",N(M34)&lt;=0),"",ROUND(M34*INDEX('Coëfficiënten'!$A$7:$AB$1006,MATCH(M34,INDEX('Coëfficiënten'!$A$7:$AB$1006,0,$AB34),1),$AB34+1),1))</f>
        <v/>
      </c>
      <c r="X34" s="14">
        <f>IF(OR($AB34="",N(N34)&lt;=0),"",ROUND(N34*INDEX('Coëfficiënten'!$A$7:$AB$1006,MATCH(N34,INDEX('Coëfficiënten'!$A$7:$AB$1006,0,$AB34),1),$AB34+1),1))</f>
        <v/>
      </c>
      <c r="Y34" s="15">
        <f>IF(OR($B34="",COUNT($O34:$X34)=0),"",IFERROR(LARGE($O34:$X34,1),0)*($AB$5&gt;=1)+IFERROR(LARGE($O34:$X34,2),0)*($AB$5&gt;=2)+IFERROR(LARGE($O34:$X34,3),0)*($AB$5&gt;=3)+IFERROR(LARGE($O34:$X34,4),0)*($AB$5&gt;=4)+IFERROR(LARGE($O34:$X34,5),0)*($AB$5&gt;=5)+IFERROR(LARGE($O34:$X34,6),0)*($AB$5&gt;=6)+IFERROR(LARGE($O34:$X34,7),0)*($AB$5&gt;=7)+IFERROR(LARGE($O34:$X34,8),0)*($AB$5&gt;=8)+IFERROR(LARGE($O34:$X34,9),0)*($AB$5&gt;=9)+IFERROR(LARGE($O34:$X34,10),0)*($AB$5&gt;=10))</f>
        <v/>
      </c>
      <c r="Z34" s="14">
        <f>IF(N($Y34)=0,"",$Y34/MIN($AB$5,COUNT($O34:$X34)))</f>
        <v/>
      </c>
      <c r="AA34" s="7">
        <f>IF(N($Y34)=0,"",RANK($Y34,$Y$7:$Y$66))</f>
        <v/>
      </c>
      <c r="AB34" s="11">
        <f>IF(OR($C34="",$D34=""),"",IFERROR(MATCH($C34&amp;"|"&amp;VLOOKUP($D34,Uitleg!$B$23:$C$33,2,FALSE),'Coëfficiënten'!$A$5:$AB$5,0),""))</f>
        <v/>
      </c>
      <c r="AC34" s="11">
        <f>IF(N($Y34)=0,"",$Y34+(67-ROW())/1000000000)</f>
        <v/>
      </c>
    </row>
    <row r="35">
      <c r="A35" s="11">
        <f>ROW()-6</f>
        <v/>
      </c>
      <c r="B35" s="12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4">
        <f>IF(OR($AB35="",N(E35)&lt;=0),"",ROUND(E35*INDEX('Coëfficiënten'!$A$7:$AB$1006,MATCH(E35,INDEX('Coëfficiënten'!$A$7:$AB$1006,0,$AB35),1),$AB35+1),1))</f>
        <v/>
      </c>
      <c r="P35" s="14">
        <f>IF(OR($AB35="",N(F35)&lt;=0),"",ROUND(F35*INDEX('Coëfficiënten'!$A$7:$AB$1006,MATCH(F35,INDEX('Coëfficiënten'!$A$7:$AB$1006,0,$AB35),1),$AB35+1),1))</f>
        <v/>
      </c>
      <c r="Q35" s="14">
        <f>IF(OR($AB35="",N(G35)&lt;=0),"",ROUND(G35*INDEX('Coëfficiënten'!$A$7:$AB$1006,MATCH(G35,INDEX('Coëfficiënten'!$A$7:$AB$1006,0,$AB35),1),$AB35+1),1))</f>
        <v/>
      </c>
      <c r="R35" s="14">
        <f>IF(OR($AB35="",N(H35)&lt;=0),"",ROUND(H35*INDEX('Coëfficiënten'!$A$7:$AB$1006,MATCH(H35,INDEX('Coëfficiënten'!$A$7:$AB$1006,0,$AB35),1),$AB35+1),1))</f>
        <v/>
      </c>
      <c r="S35" s="14">
        <f>IF(OR($AB35="",N(I35)&lt;=0),"",ROUND(I35*INDEX('Coëfficiënten'!$A$7:$AB$1006,MATCH(I35,INDEX('Coëfficiënten'!$A$7:$AB$1006,0,$AB35),1),$AB35+1),1))</f>
        <v/>
      </c>
      <c r="T35" s="14">
        <f>IF(OR($AB35="",N(J35)&lt;=0),"",ROUND(J35*INDEX('Coëfficiënten'!$A$7:$AB$1006,MATCH(J35,INDEX('Coëfficiënten'!$A$7:$AB$1006,0,$AB35),1),$AB35+1),1))</f>
        <v/>
      </c>
      <c r="U35" s="14">
        <f>IF(OR($AB35="",N(K35)&lt;=0),"",ROUND(K35*INDEX('Coëfficiënten'!$A$7:$AB$1006,MATCH(K35,INDEX('Coëfficiënten'!$A$7:$AB$1006,0,$AB35),1),$AB35+1),1))</f>
        <v/>
      </c>
      <c r="V35" s="14">
        <f>IF(OR($AB35="",N(L35)&lt;=0),"",ROUND(L35*INDEX('Coëfficiënten'!$A$7:$AB$1006,MATCH(L35,INDEX('Coëfficiënten'!$A$7:$AB$1006,0,$AB35),1),$AB35+1),1))</f>
        <v/>
      </c>
      <c r="W35" s="14">
        <f>IF(OR($AB35="",N(M35)&lt;=0),"",ROUND(M35*INDEX('Coëfficiënten'!$A$7:$AB$1006,MATCH(M35,INDEX('Coëfficiënten'!$A$7:$AB$1006,0,$AB35),1),$AB35+1),1))</f>
        <v/>
      </c>
      <c r="X35" s="14">
        <f>IF(OR($AB35="",N(N35)&lt;=0),"",ROUND(N35*INDEX('Coëfficiënten'!$A$7:$AB$1006,MATCH(N35,INDEX('Coëfficiënten'!$A$7:$AB$1006,0,$AB35),1),$AB35+1),1))</f>
        <v/>
      </c>
      <c r="Y35" s="15">
        <f>IF(OR($B35="",COUNT($O35:$X35)=0),"",IFERROR(LARGE($O35:$X35,1),0)*($AB$5&gt;=1)+IFERROR(LARGE($O35:$X35,2),0)*($AB$5&gt;=2)+IFERROR(LARGE($O35:$X35,3),0)*($AB$5&gt;=3)+IFERROR(LARGE($O35:$X35,4),0)*($AB$5&gt;=4)+IFERROR(LARGE($O35:$X35,5),0)*($AB$5&gt;=5)+IFERROR(LARGE($O35:$X35,6),0)*($AB$5&gt;=6)+IFERROR(LARGE($O35:$X35,7),0)*($AB$5&gt;=7)+IFERROR(LARGE($O35:$X35,8),0)*($AB$5&gt;=8)+IFERROR(LARGE($O35:$X35,9),0)*($AB$5&gt;=9)+IFERROR(LARGE($O35:$X35,10),0)*($AB$5&gt;=10))</f>
        <v/>
      </c>
      <c r="Z35" s="14">
        <f>IF(N($Y35)=0,"",$Y35/MIN($AB$5,COUNT($O35:$X35)))</f>
        <v/>
      </c>
      <c r="AA35" s="7">
        <f>IF(N($Y35)=0,"",RANK($Y35,$Y$7:$Y$66))</f>
        <v/>
      </c>
      <c r="AB35" s="11">
        <f>IF(OR($C35="",$D35=""),"",IFERROR(MATCH($C35&amp;"|"&amp;VLOOKUP($D35,Uitleg!$B$23:$C$33,2,FALSE),'Coëfficiënten'!$A$5:$AB$5,0),""))</f>
        <v/>
      </c>
      <c r="AC35" s="11">
        <f>IF(N($Y35)=0,"",$Y35+(67-ROW())/1000000000)</f>
        <v/>
      </c>
    </row>
    <row r="36">
      <c r="A36" s="11">
        <f>ROW()-6</f>
        <v/>
      </c>
      <c r="B36" s="12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4">
        <f>IF(OR($AB36="",N(E36)&lt;=0),"",ROUND(E36*INDEX('Coëfficiënten'!$A$7:$AB$1006,MATCH(E36,INDEX('Coëfficiënten'!$A$7:$AB$1006,0,$AB36),1),$AB36+1),1))</f>
        <v/>
      </c>
      <c r="P36" s="14">
        <f>IF(OR($AB36="",N(F36)&lt;=0),"",ROUND(F36*INDEX('Coëfficiënten'!$A$7:$AB$1006,MATCH(F36,INDEX('Coëfficiënten'!$A$7:$AB$1006,0,$AB36),1),$AB36+1),1))</f>
        <v/>
      </c>
      <c r="Q36" s="14">
        <f>IF(OR($AB36="",N(G36)&lt;=0),"",ROUND(G36*INDEX('Coëfficiënten'!$A$7:$AB$1006,MATCH(G36,INDEX('Coëfficiënten'!$A$7:$AB$1006,0,$AB36),1),$AB36+1),1))</f>
        <v/>
      </c>
      <c r="R36" s="14">
        <f>IF(OR($AB36="",N(H36)&lt;=0),"",ROUND(H36*INDEX('Coëfficiënten'!$A$7:$AB$1006,MATCH(H36,INDEX('Coëfficiënten'!$A$7:$AB$1006,0,$AB36),1),$AB36+1),1))</f>
        <v/>
      </c>
      <c r="S36" s="14">
        <f>IF(OR($AB36="",N(I36)&lt;=0),"",ROUND(I36*INDEX('Coëfficiënten'!$A$7:$AB$1006,MATCH(I36,INDEX('Coëfficiënten'!$A$7:$AB$1006,0,$AB36),1),$AB36+1),1))</f>
        <v/>
      </c>
      <c r="T36" s="14">
        <f>IF(OR($AB36="",N(J36)&lt;=0),"",ROUND(J36*INDEX('Coëfficiënten'!$A$7:$AB$1006,MATCH(J36,INDEX('Coëfficiënten'!$A$7:$AB$1006,0,$AB36),1),$AB36+1),1))</f>
        <v/>
      </c>
      <c r="U36" s="14">
        <f>IF(OR($AB36="",N(K36)&lt;=0),"",ROUND(K36*INDEX('Coëfficiënten'!$A$7:$AB$1006,MATCH(K36,INDEX('Coëfficiënten'!$A$7:$AB$1006,0,$AB36),1),$AB36+1),1))</f>
        <v/>
      </c>
      <c r="V36" s="14">
        <f>IF(OR($AB36="",N(L36)&lt;=0),"",ROUND(L36*INDEX('Coëfficiënten'!$A$7:$AB$1006,MATCH(L36,INDEX('Coëfficiënten'!$A$7:$AB$1006,0,$AB36),1),$AB36+1),1))</f>
        <v/>
      </c>
      <c r="W36" s="14">
        <f>IF(OR($AB36="",N(M36)&lt;=0),"",ROUND(M36*INDEX('Coëfficiënten'!$A$7:$AB$1006,MATCH(M36,INDEX('Coëfficiënten'!$A$7:$AB$1006,0,$AB36),1),$AB36+1),1))</f>
        <v/>
      </c>
      <c r="X36" s="14">
        <f>IF(OR($AB36="",N(N36)&lt;=0),"",ROUND(N36*INDEX('Coëfficiënten'!$A$7:$AB$1006,MATCH(N36,INDEX('Coëfficiënten'!$A$7:$AB$1006,0,$AB36),1),$AB36+1),1))</f>
        <v/>
      </c>
      <c r="Y36" s="15">
        <f>IF(OR($B36="",COUNT($O36:$X36)=0),"",IFERROR(LARGE($O36:$X36,1),0)*($AB$5&gt;=1)+IFERROR(LARGE($O36:$X36,2),0)*($AB$5&gt;=2)+IFERROR(LARGE($O36:$X36,3),0)*($AB$5&gt;=3)+IFERROR(LARGE($O36:$X36,4),0)*($AB$5&gt;=4)+IFERROR(LARGE($O36:$X36,5),0)*($AB$5&gt;=5)+IFERROR(LARGE($O36:$X36,6),0)*($AB$5&gt;=6)+IFERROR(LARGE($O36:$X36,7),0)*($AB$5&gt;=7)+IFERROR(LARGE($O36:$X36,8),0)*($AB$5&gt;=8)+IFERROR(LARGE($O36:$X36,9),0)*($AB$5&gt;=9)+IFERROR(LARGE($O36:$X36,10),0)*($AB$5&gt;=10))</f>
        <v/>
      </c>
      <c r="Z36" s="14">
        <f>IF(N($Y36)=0,"",$Y36/MIN($AB$5,COUNT($O36:$X36)))</f>
        <v/>
      </c>
      <c r="AA36" s="7">
        <f>IF(N($Y36)=0,"",RANK($Y36,$Y$7:$Y$66))</f>
        <v/>
      </c>
      <c r="AB36" s="11">
        <f>IF(OR($C36="",$D36=""),"",IFERROR(MATCH($C36&amp;"|"&amp;VLOOKUP($D36,Uitleg!$B$23:$C$33,2,FALSE),'Coëfficiënten'!$A$5:$AB$5,0),""))</f>
        <v/>
      </c>
      <c r="AC36" s="11">
        <f>IF(N($Y36)=0,"",$Y36+(67-ROW())/1000000000)</f>
        <v/>
      </c>
    </row>
    <row r="37">
      <c r="A37" s="11">
        <f>ROW()-6</f>
        <v/>
      </c>
      <c r="B37" s="12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4">
        <f>IF(OR($AB37="",N(E37)&lt;=0),"",ROUND(E37*INDEX('Coëfficiënten'!$A$7:$AB$1006,MATCH(E37,INDEX('Coëfficiënten'!$A$7:$AB$1006,0,$AB37),1),$AB37+1),1))</f>
        <v/>
      </c>
      <c r="P37" s="14">
        <f>IF(OR($AB37="",N(F37)&lt;=0),"",ROUND(F37*INDEX('Coëfficiënten'!$A$7:$AB$1006,MATCH(F37,INDEX('Coëfficiënten'!$A$7:$AB$1006,0,$AB37),1),$AB37+1),1))</f>
        <v/>
      </c>
      <c r="Q37" s="14">
        <f>IF(OR($AB37="",N(G37)&lt;=0),"",ROUND(G37*INDEX('Coëfficiënten'!$A$7:$AB$1006,MATCH(G37,INDEX('Coëfficiënten'!$A$7:$AB$1006,0,$AB37),1),$AB37+1),1))</f>
        <v/>
      </c>
      <c r="R37" s="14">
        <f>IF(OR($AB37="",N(H37)&lt;=0),"",ROUND(H37*INDEX('Coëfficiënten'!$A$7:$AB$1006,MATCH(H37,INDEX('Coëfficiënten'!$A$7:$AB$1006,0,$AB37),1),$AB37+1),1))</f>
        <v/>
      </c>
      <c r="S37" s="14">
        <f>IF(OR($AB37="",N(I37)&lt;=0),"",ROUND(I37*INDEX('Coëfficiënten'!$A$7:$AB$1006,MATCH(I37,INDEX('Coëfficiënten'!$A$7:$AB$1006,0,$AB37),1),$AB37+1),1))</f>
        <v/>
      </c>
      <c r="T37" s="14">
        <f>IF(OR($AB37="",N(J37)&lt;=0),"",ROUND(J37*INDEX('Coëfficiënten'!$A$7:$AB$1006,MATCH(J37,INDEX('Coëfficiënten'!$A$7:$AB$1006,0,$AB37),1),$AB37+1),1))</f>
        <v/>
      </c>
      <c r="U37" s="14">
        <f>IF(OR($AB37="",N(K37)&lt;=0),"",ROUND(K37*INDEX('Coëfficiënten'!$A$7:$AB$1006,MATCH(K37,INDEX('Coëfficiënten'!$A$7:$AB$1006,0,$AB37),1),$AB37+1),1))</f>
        <v/>
      </c>
      <c r="V37" s="14">
        <f>IF(OR($AB37="",N(L37)&lt;=0),"",ROUND(L37*INDEX('Coëfficiënten'!$A$7:$AB$1006,MATCH(L37,INDEX('Coëfficiënten'!$A$7:$AB$1006,0,$AB37),1),$AB37+1),1))</f>
        <v/>
      </c>
      <c r="W37" s="14">
        <f>IF(OR($AB37="",N(M37)&lt;=0),"",ROUND(M37*INDEX('Coëfficiënten'!$A$7:$AB$1006,MATCH(M37,INDEX('Coëfficiënten'!$A$7:$AB$1006,0,$AB37),1),$AB37+1),1))</f>
        <v/>
      </c>
      <c r="X37" s="14">
        <f>IF(OR($AB37="",N(N37)&lt;=0),"",ROUND(N37*INDEX('Coëfficiënten'!$A$7:$AB$1006,MATCH(N37,INDEX('Coëfficiënten'!$A$7:$AB$1006,0,$AB37),1),$AB37+1),1))</f>
        <v/>
      </c>
      <c r="Y37" s="15">
        <f>IF(OR($B37="",COUNT($O37:$X37)=0),"",IFERROR(LARGE($O37:$X37,1),0)*($AB$5&gt;=1)+IFERROR(LARGE($O37:$X37,2),0)*($AB$5&gt;=2)+IFERROR(LARGE($O37:$X37,3),0)*($AB$5&gt;=3)+IFERROR(LARGE($O37:$X37,4),0)*($AB$5&gt;=4)+IFERROR(LARGE($O37:$X37,5),0)*($AB$5&gt;=5)+IFERROR(LARGE($O37:$X37,6),0)*($AB$5&gt;=6)+IFERROR(LARGE($O37:$X37,7),0)*($AB$5&gt;=7)+IFERROR(LARGE($O37:$X37,8),0)*($AB$5&gt;=8)+IFERROR(LARGE($O37:$X37,9),0)*($AB$5&gt;=9)+IFERROR(LARGE($O37:$X37,10),0)*($AB$5&gt;=10))</f>
        <v/>
      </c>
      <c r="Z37" s="14">
        <f>IF(N($Y37)=0,"",$Y37/MIN($AB$5,COUNT($O37:$X37)))</f>
        <v/>
      </c>
      <c r="AA37" s="7">
        <f>IF(N($Y37)=0,"",RANK($Y37,$Y$7:$Y$66))</f>
        <v/>
      </c>
      <c r="AB37" s="11">
        <f>IF(OR($C37="",$D37=""),"",IFERROR(MATCH($C37&amp;"|"&amp;VLOOKUP($D37,Uitleg!$B$23:$C$33,2,FALSE),'Coëfficiënten'!$A$5:$AB$5,0),""))</f>
        <v/>
      </c>
      <c r="AC37" s="11">
        <f>IF(N($Y37)=0,"",$Y37+(67-ROW())/1000000000)</f>
        <v/>
      </c>
    </row>
    <row r="38">
      <c r="A38" s="11">
        <f>ROW()-6</f>
        <v/>
      </c>
      <c r="B38" s="12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4">
        <f>IF(OR($AB38="",N(E38)&lt;=0),"",ROUND(E38*INDEX('Coëfficiënten'!$A$7:$AB$1006,MATCH(E38,INDEX('Coëfficiënten'!$A$7:$AB$1006,0,$AB38),1),$AB38+1),1))</f>
        <v/>
      </c>
      <c r="P38" s="14">
        <f>IF(OR($AB38="",N(F38)&lt;=0),"",ROUND(F38*INDEX('Coëfficiënten'!$A$7:$AB$1006,MATCH(F38,INDEX('Coëfficiënten'!$A$7:$AB$1006,0,$AB38),1),$AB38+1),1))</f>
        <v/>
      </c>
      <c r="Q38" s="14">
        <f>IF(OR($AB38="",N(G38)&lt;=0),"",ROUND(G38*INDEX('Coëfficiënten'!$A$7:$AB$1006,MATCH(G38,INDEX('Coëfficiënten'!$A$7:$AB$1006,0,$AB38),1),$AB38+1),1))</f>
        <v/>
      </c>
      <c r="R38" s="14">
        <f>IF(OR($AB38="",N(H38)&lt;=0),"",ROUND(H38*INDEX('Coëfficiënten'!$A$7:$AB$1006,MATCH(H38,INDEX('Coëfficiënten'!$A$7:$AB$1006,0,$AB38),1),$AB38+1),1))</f>
        <v/>
      </c>
      <c r="S38" s="14">
        <f>IF(OR($AB38="",N(I38)&lt;=0),"",ROUND(I38*INDEX('Coëfficiënten'!$A$7:$AB$1006,MATCH(I38,INDEX('Coëfficiënten'!$A$7:$AB$1006,0,$AB38),1),$AB38+1),1))</f>
        <v/>
      </c>
      <c r="T38" s="14">
        <f>IF(OR($AB38="",N(J38)&lt;=0),"",ROUND(J38*INDEX('Coëfficiënten'!$A$7:$AB$1006,MATCH(J38,INDEX('Coëfficiënten'!$A$7:$AB$1006,0,$AB38),1),$AB38+1),1))</f>
        <v/>
      </c>
      <c r="U38" s="14">
        <f>IF(OR($AB38="",N(K38)&lt;=0),"",ROUND(K38*INDEX('Coëfficiënten'!$A$7:$AB$1006,MATCH(K38,INDEX('Coëfficiënten'!$A$7:$AB$1006,0,$AB38),1),$AB38+1),1))</f>
        <v/>
      </c>
      <c r="V38" s="14">
        <f>IF(OR($AB38="",N(L38)&lt;=0),"",ROUND(L38*INDEX('Coëfficiënten'!$A$7:$AB$1006,MATCH(L38,INDEX('Coëfficiënten'!$A$7:$AB$1006,0,$AB38),1),$AB38+1),1))</f>
        <v/>
      </c>
      <c r="W38" s="14">
        <f>IF(OR($AB38="",N(M38)&lt;=0),"",ROUND(M38*INDEX('Coëfficiënten'!$A$7:$AB$1006,MATCH(M38,INDEX('Coëfficiënten'!$A$7:$AB$1006,0,$AB38),1),$AB38+1),1))</f>
        <v/>
      </c>
      <c r="X38" s="14">
        <f>IF(OR($AB38="",N(N38)&lt;=0),"",ROUND(N38*INDEX('Coëfficiënten'!$A$7:$AB$1006,MATCH(N38,INDEX('Coëfficiënten'!$A$7:$AB$1006,0,$AB38),1),$AB38+1),1))</f>
        <v/>
      </c>
      <c r="Y38" s="15">
        <f>IF(OR($B38="",COUNT($O38:$X38)=0),"",IFERROR(LARGE($O38:$X38,1),0)*($AB$5&gt;=1)+IFERROR(LARGE($O38:$X38,2),0)*($AB$5&gt;=2)+IFERROR(LARGE($O38:$X38,3),0)*($AB$5&gt;=3)+IFERROR(LARGE($O38:$X38,4),0)*($AB$5&gt;=4)+IFERROR(LARGE($O38:$X38,5),0)*($AB$5&gt;=5)+IFERROR(LARGE($O38:$X38,6),0)*($AB$5&gt;=6)+IFERROR(LARGE($O38:$X38,7),0)*($AB$5&gt;=7)+IFERROR(LARGE($O38:$X38,8),0)*($AB$5&gt;=8)+IFERROR(LARGE($O38:$X38,9),0)*($AB$5&gt;=9)+IFERROR(LARGE($O38:$X38,10),0)*($AB$5&gt;=10))</f>
        <v/>
      </c>
      <c r="Z38" s="14">
        <f>IF(N($Y38)=0,"",$Y38/MIN($AB$5,COUNT($O38:$X38)))</f>
        <v/>
      </c>
      <c r="AA38" s="7">
        <f>IF(N($Y38)=0,"",RANK($Y38,$Y$7:$Y$66))</f>
        <v/>
      </c>
      <c r="AB38" s="11">
        <f>IF(OR($C38="",$D38=""),"",IFERROR(MATCH($C38&amp;"|"&amp;VLOOKUP($D38,Uitleg!$B$23:$C$33,2,FALSE),'Coëfficiënten'!$A$5:$AB$5,0),""))</f>
        <v/>
      </c>
      <c r="AC38" s="11">
        <f>IF(N($Y38)=0,"",$Y38+(67-ROW())/1000000000)</f>
        <v/>
      </c>
    </row>
    <row r="39">
      <c r="A39" s="11">
        <f>ROW()-6</f>
        <v/>
      </c>
      <c r="B39" s="12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4">
        <f>IF(OR($AB39="",N(E39)&lt;=0),"",ROUND(E39*INDEX('Coëfficiënten'!$A$7:$AB$1006,MATCH(E39,INDEX('Coëfficiënten'!$A$7:$AB$1006,0,$AB39),1),$AB39+1),1))</f>
        <v/>
      </c>
      <c r="P39" s="14">
        <f>IF(OR($AB39="",N(F39)&lt;=0),"",ROUND(F39*INDEX('Coëfficiënten'!$A$7:$AB$1006,MATCH(F39,INDEX('Coëfficiënten'!$A$7:$AB$1006,0,$AB39),1),$AB39+1),1))</f>
        <v/>
      </c>
      <c r="Q39" s="14">
        <f>IF(OR($AB39="",N(G39)&lt;=0),"",ROUND(G39*INDEX('Coëfficiënten'!$A$7:$AB$1006,MATCH(G39,INDEX('Coëfficiënten'!$A$7:$AB$1006,0,$AB39),1),$AB39+1),1))</f>
        <v/>
      </c>
      <c r="R39" s="14">
        <f>IF(OR($AB39="",N(H39)&lt;=0),"",ROUND(H39*INDEX('Coëfficiënten'!$A$7:$AB$1006,MATCH(H39,INDEX('Coëfficiënten'!$A$7:$AB$1006,0,$AB39),1),$AB39+1),1))</f>
        <v/>
      </c>
      <c r="S39" s="14">
        <f>IF(OR($AB39="",N(I39)&lt;=0),"",ROUND(I39*INDEX('Coëfficiënten'!$A$7:$AB$1006,MATCH(I39,INDEX('Coëfficiënten'!$A$7:$AB$1006,0,$AB39),1),$AB39+1),1))</f>
        <v/>
      </c>
      <c r="T39" s="14">
        <f>IF(OR($AB39="",N(J39)&lt;=0),"",ROUND(J39*INDEX('Coëfficiënten'!$A$7:$AB$1006,MATCH(J39,INDEX('Coëfficiënten'!$A$7:$AB$1006,0,$AB39),1),$AB39+1),1))</f>
        <v/>
      </c>
      <c r="U39" s="14">
        <f>IF(OR($AB39="",N(K39)&lt;=0),"",ROUND(K39*INDEX('Coëfficiënten'!$A$7:$AB$1006,MATCH(K39,INDEX('Coëfficiënten'!$A$7:$AB$1006,0,$AB39),1),$AB39+1),1))</f>
        <v/>
      </c>
      <c r="V39" s="14">
        <f>IF(OR($AB39="",N(L39)&lt;=0),"",ROUND(L39*INDEX('Coëfficiënten'!$A$7:$AB$1006,MATCH(L39,INDEX('Coëfficiënten'!$A$7:$AB$1006,0,$AB39),1),$AB39+1),1))</f>
        <v/>
      </c>
      <c r="W39" s="14">
        <f>IF(OR($AB39="",N(M39)&lt;=0),"",ROUND(M39*INDEX('Coëfficiënten'!$A$7:$AB$1006,MATCH(M39,INDEX('Coëfficiënten'!$A$7:$AB$1006,0,$AB39),1),$AB39+1),1))</f>
        <v/>
      </c>
      <c r="X39" s="14">
        <f>IF(OR($AB39="",N(N39)&lt;=0),"",ROUND(N39*INDEX('Coëfficiënten'!$A$7:$AB$1006,MATCH(N39,INDEX('Coëfficiënten'!$A$7:$AB$1006,0,$AB39),1),$AB39+1),1))</f>
        <v/>
      </c>
      <c r="Y39" s="15">
        <f>IF(OR($B39="",COUNT($O39:$X39)=0),"",IFERROR(LARGE($O39:$X39,1),0)*($AB$5&gt;=1)+IFERROR(LARGE($O39:$X39,2),0)*($AB$5&gt;=2)+IFERROR(LARGE($O39:$X39,3),0)*($AB$5&gt;=3)+IFERROR(LARGE($O39:$X39,4),0)*($AB$5&gt;=4)+IFERROR(LARGE($O39:$X39,5),0)*($AB$5&gt;=5)+IFERROR(LARGE($O39:$X39,6),0)*($AB$5&gt;=6)+IFERROR(LARGE($O39:$X39,7),0)*($AB$5&gt;=7)+IFERROR(LARGE($O39:$X39,8),0)*($AB$5&gt;=8)+IFERROR(LARGE($O39:$X39,9),0)*($AB$5&gt;=9)+IFERROR(LARGE($O39:$X39,10),0)*($AB$5&gt;=10))</f>
        <v/>
      </c>
      <c r="Z39" s="14">
        <f>IF(N($Y39)=0,"",$Y39/MIN($AB$5,COUNT($O39:$X39)))</f>
        <v/>
      </c>
      <c r="AA39" s="7">
        <f>IF(N($Y39)=0,"",RANK($Y39,$Y$7:$Y$66))</f>
        <v/>
      </c>
      <c r="AB39" s="11">
        <f>IF(OR($C39="",$D39=""),"",IFERROR(MATCH($C39&amp;"|"&amp;VLOOKUP($D39,Uitleg!$B$23:$C$33,2,FALSE),'Coëfficiënten'!$A$5:$AB$5,0),""))</f>
        <v/>
      </c>
      <c r="AC39" s="11">
        <f>IF(N($Y39)=0,"",$Y39+(67-ROW())/1000000000)</f>
        <v/>
      </c>
    </row>
    <row r="40">
      <c r="A40" s="11">
        <f>ROW()-6</f>
        <v/>
      </c>
      <c r="B40" s="12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4">
        <f>IF(OR($AB40="",N(E40)&lt;=0),"",ROUND(E40*INDEX('Coëfficiënten'!$A$7:$AB$1006,MATCH(E40,INDEX('Coëfficiënten'!$A$7:$AB$1006,0,$AB40),1),$AB40+1),1))</f>
        <v/>
      </c>
      <c r="P40" s="14">
        <f>IF(OR($AB40="",N(F40)&lt;=0),"",ROUND(F40*INDEX('Coëfficiënten'!$A$7:$AB$1006,MATCH(F40,INDEX('Coëfficiënten'!$A$7:$AB$1006,0,$AB40),1),$AB40+1),1))</f>
        <v/>
      </c>
      <c r="Q40" s="14">
        <f>IF(OR($AB40="",N(G40)&lt;=0),"",ROUND(G40*INDEX('Coëfficiënten'!$A$7:$AB$1006,MATCH(G40,INDEX('Coëfficiënten'!$A$7:$AB$1006,0,$AB40),1),$AB40+1),1))</f>
        <v/>
      </c>
      <c r="R40" s="14">
        <f>IF(OR($AB40="",N(H40)&lt;=0),"",ROUND(H40*INDEX('Coëfficiënten'!$A$7:$AB$1006,MATCH(H40,INDEX('Coëfficiënten'!$A$7:$AB$1006,0,$AB40),1),$AB40+1),1))</f>
        <v/>
      </c>
      <c r="S40" s="14">
        <f>IF(OR($AB40="",N(I40)&lt;=0),"",ROUND(I40*INDEX('Coëfficiënten'!$A$7:$AB$1006,MATCH(I40,INDEX('Coëfficiënten'!$A$7:$AB$1006,0,$AB40),1),$AB40+1),1))</f>
        <v/>
      </c>
      <c r="T40" s="14">
        <f>IF(OR($AB40="",N(J40)&lt;=0),"",ROUND(J40*INDEX('Coëfficiënten'!$A$7:$AB$1006,MATCH(J40,INDEX('Coëfficiënten'!$A$7:$AB$1006,0,$AB40),1),$AB40+1),1))</f>
        <v/>
      </c>
      <c r="U40" s="14">
        <f>IF(OR($AB40="",N(K40)&lt;=0),"",ROUND(K40*INDEX('Coëfficiënten'!$A$7:$AB$1006,MATCH(K40,INDEX('Coëfficiënten'!$A$7:$AB$1006,0,$AB40),1),$AB40+1),1))</f>
        <v/>
      </c>
      <c r="V40" s="14">
        <f>IF(OR($AB40="",N(L40)&lt;=0),"",ROUND(L40*INDEX('Coëfficiënten'!$A$7:$AB$1006,MATCH(L40,INDEX('Coëfficiënten'!$A$7:$AB$1006,0,$AB40),1),$AB40+1),1))</f>
        <v/>
      </c>
      <c r="W40" s="14">
        <f>IF(OR($AB40="",N(M40)&lt;=0),"",ROUND(M40*INDEX('Coëfficiënten'!$A$7:$AB$1006,MATCH(M40,INDEX('Coëfficiënten'!$A$7:$AB$1006,0,$AB40),1),$AB40+1),1))</f>
        <v/>
      </c>
      <c r="X40" s="14">
        <f>IF(OR($AB40="",N(N40)&lt;=0),"",ROUND(N40*INDEX('Coëfficiënten'!$A$7:$AB$1006,MATCH(N40,INDEX('Coëfficiënten'!$A$7:$AB$1006,0,$AB40),1),$AB40+1),1))</f>
        <v/>
      </c>
      <c r="Y40" s="15">
        <f>IF(OR($B40="",COUNT($O40:$X40)=0),"",IFERROR(LARGE($O40:$X40,1),0)*($AB$5&gt;=1)+IFERROR(LARGE($O40:$X40,2),0)*($AB$5&gt;=2)+IFERROR(LARGE($O40:$X40,3),0)*($AB$5&gt;=3)+IFERROR(LARGE($O40:$X40,4),0)*($AB$5&gt;=4)+IFERROR(LARGE($O40:$X40,5),0)*($AB$5&gt;=5)+IFERROR(LARGE($O40:$X40,6),0)*($AB$5&gt;=6)+IFERROR(LARGE($O40:$X40,7),0)*($AB$5&gt;=7)+IFERROR(LARGE($O40:$X40,8),0)*($AB$5&gt;=8)+IFERROR(LARGE($O40:$X40,9),0)*($AB$5&gt;=9)+IFERROR(LARGE($O40:$X40,10),0)*($AB$5&gt;=10))</f>
        <v/>
      </c>
      <c r="Z40" s="14">
        <f>IF(N($Y40)=0,"",$Y40/MIN($AB$5,COUNT($O40:$X40)))</f>
        <v/>
      </c>
      <c r="AA40" s="7">
        <f>IF(N($Y40)=0,"",RANK($Y40,$Y$7:$Y$66))</f>
        <v/>
      </c>
      <c r="AB40" s="11">
        <f>IF(OR($C40="",$D40=""),"",IFERROR(MATCH($C40&amp;"|"&amp;VLOOKUP($D40,Uitleg!$B$23:$C$33,2,FALSE),'Coëfficiënten'!$A$5:$AB$5,0),""))</f>
        <v/>
      </c>
      <c r="AC40" s="11">
        <f>IF(N($Y40)=0,"",$Y40+(67-ROW())/1000000000)</f>
        <v/>
      </c>
    </row>
    <row r="41">
      <c r="A41" s="11">
        <f>ROW()-6</f>
        <v/>
      </c>
      <c r="B41" s="12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4">
        <f>IF(OR($AB41="",N(E41)&lt;=0),"",ROUND(E41*INDEX('Coëfficiënten'!$A$7:$AB$1006,MATCH(E41,INDEX('Coëfficiënten'!$A$7:$AB$1006,0,$AB41),1),$AB41+1),1))</f>
        <v/>
      </c>
      <c r="P41" s="14">
        <f>IF(OR($AB41="",N(F41)&lt;=0),"",ROUND(F41*INDEX('Coëfficiënten'!$A$7:$AB$1006,MATCH(F41,INDEX('Coëfficiënten'!$A$7:$AB$1006,0,$AB41),1),$AB41+1),1))</f>
        <v/>
      </c>
      <c r="Q41" s="14">
        <f>IF(OR($AB41="",N(G41)&lt;=0),"",ROUND(G41*INDEX('Coëfficiënten'!$A$7:$AB$1006,MATCH(G41,INDEX('Coëfficiënten'!$A$7:$AB$1006,0,$AB41),1),$AB41+1),1))</f>
        <v/>
      </c>
      <c r="R41" s="14">
        <f>IF(OR($AB41="",N(H41)&lt;=0),"",ROUND(H41*INDEX('Coëfficiënten'!$A$7:$AB$1006,MATCH(H41,INDEX('Coëfficiënten'!$A$7:$AB$1006,0,$AB41),1),$AB41+1),1))</f>
        <v/>
      </c>
      <c r="S41" s="14">
        <f>IF(OR($AB41="",N(I41)&lt;=0),"",ROUND(I41*INDEX('Coëfficiënten'!$A$7:$AB$1006,MATCH(I41,INDEX('Coëfficiënten'!$A$7:$AB$1006,0,$AB41),1),$AB41+1),1))</f>
        <v/>
      </c>
      <c r="T41" s="14">
        <f>IF(OR($AB41="",N(J41)&lt;=0),"",ROUND(J41*INDEX('Coëfficiënten'!$A$7:$AB$1006,MATCH(J41,INDEX('Coëfficiënten'!$A$7:$AB$1006,0,$AB41),1),$AB41+1),1))</f>
        <v/>
      </c>
      <c r="U41" s="14">
        <f>IF(OR($AB41="",N(K41)&lt;=0),"",ROUND(K41*INDEX('Coëfficiënten'!$A$7:$AB$1006,MATCH(K41,INDEX('Coëfficiënten'!$A$7:$AB$1006,0,$AB41),1),$AB41+1),1))</f>
        <v/>
      </c>
      <c r="V41" s="14">
        <f>IF(OR($AB41="",N(L41)&lt;=0),"",ROUND(L41*INDEX('Coëfficiënten'!$A$7:$AB$1006,MATCH(L41,INDEX('Coëfficiënten'!$A$7:$AB$1006,0,$AB41),1),$AB41+1),1))</f>
        <v/>
      </c>
      <c r="W41" s="14">
        <f>IF(OR($AB41="",N(M41)&lt;=0),"",ROUND(M41*INDEX('Coëfficiënten'!$A$7:$AB$1006,MATCH(M41,INDEX('Coëfficiënten'!$A$7:$AB$1006,0,$AB41),1),$AB41+1),1))</f>
        <v/>
      </c>
      <c r="X41" s="14">
        <f>IF(OR($AB41="",N(N41)&lt;=0),"",ROUND(N41*INDEX('Coëfficiënten'!$A$7:$AB$1006,MATCH(N41,INDEX('Coëfficiënten'!$A$7:$AB$1006,0,$AB41),1),$AB41+1),1))</f>
        <v/>
      </c>
      <c r="Y41" s="15">
        <f>IF(OR($B41="",COUNT($O41:$X41)=0),"",IFERROR(LARGE($O41:$X41,1),0)*($AB$5&gt;=1)+IFERROR(LARGE($O41:$X41,2),0)*($AB$5&gt;=2)+IFERROR(LARGE($O41:$X41,3),0)*($AB$5&gt;=3)+IFERROR(LARGE($O41:$X41,4),0)*($AB$5&gt;=4)+IFERROR(LARGE($O41:$X41,5),0)*($AB$5&gt;=5)+IFERROR(LARGE($O41:$X41,6),0)*($AB$5&gt;=6)+IFERROR(LARGE($O41:$X41,7),0)*($AB$5&gt;=7)+IFERROR(LARGE($O41:$X41,8),0)*($AB$5&gt;=8)+IFERROR(LARGE($O41:$X41,9),0)*($AB$5&gt;=9)+IFERROR(LARGE($O41:$X41,10),0)*($AB$5&gt;=10))</f>
        <v/>
      </c>
      <c r="Z41" s="14">
        <f>IF(N($Y41)=0,"",$Y41/MIN($AB$5,COUNT($O41:$X41)))</f>
        <v/>
      </c>
      <c r="AA41" s="7">
        <f>IF(N($Y41)=0,"",RANK($Y41,$Y$7:$Y$66))</f>
        <v/>
      </c>
      <c r="AB41" s="11">
        <f>IF(OR($C41="",$D41=""),"",IFERROR(MATCH($C41&amp;"|"&amp;VLOOKUP($D41,Uitleg!$B$23:$C$33,2,FALSE),'Coëfficiënten'!$A$5:$AB$5,0),""))</f>
        <v/>
      </c>
      <c r="AC41" s="11">
        <f>IF(N($Y41)=0,"",$Y41+(67-ROW())/1000000000)</f>
        <v/>
      </c>
    </row>
    <row r="42">
      <c r="A42" s="11">
        <f>ROW()-6</f>
        <v/>
      </c>
      <c r="B42" s="12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4">
        <f>IF(OR($AB42="",N(E42)&lt;=0),"",ROUND(E42*INDEX('Coëfficiënten'!$A$7:$AB$1006,MATCH(E42,INDEX('Coëfficiënten'!$A$7:$AB$1006,0,$AB42),1),$AB42+1),1))</f>
        <v/>
      </c>
      <c r="P42" s="14">
        <f>IF(OR($AB42="",N(F42)&lt;=0),"",ROUND(F42*INDEX('Coëfficiënten'!$A$7:$AB$1006,MATCH(F42,INDEX('Coëfficiënten'!$A$7:$AB$1006,0,$AB42),1),$AB42+1),1))</f>
        <v/>
      </c>
      <c r="Q42" s="14">
        <f>IF(OR($AB42="",N(G42)&lt;=0),"",ROUND(G42*INDEX('Coëfficiënten'!$A$7:$AB$1006,MATCH(G42,INDEX('Coëfficiënten'!$A$7:$AB$1006,0,$AB42),1),$AB42+1),1))</f>
        <v/>
      </c>
      <c r="R42" s="14">
        <f>IF(OR($AB42="",N(H42)&lt;=0),"",ROUND(H42*INDEX('Coëfficiënten'!$A$7:$AB$1006,MATCH(H42,INDEX('Coëfficiënten'!$A$7:$AB$1006,0,$AB42),1),$AB42+1),1))</f>
        <v/>
      </c>
      <c r="S42" s="14">
        <f>IF(OR($AB42="",N(I42)&lt;=0),"",ROUND(I42*INDEX('Coëfficiënten'!$A$7:$AB$1006,MATCH(I42,INDEX('Coëfficiënten'!$A$7:$AB$1006,0,$AB42),1),$AB42+1),1))</f>
        <v/>
      </c>
      <c r="T42" s="14">
        <f>IF(OR($AB42="",N(J42)&lt;=0),"",ROUND(J42*INDEX('Coëfficiënten'!$A$7:$AB$1006,MATCH(J42,INDEX('Coëfficiënten'!$A$7:$AB$1006,0,$AB42),1),$AB42+1),1))</f>
        <v/>
      </c>
      <c r="U42" s="14">
        <f>IF(OR($AB42="",N(K42)&lt;=0),"",ROUND(K42*INDEX('Coëfficiënten'!$A$7:$AB$1006,MATCH(K42,INDEX('Coëfficiënten'!$A$7:$AB$1006,0,$AB42),1),$AB42+1),1))</f>
        <v/>
      </c>
      <c r="V42" s="14">
        <f>IF(OR($AB42="",N(L42)&lt;=0),"",ROUND(L42*INDEX('Coëfficiënten'!$A$7:$AB$1006,MATCH(L42,INDEX('Coëfficiënten'!$A$7:$AB$1006,0,$AB42),1),$AB42+1),1))</f>
        <v/>
      </c>
      <c r="W42" s="14">
        <f>IF(OR($AB42="",N(M42)&lt;=0),"",ROUND(M42*INDEX('Coëfficiënten'!$A$7:$AB$1006,MATCH(M42,INDEX('Coëfficiënten'!$A$7:$AB$1006,0,$AB42),1),$AB42+1),1))</f>
        <v/>
      </c>
      <c r="X42" s="14">
        <f>IF(OR($AB42="",N(N42)&lt;=0),"",ROUND(N42*INDEX('Coëfficiënten'!$A$7:$AB$1006,MATCH(N42,INDEX('Coëfficiënten'!$A$7:$AB$1006,0,$AB42),1),$AB42+1),1))</f>
        <v/>
      </c>
      <c r="Y42" s="15">
        <f>IF(OR($B42="",COUNT($O42:$X42)=0),"",IFERROR(LARGE($O42:$X42,1),0)*($AB$5&gt;=1)+IFERROR(LARGE($O42:$X42,2),0)*($AB$5&gt;=2)+IFERROR(LARGE($O42:$X42,3),0)*($AB$5&gt;=3)+IFERROR(LARGE($O42:$X42,4),0)*($AB$5&gt;=4)+IFERROR(LARGE($O42:$X42,5),0)*($AB$5&gt;=5)+IFERROR(LARGE($O42:$X42,6),0)*($AB$5&gt;=6)+IFERROR(LARGE($O42:$X42,7),0)*($AB$5&gt;=7)+IFERROR(LARGE($O42:$X42,8),0)*($AB$5&gt;=8)+IFERROR(LARGE($O42:$X42,9),0)*($AB$5&gt;=9)+IFERROR(LARGE($O42:$X42,10),0)*($AB$5&gt;=10))</f>
        <v/>
      </c>
      <c r="Z42" s="14">
        <f>IF(N($Y42)=0,"",$Y42/MIN($AB$5,COUNT($O42:$X42)))</f>
        <v/>
      </c>
      <c r="AA42" s="7">
        <f>IF(N($Y42)=0,"",RANK($Y42,$Y$7:$Y$66))</f>
        <v/>
      </c>
      <c r="AB42" s="11">
        <f>IF(OR($C42="",$D42=""),"",IFERROR(MATCH($C42&amp;"|"&amp;VLOOKUP($D42,Uitleg!$B$23:$C$33,2,FALSE),'Coëfficiënten'!$A$5:$AB$5,0),""))</f>
        <v/>
      </c>
      <c r="AC42" s="11">
        <f>IF(N($Y42)=0,"",$Y42+(67-ROW())/1000000000)</f>
        <v/>
      </c>
    </row>
    <row r="43">
      <c r="A43" s="11">
        <f>ROW()-6</f>
        <v/>
      </c>
      <c r="B43" s="12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4">
        <f>IF(OR($AB43="",N(E43)&lt;=0),"",ROUND(E43*INDEX('Coëfficiënten'!$A$7:$AB$1006,MATCH(E43,INDEX('Coëfficiënten'!$A$7:$AB$1006,0,$AB43),1),$AB43+1),1))</f>
        <v/>
      </c>
      <c r="P43" s="14">
        <f>IF(OR($AB43="",N(F43)&lt;=0),"",ROUND(F43*INDEX('Coëfficiënten'!$A$7:$AB$1006,MATCH(F43,INDEX('Coëfficiënten'!$A$7:$AB$1006,0,$AB43),1),$AB43+1),1))</f>
        <v/>
      </c>
      <c r="Q43" s="14">
        <f>IF(OR($AB43="",N(G43)&lt;=0),"",ROUND(G43*INDEX('Coëfficiënten'!$A$7:$AB$1006,MATCH(G43,INDEX('Coëfficiënten'!$A$7:$AB$1006,0,$AB43),1),$AB43+1),1))</f>
        <v/>
      </c>
      <c r="R43" s="14">
        <f>IF(OR($AB43="",N(H43)&lt;=0),"",ROUND(H43*INDEX('Coëfficiënten'!$A$7:$AB$1006,MATCH(H43,INDEX('Coëfficiënten'!$A$7:$AB$1006,0,$AB43),1),$AB43+1),1))</f>
        <v/>
      </c>
      <c r="S43" s="14">
        <f>IF(OR($AB43="",N(I43)&lt;=0),"",ROUND(I43*INDEX('Coëfficiënten'!$A$7:$AB$1006,MATCH(I43,INDEX('Coëfficiënten'!$A$7:$AB$1006,0,$AB43),1),$AB43+1),1))</f>
        <v/>
      </c>
      <c r="T43" s="14">
        <f>IF(OR($AB43="",N(J43)&lt;=0),"",ROUND(J43*INDEX('Coëfficiënten'!$A$7:$AB$1006,MATCH(J43,INDEX('Coëfficiënten'!$A$7:$AB$1006,0,$AB43),1),$AB43+1),1))</f>
        <v/>
      </c>
      <c r="U43" s="14">
        <f>IF(OR($AB43="",N(K43)&lt;=0),"",ROUND(K43*INDEX('Coëfficiënten'!$A$7:$AB$1006,MATCH(K43,INDEX('Coëfficiënten'!$A$7:$AB$1006,0,$AB43),1),$AB43+1),1))</f>
        <v/>
      </c>
      <c r="V43" s="14">
        <f>IF(OR($AB43="",N(L43)&lt;=0),"",ROUND(L43*INDEX('Coëfficiënten'!$A$7:$AB$1006,MATCH(L43,INDEX('Coëfficiënten'!$A$7:$AB$1006,0,$AB43),1),$AB43+1),1))</f>
        <v/>
      </c>
      <c r="W43" s="14">
        <f>IF(OR($AB43="",N(M43)&lt;=0),"",ROUND(M43*INDEX('Coëfficiënten'!$A$7:$AB$1006,MATCH(M43,INDEX('Coëfficiënten'!$A$7:$AB$1006,0,$AB43),1),$AB43+1),1))</f>
        <v/>
      </c>
      <c r="X43" s="14">
        <f>IF(OR($AB43="",N(N43)&lt;=0),"",ROUND(N43*INDEX('Coëfficiënten'!$A$7:$AB$1006,MATCH(N43,INDEX('Coëfficiënten'!$A$7:$AB$1006,0,$AB43),1),$AB43+1),1))</f>
        <v/>
      </c>
      <c r="Y43" s="15">
        <f>IF(OR($B43="",COUNT($O43:$X43)=0),"",IFERROR(LARGE($O43:$X43,1),0)*($AB$5&gt;=1)+IFERROR(LARGE($O43:$X43,2),0)*($AB$5&gt;=2)+IFERROR(LARGE($O43:$X43,3),0)*($AB$5&gt;=3)+IFERROR(LARGE($O43:$X43,4),0)*($AB$5&gt;=4)+IFERROR(LARGE($O43:$X43,5),0)*($AB$5&gt;=5)+IFERROR(LARGE($O43:$X43,6),0)*($AB$5&gt;=6)+IFERROR(LARGE($O43:$X43,7),0)*($AB$5&gt;=7)+IFERROR(LARGE($O43:$X43,8),0)*($AB$5&gt;=8)+IFERROR(LARGE($O43:$X43,9),0)*($AB$5&gt;=9)+IFERROR(LARGE($O43:$X43,10),0)*($AB$5&gt;=10))</f>
        <v/>
      </c>
      <c r="Z43" s="14">
        <f>IF(N($Y43)=0,"",$Y43/MIN($AB$5,COUNT($O43:$X43)))</f>
        <v/>
      </c>
      <c r="AA43" s="7">
        <f>IF(N($Y43)=0,"",RANK($Y43,$Y$7:$Y$66))</f>
        <v/>
      </c>
      <c r="AB43" s="11">
        <f>IF(OR($C43="",$D43=""),"",IFERROR(MATCH($C43&amp;"|"&amp;VLOOKUP($D43,Uitleg!$B$23:$C$33,2,FALSE),'Coëfficiënten'!$A$5:$AB$5,0),""))</f>
        <v/>
      </c>
      <c r="AC43" s="11">
        <f>IF(N($Y43)=0,"",$Y43+(67-ROW())/1000000000)</f>
        <v/>
      </c>
    </row>
    <row r="44">
      <c r="A44" s="11">
        <f>ROW()-6</f>
        <v/>
      </c>
      <c r="B44" s="12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4">
        <f>IF(OR($AB44="",N(E44)&lt;=0),"",ROUND(E44*INDEX('Coëfficiënten'!$A$7:$AB$1006,MATCH(E44,INDEX('Coëfficiënten'!$A$7:$AB$1006,0,$AB44),1),$AB44+1),1))</f>
        <v/>
      </c>
      <c r="P44" s="14">
        <f>IF(OR($AB44="",N(F44)&lt;=0),"",ROUND(F44*INDEX('Coëfficiënten'!$A$7:$AB$1006,MATCH(F44,INDEX('Coëfficiënten'!$A$7:$AB$1006,0,$AB44),1),$AB44+1),1))</f>
        <v/>
      </c>
      <c r="Q44" s="14">
        <f>IF(OR($AB44="",N(G44)&lt;=0),"",ROUND(G44*INDEX('Coëfficiënten'!$A$7:$AB$1006,MATCH(G44,INDEX('Coëfficiënten'!$A$7:$AB$1006,0,$AB44),1),$AB44+1),1))</f>
        <v/>
      </c>
      <c r="R44" s="14">
        <f>IF(OR($AB44="",N(H44)&lt;=0),"",ROUND(H44*INDEX('Coëfficiënten'!$A$7:$AB$1006,MATCH(H44,INDEX('Coëfficiënten'!$A$7:$AB$1006,0,$AB44),1),$AB44+1),1))</f>
        <v/>
      </c>
      <c r="S44" s="14">
        <f>IF(OR($AB44="",N(I44)&lt;=0),"",ROUND(I44*INDEX('Coëfficiënten'!$A$7:$AB$1006,MATCH(I44,INDEX('Coëfficiënten'!$A$7:$AB$1006,0,$AB44),1),$AB44+1),1))</f>
        <v/>
      </c>
      <c r="T44" s="14">
        <f>IF(OR($AB44="",N(J44)&lt;=0),"",ROUND(J44*INDEX('Coëfficiënten'!$A$7:$AB$1006,MATCH(J44,INDEX('Coëfficiënten'!$A$7:$AB$1006,0,$AB44),1),$AB44+1),1))</f>
        <v/>
      </c>
      <c r="U44" s="14">
        <f>IF(OR($AB44="",N(K44)&lt;=0),"",ROUND(K44*INDEX('Coëfficiënten'!$A$7:$AB$1006,MATCH(K44,INDEX('Coëfficiënten'!$A$7:$AB$1006,0,$AB44),1),$AB44+1),1))</f>
        <v/>
      </c>
      <c r="V44" s="14">
        <f>IF(OR($AB44="",N(L44)&lt;=0),"",ROUND(L44*INDEX('Coëfficiënten'!$A$7:$AB$1006,MATCH(L44,INDEX('Coëfficiënten'!$A$7:$AB$1006,0,$AB44),1),$AB44+1),1))</f>
        <v/>
      </c>
      <c r="W44" s="14">
        <f>IF(OR($AB44="",N(M44)&lt;=0),"",ROUND(M44*INDEX('Coëfficiënten'!$A$7:$AB$1006,MATCH(M44,INDEX('Coëfficiënten'!$A$7:$AB$1006,0,$AB44),1),$AB44+1),1))</f>
        <v/>
      </c>
      <c r="X44" s="14">
        <f>IF(OR($AB44="",N(N44)&lt;=0),"",ROUND(N44*INDEX('Coëfficiënten'!$A$7:$AB$1006,MATCH(N44,INDEX('Coëfficiënten'!$A$7:$AB$1006,0,$AB44),1),$AB44+1),1))</f>
        <v/>
      </c>
      <c r="Y44" s="15">
        <f>IF(OR($B44="",COUNT($O44:$X44)=0),"",IFERROR(LARGE($O44:$X44,1),0)*($AB$5&gt;=1)+IFERROR(LARGE($O44:$X44,2),0)*($AB$5&gt;=2)+IFERROR(LARGE($O44:$X44,3),0)*($AB$5&gt;=3)+IFERROR(LARGE($O44:$X44,4),0)*($AB$5&gt;=4)+IFERROR(LARGE($O44:$X44,5),0)*($AB$5&gt;=5)+IFERROR(LARGE($O44:$X44,6),0)*($AB$5&gt;=6)+IFERROR(LARGE($O44:$X44,7),0)*($AB$5&gt;=7)+IFERROR(LARGE($O44:$X44,8),0)*($AB$5&gt;=8)+IFERROR(LARGE($O44:$X44,9),0)*($AB$5&gt;=9)+IFERROR(LARGE($O44:$X44,10),0)*($AB$5&gt;=10))</f>
        <v/>
      </c>
      <c r="Z44" s="14">
        <f>IF(N($Y44)=0,"",$Y44/MIN($AB$5,COUNT($O44:$X44)))</f>
        <v/>
      </c>
      <c r="AA44" s="7">
        <f>IF(N($Y44)=0,"",RANK($Y44,$Y$7:$Y$66))</f>
        <v/>
      </c>
      <c r="AB44" s="11">
        <f>IF(OR($C44="",$D44=""),"",IFERROR(MATCH($C44&amp;"|"&amp;VLOOKUP($D44,Uitleg!$B$23:$C$33,2,FALSE),'Coëfficiënten'!$A$5:$AB$5,0),""))</f>
        <v/>
      </c>
      <c r="AC44" s="11">
        <f>IF(N($Y44)=0,"",$Y44+(67-ROW())/1000000000)</f>
        <v/>
      </c>
    </row>
    <row r="45">
      <c r="A45" s="11">
        <f>ROW()-6</f>
        <v/>
      </c>
      <c r="B45" s="12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4">
        <f>IF(OR($AB45="",N(E45)&lt;=0),"",ROUND(E45*INDEX('Coëfficiënten'!$A$7:$AB$1006,MATCH(E45,INDEX('Coëfficiënten'!$A$7:$AB$1006,0,$AB45),1),$AB45+1),1))</f>
        <v/>
      </c>
      <c r="P45" s="14">
        <f>IF(OR($AB45="",N(F45)&lt;=0),"",ROUND(F45*INDEX('Coëfficiënten'!$A$7:$AB$1006,MATCH(F45,INDEX('Coëfficiënten'!$A$7:$AB$1006,0,$AB45),1),$AB45+1),1))</f>
        <v/>
      </c>
      <c r="Q45" s="14">
        <f>IF(OR($AB45="",N(G45)&lt;=0),"",ROUND(G45*INDEX('Coëfficiënten'!$A$7:$AB$1006,MATCH(G45,INDEX('Coëfficiënten'!$A$7:$AB$1006,0,$AB45),1),$AB45+1),1))</f>
        <v/>
      </c>
      <c r="R45" s="14">
        <f>IF(OR($AB45="",N(H45)&lt;=0),"",ROUND(H45*INDEX('Coëfficiënten'!$A$7:$AB$1006,MATCH(H45,INDEX('Coëfficiënten'!$A$7:$AB$1006,0,$AB45),1),$AB45+1),1))</f>
        <v/>
      </c>
      <c r="S45" s="14">
        <f>IF(OR($AB45="",N(I45)&lt;=0),"",ROUND(I45*INDEX('Coëfficiënten'!$A$7:$AB$1006,MATCH(I45,INDEX('Coëfficiënten'!$A$7:$AB$1006,0,$AB45),1),$AB45+1),1))</f>
        <v/>
      </c>
      <c r="T45" s="14">
        <f>IF(OR($AB45="",N(J45)&lt;=0),"",ROUND(J45*INDEX('Coëfficiënten'!$A$7:$AB$1006,MATCH(J45,INDEX('Coëfficiënten'!$A$7:$AB$1006,0,$AB45),1),$AB45+1),1))</f>
        <v/>
      </c>
      <c r="U45" s="14">
        <f>IF(OR($AB45="",N(K45)&lt;=0),"",ROUND(K45*INDEX('Coëfficiënten'!$A$7:$AB$1006,MATCH(K45,INDEX('Coëfficiënten'!$A$7:$AB$1006,0,$AB45),1),$AB45+1),1))</f>
        <v/>
      </c>
      <c r="V45" s="14">
        <f>IF(OR($AB45="",N(L45)&lt;=0),"",ROUND(L45*INDEX('Coëfficiënten'!$A$7:$AB$1006,MATCH(L45,INDEX('Coëfficiënten'!$A$7:$AB$1006,0,$AB45),1),$AB45+1),1))</f>
        <v/>
      </c>
      <c r="W45" s="14">
        <f>IF(OR($AB45="",N(M45)&lt;=0),"",ROUND(M45*INDEX('Coëfficiënten'!$A$7:$AB$1006,MATCH(M45,INDEX('Coëfficiënten'!$A$7:$AB$1006,0,$AB45),1),$AB45+1),1))</f>
        <v/>
      </c>
      <c r="X45" s="14">
        <f>IF(OR($AB45="",N(N45)&lt;=0),"",ROUND(N45*INDEX('Coëfficiënten'!$A$7:$AB$1006,MATCH(N45,INDEX('Coëfficiënten'!$A$7:$AB$1006,0,$AB45),1),$AB45+1),1))</f>
        <v/>
      </c>
      <c r="Y45" s="15">
        <f>IF(OR($B45="",COUNT($O45:$X45)=0),"",IFERROR(LARGE($O45:$X45,1),0)*($AB$5&gt;=1)+IFERROR(LARGE($O45:$X45,2),0)*($AB$5&gt;=2)+IFERROR(LARGE($O45:$X45,3),0)*($AB$5&gt;=3)+IFERROR(LARGE($O45:$X45,4),0)*($AB$5&gt;=4)+IFERROR(LARGE($O45:$X45,5),0)*($AB$5&gt;=5)+IFERROR(LARGE($O45:$X45,6),0)*($AB$5&gt;=6)+IFERROR(LARGE($O45:$X45,7),0)*($AB$5&gt;=7)+IFERROR(LARGE($O45:$X45,8),0)*($AB$5&gt;=8)+IFERROR(LARGE($O45:$X45,9),0)*($AB$5&gt;=9)+IFERROR(LARGE($O45:$X45,10),0)*($AB$5&gt;=10))</f>
        <v/>
      </c>
      <c r="Z45" s="14">
        <f>IF(N($Y45)=0,"",$Y45/MIN($AB$5,COUNT($O45:$X45)))</f>
        <v/>
      </c>
      <c r="AA45" s="7">
        <f>IF(N($Y45)=0,"",RANK($Y45,$Y$7:$Y$66))</f>
        <v/>
      </c>
      <c r="AB45" s="11">
        <f>IF(OR($C45="",$D45=""),"",IFERROR(MATCH($C45&amp;"|"&amp;VLOOKUP($D45,Uitleg!$B$23:$C$33,2,FALSE),'Coëfficiënten'!$A$5:$AB$5,0),""))</f>
        <v/>
      </c>
      <c r="AC45" s="11">
        <f>IF(N($Y45)=0,"",$Y45+(67-ROW())/1000000000)</f>
        <v/>
      </c>
    </row>
    <row r="46">
      <c r="A46" s="11">
        <f>ROW()-6</f>
        <v/>
      </c>
      <c r="B46" s="12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4">
        <f>IF(OR($AB46="",N(E46)&lt;=0),"",ROUND(E46*INDEX('Coëfficiënten'!$A$7:$AB$1006,MATCH(E46,INDEX('Coëfficiënten'!$A$7:$AB$1006,0,$AB46),1),$AB46+1),1))</f>
        <v/>
      </c>
      <c r="P46" s="14">
        <f>IF(OR($AB46="",N(F46)&lt;=0),"",ROUND(F46*INDEX('Coëfficiënten'!$A$7:$AB$1006,MATCH(F46,INDEX('Coëfficiënten'!$A$7:$AB$1006,0,$AB46),1),$AB46+1),1))</f>
        <v/>
      </c>
      <c r="Q46" s="14">
        <f>IF(OR($AB46="",N(G46)&lt;=0),"",ROUND(G46*INDEX('Coëfficiënten'!$A$7:$AB$1006,MATCH(G46,INDEX('Coëfficiënten'!$A$7:$AB$1006,0,$AB46),1),$AB46+1),1))</f>
        <v/>
      </c>
      <c r="R46" s="14">
        <f>IF(OR($AB46="",N(H46)&lt;=0),"",ROUND(H46*INDEX('Coëfficiënten'!$A$7:$AB$1006,MATCH(H46,INDEX('Coëfficiënten'!$A$7:$AB$1006,0,$AB46),1),$AB46+1),1))</f>
        <v/>
      </c>
      <c r="S46" s="14">
        <f>IF(OR($AB46="",N(I46)&lt;=0),"",ROUND(I46*INDEX('Coëfficiënten'!$A$7:$AB$1006,MATCH(I46,INDEX('Coëfficiënten'!$A$7:$AB$1006,0,$AB46),1),$AB46+1),1))</f>
        <v/>
      </c>
      <c r="T46" s="14">
        <f>IF(OR($AB46="",N(J46)&lt;=0),"",ROUND(J46*INDEX('Coëfficiënten'!$A$7:$AB$1006,MATCH(J46,INDEX('Coëfficiënten'!$A$7:$AB$1006,0,$AB46),1),$AB46+1),1))</f>
        <v/>
      </c>
      <c r="U46" s="14">
        <f>IF(OR($AB46="",N(K46)&lt;=0),"",ROUND(K46*INDEX('Coëfficiënten'!$A$7:$AB$1006,MATCH(K46,INDEX('Coëfficiënten'!$A$7:$AB$1006,0,$AB46),1),$AB46+1),1))</f>
        <v/>
      </c>
      <c r="V46" s="14">
        <f>IF(OR($AB46="",N(L46)&lt;=0),"",ROUND(L46*INDEX('Coëfficiënten'!$A$7:$AB$1006,MATCH(L46,INDEX('Coëfficiënten'!$A$7:$AB$1006,0,$AB46),1),$AB46+1),1))</f>
        <v/>
      </c>
      <c r="W46" s="14">
        <f>IF(OR($AB46="",N(M46)&lt;=0),"",ROUND(M46*INDEX('Coëfficiënten'!$A$7:$AB$1006,MATCH(M46,INDEX('Coëfficiënten'!$A$7:$AB$1006,0,$AB46),1),$AB46+1),1))</f>
        <v/>
      </c>
      <c r="X46" s="14">
        <f>IF(OR($AB46="",N(N46)&lt;=0),"",ROUND(N46*INDEX('Coëfficiënten'!$A$7:$AB$1006,MATCH(N46,INDEX('Coëfficiënten'!$A$7:$AB$1006,0,$AB46),1),$AB46+1),1))</f>
        <v/>
      </c>
      <c r="Y46" s="15">
        <f>IF(OR($B46="",COUNT($O46:$X46)=0),"",IFERROR(LARGE($O46:$X46,1),0)*($AB$5&gt;=1)+IFERROR(LARGE($O46:$X46,2),0)*($AB$5&gt;=2)+IFERROR(LARGE($O46:$X46,3),0)*($AB$5&gt;=3)+IFERROR(LARGE($O46:$X46,4),0)*($AB$5&gt;=4)+IFERROR(LARGE($O46:$X46,5),0)*($AB$5&gt;=5)+IFERROR(LARGE($O46:$X46,6),0)*($AB$5&gt;=6)+IFERROR(LARGE($O46:$X46,7),0)*($AB$5&gt;=7)+IFERROR(LARGE($O46:$X46,8),0)*($AB$5&gt;=8)+IFERROR(LARGE($O46:$X46,9),0)*($AB$5&gt;=9)+IFERROR(LARGE($O46:$X46,10),0)*($AB$5&gt;=10))</f>
        <v/>
      </c>
      <c r="Z46" s="14">
        <f>IF(N($Y46)=0,"",$Y46/MIN($AB$5,COUNT($O46:$X46)))</f>
        <v/>
      </c>
      <c r="AA46" s="7">
        <f>IF(N($Y46)=0,"",RANK($Y46,$Y$7:$Y$66))</f>
        <v/>
      </c>
      <c r="AB46" s="11">
        <f>IF(OR($C46="",$D46=""),"",IFERROR(MATCH($C46&amp;"|"&amp;VLOOKUP($D46,Uitleg!$B$23:$C$33,2,FALSE),'Coëfficiënten'!$A$5:$AB$5,0),""))</f>
        <v/>
      </c>
      <c r="AC46" s="11">
        <f>IF(N($Y46)=0,"",$Y46+(67-ROW())/1000000000)</f>
        <v/>
      </c>
    </row>
    <row r="47">
      <c r="A47" s="11">
        <f>ROW()-6</f>
        <v/>
      </c>
      <c r="B47" s="12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4">
        <f>IF(OR($AB47="",N(E47)&lt;=0),"",ROUND(E47*INDEX('Coëfficiënten'!$A$7:$AB$1006,MATCH(E47,INDEX('Coëfficiënten'!$A$7:$AB$1006,0,$AB47),1),$AB47+1),1))</f>
        <v/>
      </c>
      <c r="P47" s="14">
        <f>IF(OR($AB47="",N(F47)&lt;=0),"",ROUND(F47*INDEX('Coëfficiënten'!$A$7:$AB$1006,MATCH(F47,INDEX('Coëfficiënten'!$A$7:$AB$1006,0,$AB47),1),$AB47+1),1))</f>
        <v/>
      </c>
      <c r="Q47" s="14">
        <f>IF(OR($AB47="",N(G47)&lt;=0),"",ROUND(G47*INDEX('Coëfficiënten'!$A$7:$AB$1006,MATCH(G47,INDEX('Coëfficiënten'!$A$7:$AB$1006,0,$AB47),1),$AB47+1),1))</f>
        <v/>
      </c>
      <c r="R47" s="14">
        <f>IF(OR($AB47="",N(H47)&lt;=0),"",ROUND(H47*INDEX('Coëfficiënten'!$A$7:$AB$1006,MATCH(H47,INDEX('Coëfficiënten'!$A$7:$AB$1006,0,$AB47),1),$AB47+1),1))</f>
        <v/>
      </c>
      <c r="S47" s="14">
        <f>IF(OR($AB47="",N(I47)&lt;=0),"",ROUND(I47*INDEX('Coëfficiënten'!$A$7:$AB$1006,MATCH(I47,INDEX('Coëfficiënten'!$A$7:$AB$1006,0,$AB47),1),$AB47+1),1))</f>
        <v/>
      </c>
      <c r="T47" s="14">
        <f>IF(OR($AB47="",N(J47)&lt;=0),"",ROUND(J47*INDEX('Coëfficiënten'!$A$7:$AB$1006,MATCH(J47,INDEX('Coëfficiënten'!$A$7:$AB$1006,0,$AB47),1),$AB47+1),1))</f>
        <v/>
      </c>
      <c r="U47" s="14">
        <f>IF(OR($AB47="",N(K47)&lt;=0),"",ROUND(K47*INDEX('Coëfficiënten'!$A$7:$AB$1006,MATCH(K47,INDEX('Coëfficiënten'!$A$7:$AB$1006,0,$AB47),1),$AB47+1),1))</f>
        <v/>
      </c>
      <c r="V47" s="14">
        <f>IF(OR($AB47="",N(L47)&lt;=0),"",ROUND(L47*INDEX('Coëfficiënten'!$A$7:$AB$1006,MATCH(L47,INDEX('Coëfficiënten'!$A$7:$AB$1006,0,$AB47),1),$AB47+1),1))</f>
        <v/>
      </c>
      <c r="W47" s="14">
        <f>IF(OR($AB47="",N(M47)&lt;=0),"",ROUND(M47*INDEX('Coëfficiënten'!$A$7:$AB$1006,MATCH(M47,INDEX('Coëfficiënten'!$A$7:$AB$1006,0,$AB47),1),$AB47+1),1))</f>
        <v/>
      </c>
      <c r="X47" s="14">
        <f>IF(OR($AB47="",N(N47)&lt;=0),"",ROUND(N47*INDEX('Coëfficiënten'!$A$7:$AB$1006,MATCH(N47,INDEX('Coëfficiënten'!$A$7:$AB$1006,0,$AB47),1),$AB47+1),1))</f>
        <v/>
      </c>
      <c r="Y47" s="15">
        <f>IF(OR($B47="",COUNT($O47:$X47)=0),"",IFERROR(LARGE($O47:$X47,1),0)*($AB$5&gt;=1)+IFERROR(LARGE($O47:$X47,2),0)*($AB$5&gt;=2)+IFERROR(LARGE($O47:$X47,3),0)*($AB$5&gt;=3)+IFERROR(LARGE($O47:$X47,4),0)*($AB$5&gt;=4)+IFERROR(LARGE($O47:$X47,5),0)*($AB$5&gt;=5)+IFERROR(LARGE($O47:$X47,6),0)*($AB$5&gt;=6)+IFERROR(LARGE($O47:$X47,7),0)*($AB$5&gt;=7)+IFERROR(LARGE($O47:$X47,8),0)*($AB$5&gt;=8)+IFERROR(LARGE($O47:$X47,9),0)*($AB$5&gt;=9)+IFERROR(LARGE($O47:$X47,10),0)*($AB$5&gt;=10))</f>
        <v/>
      </c>
      <c r="Z47" s="14">
        <f>IF(N($Y47)=0,"",$Y47/MIN($AB$5,COUNT($O47:$X47)))</f>
        <v/>
      </c>
      <c r="AA47" s="7">
        <f>IF(N($Y47)=0,"",RANK($Y47,$Y$7:$Y$66))</f>
        <v/>
      </c>
      <c r="AB47" s="11">
        <f>IF(OR($C47="",$D47=""),"",IFERROR(MATCH($C47&amp;"|"&amp;VLOOKUP($D47,Uitleg!$B$23:$C$33,2,FALSE),'Coëfficiënten'!$A$5:$AB$5,0),""))</f>
        <v/>
      </c>
      <c r="AC47" s="11">
        <f>IF(N($Y47)=0,"",$Y47+(67-ROW())/1000000000)</f>
        <v/>
      </c>
    </row>
    <row r="48">
      <c r="A48" s="11">
        <f>ROW()-6</f>
        <v/>
      </c>
      <c r="B48" s="12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4">
        <f>IF(OR($AB48="",N(E48)&lt;=0),"",ROUND(E48*INDEX('Coëfficiënten'!$A$7:$AB$1006,MATCH(E48,INDEX('Coëfficiënten'!$A$7:$AB$1006,0,$AB48),1),$AB48+1),1))</f>
        <v/>
      </c>
      <c r="P48" s="14">
        <f>IF(OR($AB48="",N(F48)&lt;=0),"",ROUND(F48*INDEX('Coëfficiënten'!$A$7:$AB$1006,MATCH(F48,INDEX('Coëfficiënten'!$A$7:$AB$1006,0,$AB48),1),$AB48+1),1))</f>
        <v/>
      </c>
      <c r="Q48" s="14">
        <f>IF(OR($AB48="",N(G48)&lt;=0),"",ROUND(G48*INDEX('Coëfficiënten'!$A$7:$AB$1006,MATCH(G48,INDEX('Coëfficiënten'!$A$7:$AB$1006,0,$AB48),1),$AB48+1),1))</f>
        <v/>
      </c>
      <c r="R48" s="14">
        <f>IF(OR($AB48="",N(H48)&lt;=0),"",ROUND(H48*INDEX('Coëfficiënten'!$A$7:$AB$1006,MATCH(H48,INDEX('Coëfficiënten'!$A$7:$AB$1006,0,$AB48),1),$AB48+1),1))</f>
        <v/>
      </c>
      <c r="S48" s="14">
        <f>IF(OR($AB48="",N(I48)&lt;=0),"",ROUND(I48*INDEX('Coëfficiënten'!$A$7:$AB$1006,MATCH(I48,INDEX('Coëfficiënten'!$A$7:$AB$1006,0,$AB48),1),$AB48+1),1))</f>
        <v/>
      </c>
      <c r="T48" s="14">
        <f>IF(OR($AB48="",N(J48)&lt;=0),"",ROUND(J48*INDEX('Coëfficiënten'!$A$7:$AB$1006,MATCH(J48,INDEX('Coëfficiënten'!$A$7:$AB$1006,0,$AB48),1),$AB48+1),1))</f>
        <v/>
      </c>
      <c r="U48" s="14">
        <f>IF(OR($AB48="",N(K48)&lt;=0),"",ROUND(K48*INDEX('Coëfficiënten'!$A$7:$AB$1006,MATCH(K48,INDEX('Coëfficiënten'!$A$7:$AB$1006,0,$AB48),1),$AB48+1),1))</f>
        <v/>
      </c>
      <c r="V48" s="14">
        <f>IF(OR($AB48="",N(L48)&lt;=0),"",ROUND(L48*INDEX('Coëfficiënten'!$A$7:$AB$1006,MATCH(L48,INDEX('Coëfficiënten'!$A$7:$AB$1006,0,$AB48),1),$AB48+1),1))</f>
        <v/>
      </c>
      <c r="W48" s="14">
        <f>IF(OR($AB48="",N(M48)&lt;=0),"",ROUND(M48*INDEX('Coëfficiënten'!$A$7:$AB$1006,MATCH(M48,INDEX('Coëfficiënten'!$A$7:$AB$1006,0,$AB48),1),$AB48+1),1))</f>
        <v/>
      </c>
      <c r="X48" s="14">
        <f>IF(OR($AB48="",N(N48)&lt;=0),"",ROUND(N48*INDEX('Coëfficiënten'!$A$7:$AB$1006,MATCH(N48,INDEX('Coëfficiënten'!$A$7:$AB$1006,0,$AB48),1),$AB48+1),1))</f>
        <v/>
      </c>
      <c r="Y48" s="15">
        <f>IF(OR($B48="",COUNT($O48:$X48)=0),"",IFERROR(LARGE($O48:$X48,1),0)*($AB$5&gt;=1)+IFERROR(LARGE($O48:$X48,2),0)*($AB$5&gt;=2)+IFERROR(LARGE($O48:$X48,3),0)*($AB$5&gt;=3)+IFERROR(LARGE($O48:$X48,4),0)*($AB$5&gt;=4)+IFERROR(LARGE($O48:$X48,5),0)*($AB$5&gt;=5)+IFERROR(LARGE($O48:$X48,6),0)*($AB$5&gt;=6)+IFERROR(LARGE($O48:$X48,7),0)*($AB$5&gt;=7)+IFERROR(LARGE($O48:$X48,8),0)*($AB$5&gt;=8)+IFERROR(LARGE($O48:$X48,9),0)*($AB$5&gt;=9)+IFERROR(LARGE($O48:$X48,10),0)*($AB$5&gt;=10))</f>
        <v/>
      </c>
      <c r="Z48" s="14">
        <f>IF(N($Y48)=0,"",$Y48/MIN($AB$5,COUNT($O48:$X48)))</f>
        <v/>
      </c>
      <c r="AA48" s="7">
        <f>IF(N($Y48)=0,"",RANK($Y48,$Y$7:$Y$66))</f>
        <v/>
      </c>
      <c r="AB48" s="11">
        <f>IF(OR($C48="",$D48=""),"",IFERROR(MATCH($C48&amp;"|"&amp;VLOOKUP($D48,Uitleg!$B$23:$C$33,2,FALSE),'Coëfficiënten'!$A$5:$AB$5,0),""))</f>
        <v/>
      </c>
      <c r="AC48" s="11">
        <f>IF(N($Y48)=0,"",$Y48+(67-ROW())/1000000000)</f>
        <v/>
      </c>
    </row>
    <row r="49">
      <c r="A49" s="11">
        <f>ROW()-6</f>
        <v/>
      </c>
      <c r="B49" s="12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4">
        <f>IF(OR($AB49="",N(E49)&lt;=0),"",ROUND(E49*INDEX('Coëfficiënten'!$A$7:$AB$1006,MATCH(E49,INDEX('Coëfficiënten'!$A$7:$AB$1006,0,$AB49),1),$AB49+1),1))</f>
        <v/>
      </c>
      <c r="P49" s="14">
        <f>IF(OR($AB49="",N(F49)&lt;=0),"",ROUND(F49*INDEX('Coëfficiënten'!$A$7:$AB$1006,MATCH(F49,INDEX('Coëfficiënten'!$A$7:$AB$1006,0,$AB49),1),$AB49+1),1))</f>
        <v/>
      </c>
      <c r="Q49" s="14">
        <f>IF(OR($AB49="",N(G49)&lt;=0),"",ROUND(G49*INDEX('Coëfficiënten'!$A$7:$AB$1006,MATCH(G49,INDEX('Coëfficiënten'!$A$7:$AB$1006,0,$AB49),1),$AB49+1),1))</f>
        <v/>
      </c>
      <c r="R49" s="14">
        <f>IF(OR($AB49="",N(H49)&lt;=0),"",ROUND(H49*INDEX('Coëfficiënten'!$A$7:$AB$1006,MATCH(H49,INDEX('Coëfficiënten'!$A$7:$AB$1006,0,$AB49),1),$AB49+1),1))</f>
        <v/>
      </c>
      <c r="S49" s="14">
        <f>IF(OR($AB49="",N(I49)&lt;=0),"",ROUND(I49*INDEX('Coëfficiënten'!$A$7:$AB$1006,MATCH(I49,INDEX('Coëfficiënten'!$A$7:$AB$1006,0,$AB49),1),$AB49+1),1))</f>
        <v/>
      </c>
      <c r="T49" s="14">
        <f>IF(OR($AB49="",N(J49)&lt;=0),"",ROUND(J49*INDEX('Coëfficiënten'!$A$7:$AB$1006,MATCH(J49,INDEX('Coëfficiënten'!$A$7:$AB$1006,0,$AB49),1),$AB49+1),1))</f>
        <v/>
      </c>
      <c r="U49" s="14">
        <f>IF(OR($AB49="",N(K49)&lt;=0),"",ROUND(K49*INDEX('Coëfficiënten'!$A$7:$AB$1006,MATCH(K49,INDEX('Coëfficiënten'!$A$7:$AB$1006,0,$AB49),1),$AB49+1),1))</f>
        <v/>
      </c>
      <c r="V49" s="14">
        <f>IF(OR($AB49="",N(L49)&lt;=0),"",ROUND(L49*INDEX('Coëfficiënten'!$A$7:$AB$1006,MATCH(L49,INDEX('Coëfficiënten'!$A$7:$AB$1006,0,$AB49),1),$AB49+1),1))</f>
        <v/>
      </c>
      <c r="W49" s="14">
        <f>IF(OR($AB49="",N(M49)&lt;=0),"",ROUND(M49*INDEX('Coëfficiënten'!$A$7:$AB$1006,MATCH(M49,INDEX('Coëfficiënten'!$A$7:$AB$1006,0,$AB49),1),$AB49+1),1))</f>
        <v/>
      </c>
      <c r="X49" s="14">
        <f>IF(OR($AB49="",N(N49)&lt;=0),"",ROUND(N49*INDEX('Coëfficiënten'!$A$7:$AB$1006,MATCH(N49,INDEX('Coëfficiënten'!$A$7:$AB$1006,0,$AB49),1),$AB49+1),1))</f>
        <v/>
      </c>
      <c r="Y49" s="15">
        <f>IF(OR($B49="",COUNT($O49:$X49)=0),"",IFERROR(LARGE($O49:$X49,1),0)*($AB$5&gt;=1)+IFERROR(LARGE($O49:$X49,2),0)*($AB$5&gt;=2)+IFERROR(LARGE($O49:$X49,3),0)*($AB$5&gt;=3)+IFERROR(LARGE($O49:$X49,4),0)*($AB$5&gt;=4)+IFERROR(LARGE($O49:$X49,5),0)*($AB$5&gt;=5)+IFERROR(LARGE($O49:$X49,6),0)*($AB$5&gt;=6)+IFERROR(LARGE($O49:$X49,7),0)*($AB$5&gt;=7)+IFERROR(LARGE($O49:$X49,8),0)*($AB$5&gt;=8)+IFERROR(LARGE($O49:$X49,9),0)*($AB$5&gt;=9)+IFERROR(LARGE($O49:$X49,10),0)*($AB$5&gt;=10))</f>
        <v/>
      </c>
      <c r="Z49" s="14">
        <f>IF(N($Y49)=0,"",$Y49/MIN($AB$5,COUNT($O49:$X49)))</f>
        <v/>
      </c>
      <c r="AA49" s="7">
        <f>IF(N($Y49)=0,"",RANK($Y49,$Y$7:$Y$66))</f>
        <v/>
      </c>
      <c r="AB49" s="11">
        <f>IF(OR($C49="",$D49=""),"",IFERROR(MATCH($C49&amp;"|"&amp;VLOOKUP($D49,Uitleg!$B$23:$C$33,2,FALSE),'Coëfficiënten'!$A$5:$AB$5,0),""))</f>
        <v/>
      </c>
      <c r="AC49" s="11">
        <f>IF(N($Y49)=0,"",$Y49+(67-ROW())/1000000000)</f>
        <v/>
      </c>
    </row>
    <row r="50">
      <c r="A50" s="11">
        <f>ROW()-6</f>
        <v/>
      </c>
      <c r="B50" s="12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4">
        <f>IF(OR($AB50="",N(E50)&lt;=0),"",ROUND(E50*INDEX('Coëfficiënten'!$A$7:$AB$1006,MATCH(E50,INDEX('Coëfficiënten'!$A$7:$AB$1006,0,$AB50),1),$AB50+1),1))</f>
        <v/>
      </c>
      <c r="P50" s="14">
        <f>IF(OR($AB50="",N(F50)&lt;=0),"",ROUND(F50*INDEX('Coëfficiënten'!$A$7:$AB$1006,MATCH(F50,INDEX('Coëfficiënten'!$A$7:$AB$1006,0,$AB50),1),$AB50+1),1))</f>
        <v/>
      </c>
      <c r="Q50" s="14">
        <f>IF(OR($AB50="",N(G50)&lt;=0),"",ROUND(G50*INDEX('Coëfficiënten'!$A$7:$AB$1006,MATCH(G50,INDEX('Coëfficiënten'!$A$7:$AB$1006,0,$AB50),1),$AB50+1),1))</f>
        <v/>
      </c>
      <c r="R50" s="14">
        <f>IF(OR($AB50="",N(H50)&lt;=0),"",ROUND(H50*INDEX('Coëfficiënten'!$A$7:$AB$1006,MATCH(H50,INDEX('Coëfficiënten'!$A$7:$AB$1006,0,$AB50),1),$AB50+1),1))</f>
        <v/>
      </c>
      <c r="S50" s="14">
        <f>IF(OR($AB50="",N(I50)&lt;=0),"",ROUND(I50*INDEX('Coëfficiënten'!$A$7:$AB$1006,MATCH(I50,INDEX('Coëfficiënten'!$A$7:$AB$1006,0,$AB50),1),$AB50+1),1))</f>
        <v/>
      </c>
      <c r="T50" s="14">
        <f>IF(OR($AB50="",N(J50)&lt;=0),"",ROUND(J50*INDEX('Coëfficiënten'!$A$7:$AB$1006,MATCH(J50,INDEX('Coëfficiënten'!$A$7:$AB$1006,0,$AB50),1),$AB50+1),1))</f>
        <v/>
      </c>
      <c r="U50" s="14">
        <f>IF(OR($AB50="",N(K50)&lt;=0),"",ROUND(K50*INDEX('Coëfficiënten'!$A$7:$AB$1006,MATCH(K50,INDEX('Coëfficiënten'!$A$7:$AB$1006,0,$AB50),1),$AB50+1),1))</f>
        <v/>
      </c>
      <c r="V50" s="14">
        <f>IF(OR($AB50="",N(L50)&lt;=0),"",ROUND(L50*INDEX('Coëfficiënten'!$A$7:$AB$1006,MATCH(L50,INDEX('Coëfficiënten'!$A$7:$AB$1006,0,$AB50),1),$AB50+1),1))</f>
        <v/>
      </c>
      <c r="W50" s="14">
        <f>IF(OR($AB50="",N(M50)&lt;=0),"",ROUND(M50*INDEX('Coëfficiënten'!$A$7:$AB$1006,MATCH(M50,INDEX('Coëfficiënten'!$A$7:$AB$1006,0,$AB50),1),$AB50+1),1))</f>
        <v/>
      </c>
      <c r="X50" s="14">
        <f>IF(OR($AB50="",N(N50)&lt;=0),"",ROUND(N50*INDEX('Coëfficiënten'!$A$7:$AB$1006,MATCH(N50,INDEX('Coëfficiënten'!$A$7:$AB$1006,0,$AB50),1),$AB50+1),1))</f>
        <v/>
      </c>
      <c r="Y50" s="15">
        <f>IF(OR($B50="",COUNT($O50:$X50)=0),"",IFERROR(LARGE($O50:$X50,1),0)*($AB$5&gt;=1)+IFERROR(LARGE($O50:$X50,2),0)*($AB$5&gt;=2)+IFERROR(LARGE($O50:$X50,3),0)*($AB$5&gt;=3)+IFERROR(LARGE($O50:$X50,4),0)*($AB$5&gt;=4)+IFERROR(LARGE($O50:$X50,5),0)*($AB$5&gt;=5)+IFERROR(LARGE($O50:$X50,6),0)*($AB$5&gt;=6)+IFERROR(LARGE($O50:$X50,7),0)*($AB$5&gt;=7)+IFERROR(LARGE($O50:$X50,8),0)*($AB$5&gt;=8)+IFERROR(LARGE($O50:$X50,9),0)*($AB$5&gt;=9)+IFERROR(LARGE($O50:$X50,10),0)*($AB$5&gt;=10))</f>
        <v/>
      </c>
      <c r="Z50" s="14">
        <f>IF(N($Y50)=0,"",$Y50/MIN($AB$5,COUNT($O50:$X50)))</f>
        <v/>
      </c>
      <c r="AA50" s="7">
        <f>IF(N($Y50)=0,"",RANK($Y50,$Y$7:$Y$66))</f>
        <v/>
      </c>
      <c r="AB50" s="11">
        <f>IF(OR($C50="",$D50=""),"",IFERROR(MATCH($C50&amp;"|"&amp;VLOOKUP($D50,Uitleg!$B$23:$C$33,2,FALSE),'Coëfficiënten'!$A$5:$AB$5,0),""))</f>
        <v/>
      </c>
      <c r="AC50" s="11">
        <f>IF(N($Y50)=0,"",$Y50+(67-ROW())/1000000000)</f>
        <v/>
      </c>
    </row>
    <row r="51">
      <c r="A51" s="11">
        <f>ROW()-6</f>
        <v/>
      </c>
      <c r="B51" s="12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4">
        <f>IF(OR($AB51="",N(E51)&lt;=0),"",ROUND(E51*INDEX('Coëfficiënten'!$A$7:$AB$1006,MATCH(E51,INDEX('Coëfficiënten'!$A$7:$AB$1006,0,$AB51),1),$AB51+1),1))</f>
        <v/>
      </c>
      <c r="P51" s="14">
        <f>IF(OR($AB51="",N(F51)&lt;=0),"",ROUND(F51*INDEX('Coëfficiënten'!$A$7:$AB$1006,MATCH(F51,INDEX('Coëfficiënten'!$A$7:$AB$1006,0,$AB51),1),$AB51+1),1))</f>
        <v/>
      </c>
      <c r="Q51" s="14">
        <f>IF(OR($AB51="",N(G51)&lt;=0),"",ROUND(G51*INDEX('Coëfficiënten'!$A$7:$AB$1006,MATCH(G51,INDEX('Coëfficiënten'!$A$7:$AB$1006,0,$AB51),1),$AB51+1),1))</f>
        <v/>
      </c>
      <c r="R51" s="14">
        <f>IF(OR($AB51="",N(H51)&lt;=0),"",ROUND(H51*INDEX('Coëfficiënten'!$A$7:$AB$1006,MATCH(H51,INDEX('Coëfficiënten'!$A$7:$AB$1006,0,$AB51),1),$AB51+1),1))</f>
        <v/>
      </c>
      <c r="S51" s="14">
        <f>IF(OR($AB51="",N(I51)&lt;=0),"",ROUND(I51*INDEX('Coëfficiënten'!$A$7:$AB$1006,MATCH(I51,INDEX('Coëfficiënten'!$A$7:$AB$1006,0,$AB51),1),$AB51+1),1))</f>
        <v/>
      </c>
      <c r="T51" s="14">
        <f>IF(OR($AB51="",N(J51)&lt;=0),"",ROUND(J51*INDEX('Coëfficiënten'!$A$7:$AB$1006,MATCH(J51,INDEX('Coëfficiënten'!$A$7:$AB$1006,0,$AB51),1),$AB51+1),1))</f>
        <v/>
      </c>
      <c r="U51" s="14">
        <f>IF(OR($AB51="",N(K51)&lt;=0),"",ROUND(K51*INDEX('Coëfficiënten'!$A$7:$AB$1006,MATCH(K51,INDEX('Coëfficiënten'!$A$7:$AB$1006,0,$AB51),1),$AB51+1),1))</f>
        <v/>
      </c>
      <c r="V51" s="14">
        <f>IF(OR($AB51="",N(L51)&lt;=0),"",ROUND(L51*INDEX('Coëfficiënten'!$A$7:$AB$1006,MATCH(L51,INDEX('Coëfficiënten'!$A$7:$AB$1006,0,$AB51),1),$AB51+1),1))</f>
        <v/>
      </c>
      <c r="W51" s="14">
        <f>IF(OR($AB51="",N(M51)&lt;=0),"",ROUND(M51*INDEX('Coëfficiënten'!$A$7:$AB$1006,MATCH(M51,INDEX('Coëfficiënten'!$A$7:$AB$1006,0,$AB51),1),$AB51+1),1))</f>
        <v/>
      </c>
      <c r="X51" s="14">
        <f>IF(OR($AB51="",N(N51)&lt;=0),"",ROUND(N51*INDEX('Coëfficiënten'!$A$7:$AB$1006,MATCH(N51,INDEX('Coëfficiënten'!$A$7:$AB$1006,0,$AB51),1),$AB51+1),1))</f>
        <v/>
      </c>
      <c r="Y51" s="15">
        <f>IF(OR($B51="",COUNT($O51:$X51)=0),"",IFERROR(LARGE($O51:$X51,1),0)*($AB$5&gt;=1)+IFERROR(LARGE($O51:$X51,2),0)*($AB$5&gt;=2)+IFERROR(LARGE($O51:$X51,3),0)*($AB$5&gt;=3)+IFERROR(LARGE($O51:$X51,4),0)*($AB$5&gt;=4)+IFERROR(LARGE($O51:$X51,5),0)*($AB$5&gt;=5)+IFERROR(LARGE($O51:$X51,6),0)*($AB$5&gt;=6)+IFERROR(LARGE($O51:$X51,7),0)*($AB$5&gt;=7)+IFERROR(LARGE($O51:$X51,8),0)*($AB$5&gt;=8)+IFERROR(LARGE($O51:$X51,9),0)*($AB$5&gt;=9)+IFERROR(LARGE($O51:$X51,10),0)*($AB$5&gt;=10))</f>
        <v/>
      </c>
      <c r="Z51" s="14">
        <f>IF(N($Y51)=0,"",$Y51/MIN($AB$5,COUNT($O51:$X51)))</f>
        <v/>
      </c>
      <c r="AA51" s="7">
        <f>IF(N($Y51)=0,"",RANK($Y51,$Y$7:$Y$66))</f>
        <v/>
      </c>
      <c r="AB51" s="11">
        <f>IF(OR($C51="",$D51=""),"",IFERROR(MATCH($C51&amp;"|"&amp;VLOOKUP($D51,Uitleg!$B$23:$C$33,2,FALSE),'Coëfficiënten'!$A$5:$AB$5,0),""))</f>
        <v/>
      </c>
      <c r="AC51" s="11">
        <f>IF(N($Y51)=0,"",$Y51+(67-ROW())/1000000000)</f>
        <v/>
      </c>
    </row>
    <row r="52">
      <c r="A52" s="11">
        <f>ROW()-6</f>
        <v/>
      </c>
      <c r="B52" s="12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4">
        <f>IF(OR($AB52="",N(E52)&lt;=0),"",ROUND(E52*INDEX('Coëfficiënten'!$A$7:$AB$1006,MATCH(E52,INDEX('Coëfficiënten'!$A$7:$AB$1006,0,$AB52),1),$AB52+1),1))</f>
        <v/>
      </c>
      <c r="P52" s="14">
        <f>IF(OR($AB52="",N(F52)&lt;=0),"",ROUND(F52*INDEX('Coëfficiënten'!$A$7:$AB$1006,MATCH(F52,INDEX('Coëfficiënten'!$A$7:$AB$1006,0,$AB52),1),$AB52+1),1))</f>
        <v/>
      </c>
      <c r="Q52" s="14">
        <f>IF(OR($AB52="",N(G52)&lt;=0),"",ROUND(G52*INDEX('Coëfficiënten'!$A$7:$AB$1006,MATCH(G52,INDEX('Coëfficiënten'!$A$7:$AB$1006,0,$AB52),1),$AB52+1),1))</f>
        <v/>
      </c>
      <c r="R52" s="14">
        <f>IF(OR($AB52="",N(H52)&lt;=0),"",ROUND(H52*INDEX('Coëfficiënten'!$A$7:$AB$1006,MATCH(H52,INDEX('Coëfficiënten'!$A$7:$AB$1006,0,$AB52),1),$AB52+1),1))</f>
        <v/>
      </c>
      <c r="S52" s="14">
        <f>IF(OR($AB52="",N(I52)&lt;=0),"",ROUND(I52*INDEX('Coëfficiënten'!$A$7:$AB$1006,MATCH(I52,INDEX('Coëfficiënten'!$A$7:$AB$1006,0,$AB52),1),$AB52+1),1))</f>
        <v/>
      </c>
      <c r="T52" s="14">
        <f>IF(OR($AB52="",N(J52)&lt;=0),"",ROUND(J52*INDEX('Coëfficiënten'!$A$7:$AB$1006,MATCH(J52,INDEX('Coëfficiënten'!$A$7:$AB$1006,0,$AB52),1),$AB52+1),1))</f>
        <v/>
      </c>
      <c r="U52" s="14">
        <f>IF(OR($AB52="",N(K52)&lt;=0),"",ROUND(K52*INDEX('Coëfficiënten'!$A$7:$AB$1006,MATCH(K52,INDEX('Coëfficiënten'!$A$7:$AB$1006,0,$AB52),1),$AB52+1),1))</f>
        <v/>
      </c>
      <c r="V52" s="14">
        <f>IF(OR($AB52="",N(L52)&lt;=0),"",ROUND(L52*INDEX('Coëfficiënten'!$A$7:$AB$1006,MATCH(L52,INDEX('Coëfficiënten'!$A$7:$AB$1006,0,$AB52),1),$AB52+1),1))</f>
        <v/>
      </c>
      <c r="W52" s="14">
        <f>IF(OR($AB52="",N(M52)&lt;=0),"",ROUND(M52*INDEX('Coëfficiënten'!$A$7:$AB$1006,MATCH(M52,INDEX('Coëfficiënten'!$A$7:$AB$1006,0,$AB52),1),$AB52+1),1))</f>
        <v/>
      </c>
      <c r="X52" s="14">
        <f>IF(OR($AB52="",N(N52)&lt;=0),"",ROUND(N52*INDEX('Coëfficiënten'!$A$7:$AB$1006,MATCH(N52,INDEX('Coëfficiënten'!$A$7:$AB$1006,0,$AB52),1),$AB52+1),1))</f>
        <v/>
      </c>
      <c r="Y52" s="15">
        <f>IF(OR($B52="",COUNT($O52:$X52)=0),"",IFERROR(LARGE($O52:$X52,1),0)*($AB$5&gt;=1)+IFERROR(LARGE($O52:$X52,2),0)*($AB$5&gt;=2)+IFERROR(LARGE($O52:$X52,3),0)*($AB$5&gt;=3)+IFERROR(LARGE($O52:$X52,4),0)*($AB$5&gt;=4)+IFERROR(LARGE($O52:$X52,5),0)*($AB$5&gt;=5)+IFERROR(LARGE($O52:$X52,6),0)*($AB$5&gt;=6)+IFERROR(LARGE($O52:$X52,7),0)*($AB$5&gt;=7)+IFERROR(LARGE($O52:$X52,8),0)*($AB$5&gt;=8)+IFERROR(LARGE($O52:$X52,9),0)*($AB$5&gt;=9)+IFERROR(LARGE($O52:$X52,10),0)*($AB$5&gt;=10))</f>
        <v/>
      </c>
      <c r="Z52" s="14">
        <f>IF(N($Y52)=0,"",$Y52/MIN($AB$5,COUNT($O52:$X52)))</f>
        <v/>
      </c>
      <c r="AA52" s="7">
        <f>IF(N($Y52)=0,"",RANK($Y52,$Y$7:$Y$66))</f>
        <v/>
      </c>
      <c r="AB52" s="11">
        <f>IF(OR($C52="",$D52=""),"",IFERROR(MATCH($C52&amp;"|"&amp;VLOOKUP($D52,Uitleg!$B$23:$C$33,2,FALSE),'Coëfficiënten'!$A$5:$AB$5,0),""))</f>
        <v/>
      </c>
      <c r="AC52" s="11">
        <f>IF(N($Y52)=0,"",$Y52+(67-ROW())/1000000000)</f>
        <v/>
      </c>
    </row>
    <row r="53">
      <c r="A53" s="11">
        <f>ROW()-6</f>
        <v/>
      </c>
      <c r="B53" s="12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4">
        <f>IF(OR($AB53="",N(E53)&lt;=0),"",ROUND(E53*INDEX('Coëfficiënten'!$A$7:$AB$1006,MATCH(E53,INDEX('Coëfficiënten'!$A$7:$AB$1006,0,$AB53),1),$AB53+1),1))</f>
        <v/>
      </c>
      <c r="P53" s="14">
        <f>IF(OR($AB53="",N(F53)&lt;=0),"",ROUND(F53*INDEX('Coëfficiënten'!$A$7:$AB$1006,MATCH(F53,INDEX('Coëfficiënten'!$A$7:$AB$1006,0,$AB53),1),$AB53+1),1))</f>
        <v/>
      </c>
      <c r="Q53" s="14">
        <f>IF(OR($AB53="",N(G53)&lt;=0),"",ROUND(G53*INDEX('Coëfficiënten'!$A$7:$AB$1006,MATCH(G53,INDEX('Coëfficiënten'!$A$7:$AB$1006,0,$AB53),1),$AB53+1),1))</f>
        <v/>
      </c>
      <c r="R53" s="14">
        <f>IF(OR($AB53="",N(H53)&lt;=0),"",ROUND(H53*INDEX('Coëfficiënten'!$A$7:$AB$1006,MATCH(H53,INDEX('Coëfficiënten'!$A$7:$AB$1006,0,$AB53),1),$AB53+1),1))</f>
        <v/>
      </c>
      <c r="S53" s="14">
        <f>IF(OR($AB53="",N(I53)&lt;=0),"",ROUND(I53*INDEX('Coëfficiënten'!$A$7:$AB$1006,MATCH(I53,INDEX('Coëfficiënten'!$A$7:$AB$1006,0,$AB53),1),$AB53+1),1))</f>
        <v/>
      </c>
      <c r="T53" s="14">
        <f>IF(OR($AB53="",N(J53)&lt;=0),"",ROUND(J53*INDEX('Coëfficiënten'!$A$7:$AB$1006,MATCH(J53,INDEX('Coëfficiënten'!$A$7:$AB$1006,0,$AB53),1),$AB53+1),1))</f>
        <v/>
      </c>
      <c r="U53" s="14">
        <f>IF(OR($AB53="",N(K53)&lt;=0),"",ROUND(K53*INDEX('Coëfficiënten'!$A$7:$AB$1006,MATCH(K53,INDEX('Coëfficiënten'!$A$7:$AB$1006,0,$AB53),1),$AB53+1),1))</f>
        <v/>
      </c>
      <c r="V53" s="14">
        <f>IF(OR($AB53="",N(L53)&lt;=0),"",ROUND(L53*INDEX('Coëfficiënten'!$A$7:$AB$1006,MATCH(L53,INDEX('Coëfficiënten'!$A$7:$AB$1006,0,$AB53),1),$AB53+1),1))</f>
        <v/>
      </c>
      <c r="W53" s="14">
        <f>IF(OR($AB53="",N(M53)&lt;=0),"",ROUND(M53*INDEX('Coëfficiënten'!$A$7:$AB$1006,MATCH(M53,INDEX('Coëfficiënten'!$A$7:$AB$1006,0,$AB53),1),$AB53+1),1))</f>
        <v/>
      </c>
      <c r="X53" s="14">
        <f>IF(OR($AB53="",N(N53)&lt;=0),"",ROUND(N53*INDEX('Coëfficiënten'!$A$7:$AB$1006,MATCH(N53,INDEX('Coëfficiënten'!$A$7:$AB$1006,0,$AB53),1),$AB53+1),1))</f>
        <v/>
      </c>
      <c r="Y53" s="15">
        <f>IF(OR($B53="",COUNT($O53:$X53)=0),"",IFERROR(LARGE($O53:$X53,1),0)*($AB$5&gt;=1)+IFERROR(LARGE($O53:$X53,2),0)*($AB$5&gt;=2)+IFERROR(LARGE($O53:$X53,3),0)*($AB$5&gt;=3)+IFERROR(LARGE($O53:$X53,4),0)*($AB$5&gt;=4)+IFERROR(LARGE($O53:$X53,5),0)*($AB$5&gt;=5)+IFERROR(LARGE($O53:$X53,6),0)*($AB$5&gt;=6)+IFERROR(LARGE($O53:$X53,7),0)*($AB$5&gt;=7)+IFERROR(LARGE($O53:$X53,8),0)*($AB$5&gt;=8)+IFERROR(LARGE($O53:$X53,9),0)*($AB$5&gt;=9)+IFERROR(LARGE($O53:$X53,10),0)*($AB$5&gt;=10))</f>
        <v/>
      </c>
      <c r="Z53" s="14">
        <f>IF(N($Y53)=0,"",$Y53/MIN($AB$5,COUNT($O53:$X53)))</f>
        <v/>
      </c>
      <c r="AA53" s="7">
        <f>IF(N($Y53)=0,"",RANK($Y53,$Y$7:$Y$66))</f>
        <v/>
      </c>
      <c r="AB53" s="11">
        <f>IF(OR($C53="",$D53=""),"",IFERROR(MATCH($C53&amp;"|"&amp;VLOOKUP($D53,Uitleg!$B$23:$C$33,2,FALSE),'Coëfficiënten'!$A$5:$AB$5,0),""))</f>
        <v/>
      </c>
      <c r="AC53" s="11">
        <f>IF(N($Y53)=0,"",$Y53+(67-ROW())/1000000000)</f>
        <v/>
      </c>
    </row>
    <row r="54">
      <c r="A54" s="11">
        <f>ROW()-6</f>
        <v/>
      </c>
      <c r="B54" s="12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4">
        <f>IF(OR($AB54="",N(E54)&lt;=0),"",ROUND(E54*INDEX('Coëfficiënten'!$A$7:$AB$1006,MATCH(E54,INDEX('Coëfficiënten'!$A$7:$AB$1006,0,$AB54),1),$AB54+1),1))</f>
        <v/>
      </c>
      <c r="P54" s="14">
        <f>IF(OR($AB54="",N(F54)&lt;=0),"",ROUND(F54*INDEX('Coëfficiënten'!$A$7:$AB$1006,MATCH(F54,INDEX('Coëfficiënten'!$A$7:$AB$1006,0,$AB54),1),$AB54+1),1))</f>
        <v/>
      </c>
      <c r="Q54" s="14">
        <f>IF(OR($AB54="",N(G54)&lt;=0),"",ROUND(G54*INDEX('Coëfficiënten'!$A$7:$AB$1006,MATCH(G54,INDEX('Coëfficiënten'!$A$7:$AB$1006,0,$AB54),1),$AB54+1),1))</f>
        <v/>
      </c>
      <c r="R54" s="14">
        <f>IF(OR($AB54="",N(H54)&lt;=0),"",ROUND(H54*INDEX('Coëfficiënten'!$A$7:$AB$1006,MATCH(H54,INDEX('Coëfficiënten'!$A$7:$AB$1006,0,$AB54),1),$AB54+1),1))</f>
        <v/>
      </c>
      <c r="S54" s="14">
        <f>IF(OR($AB54="",N(I54)&lt;=0),"",ROUND(I54*INDEX('Coëfficiënten'!$A$7:$AB$1006,MATCH(I54,INDEX('Coëfficiënten'!$A$7:$AB$1006,0,$AB54),1),$AB54+1),1))</f>
        <v/>
      </c>
      <c r="T54" s="14">
        <f>IF(OR($AB54="",N(J54)&lt;=0),"",ROUND(J54*INDEX('Coëfficiënten'!$A$7:$AB$1006,MATCH(J54,INDEX('Coëfficiënten'!$A$7:$AB$1006,0,$AB54),1),$AB54+1),1))</f>
        <v/>
      </c>
      <c r="U54" s="14">
        <f>IF(OR($AB54="",N(K54)&lt;=0),"",ROUND(K54*INDEX('Coëfficiënten'!$A$7:$AB$1006,MATCH(K54,INDEX('Coëfficiënten'!$A$7:$AB$1006,0,$AB54),1),$AB54+1),1))</f>
        <v/>
      </c>
      <c r="V54" s="14">
        <f>IF(OR($AB54="",N(L54)&lt;=0),"",ROUND(L54*INDEX('Coëfficiënten'!$A$7:$AB$1006,MATCH(L54,INDEX('Coëfficiënten'!$A$7:$AB$1006,0,$AB54),1),$AB54+1),1))</f>
        <v/>
      </c>
      <c r="W54" s="14">
        <f>IF(OR($AB54="",N(M54)&lt;=0),"",ROUND(M54*INDEX('Coëfficiënten'!$A$7:$AB$1006,MATCH(M54,INDEX('Coëfficiënten'!$A$7:$AB$1006,0,$AB54),1),$AB54+1),1))</f>
        <v/>
      </c>
      <c r="X54" s="14">
        <f>IF(OR($AB54="",N(N54)&lt;=0),"",ROUND(N54*INDEX('Coëfficiënten'!$A$7:$AB$1006,MATCH(N54,INDEX('Coëfficiënten'!$A$7:$AB$1006,0,$AB54),1),$AB54+1),1))</f>
        <v/>
      </c>
      <c r="Y54" s="15">
        <f>IF(OR($B54="",COUNT($O54:$X54)=0),"",IFERROR(LARGE($O54:$X54,1),0)*($AB$5&gt;=1)+IFERROR(LARGE($O54:$X54,2),0)*($AB$5&gt;=2)+IFERROR(LARGE($O54:$X54,3),0)*($AB$5&gt;=3)+IFERROR(LARGE($O54:$X54,4),0)*($AB$5&gt;=4)+IFERROR(LARGE($O54:$X54,5),0)*($AB$5&gt;=5)+IFERROR(LARGE($O54:$X54,6),0)*($AB$5&gt;=6)+IFERROR(LARGE($O54:$X54,7),0)*($AB$5&gt;=7)+IFERROR(LARGE($O54:$X54,8),0)*($AB$5&gt;=8)+IFERROR(LARGE($O54:$X54,9),0)*($AB$5&gt;=9)+IFERROR(LARGE($O54:$X54,10),0)*($AB$5&gt;=10))</f>
        <v/>
      </c>
      <c r="Z54" s="14">
        <f>IF(N($Y54)=0,"",$Y54/MIN($AB$5,COUNT($O54:$X54)))</f>
        <v/>
      </c>
      <c r="AA54" s="7">
        <f>IF(N($Y54)=0,"",RANK($Y54,$Y$7:$Y$66))</f>
        <v/>
      </c>
      <c r="AB54" s="11">
        <f>IF(OR($C54="",$D54=""),"",IFERROR(MATCH($C54&amp;"|"&amp;VLOOKUP($D54,Uitleg!$B$23:$C$33,2,FALSE),'Coëfficiënten'!$A$5:$AB$5,0),""))</f>
        <v/>
      </c>
      <c r="AC54" s="11">
        <f>IF(N($Y54)=0,"",$Y54+(67-ROW())/1000000000)</f>
        <v/>
      </c>
    </row>
    <row r="55">
      <c r="A55" s="11">
        <f>ROW()-6</f>
        <v/>
      </c>
      <c r="B55" s="12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4">
        <f>IF(OR($AB55="",N(E55)&lt;=0),"",ROUND(E55*INDEX('Coëfficiënten'!$A$7:$AB$1006,MATCH(E55,INDEX('Coëfficiënten'!$A$7:$AB$1006,0,$AB55),1),$AB55+1),1))</f>
        <v/>
      </c>
      <c r="P55" s="14">
        <f>IF(OR($AB55="",N(F55)&lt;=0),"",ROUND(F55*INDEX('Coëfficiënten'!$A$7:$AB$1006,MATCH(F55,INDEX('Coëfficiënten'!$A$7:$AB$1006,0,$AB55),1),$AB55+1),1))</f>
        <v/>
      </c>
      <c r="Q55" s="14">
        <f>IF(OR($AB55="",N(G55)&lt;=0),"",ROUND(G55*INDEX('Coëfficiënten'!$A$7:$AB$1006,MATCH(G55,INDEX('Coëfficiënten'!$A$7:$AB$1006,0,$AB55),1),$AB55+1),1))</f>
        <v/>
      </c>
      <c r="R55" s="14">
        <f>IF(OR($AB55="",N(H55)&lt;=0),"",ROUND(H55*INDEX('Coëfficiënten'!$A$7:$AB$1006,MATCH(H55,INDEX('Coëfficiënten'!$A$7:$AB$1006,0,$AB55),1),$AB55+1),1))</f>
        <v/>
      </c>
      <c r="S55" s="14">
        <f>IF(OR($AB55="",N(I55)&lt;=0),"",ROUND(I55*INDEX('Coëfficiënten'!$A$7:$AB$1006,MATCH(I55,INDEX('Coëfficiënten'!$A$7:$AB$1006,0,$AB55),1),$AB55+1),1))</f>
        <v/>
      </c>
      <c r="T55" s="14">
        <f>IF(OR($AB55="",N(J55)&lt;=0),"",ROUND(J55*INDEX('Coëfficiënten'!$A$7:$AB$1006,MATCH(J55,INDEX('Coëfficiënten'!$A$7:$AB$1006,0,$AB55),1),$AB55+1),1))</f>
        <v/>
      </c>
      <c r="U55" s="14">
        <f>IF(OR($AB55="",N(K55)&lt;=0),"",ROUND(K55*INDEX('Coëfficiënten'!$A$7:$AB$1006,MATCH(K55,INDEX('Coëfficiënten'!$A$7:$AB$1006,0,$AB55),1),$AB55+1),1))</f>
        <v/>
      </c>
      <c r="V55" s="14">
        <f>IF(OR($AB55="",N(L55)&lt;=0),"",ROUND(L55*INDEX('Coëfficiënten'!$A$7:$AB$1006,MATCH(L55,INDEX('Coëfficiënten'!$A$7:$AB$1006,0,$AB55),1),$AB55+1),1))</f>
        <v/>
      </c>
      <c r="W55" s="14">
        <f>IF(OR($AB55="",N(M55)&lt;=0),"",ROUND(M55*INDEX('Coëfficiënten'!$A$7:$AB$1006,MATCH(M55,INDEX('Coëfficiënten'!$A$7:$AB$1006,0,$AB55),1),$AB55+1),1))</f>
        <v/>
      </c>
      <c r="X55" s="14">
        <f>IF(OR($AB55="",N(N55)&lt;=0),"",ROUND(N55*INDEX('Coëfficiënten'!$A$7:$AB$1006,MATCH(N55,INDEX('Coëfficiënten'!$A$7:$AB$1006,0,$AB55),1),$AB55+1),1))</f>
        <v/>
      </c>
      <c r="Y55" s="15">
        <f>IF(OR($B55="",COUNT($O55:$X55)=0),"",IFERROR(LARGE($O55:$X55,1),0)*($AB$5&gt;=1)+IFERROR(LARGE($O55:$X55,2),0)*($AB$5&gt;=2)+IFERROR(LARGE($O55:$X55,3),0)*($AB$5&gt;=3)+IFERROR(LARGE($O55:$X55,4),0)*($AB$5&gt;=4)+IFERROR(LARGE($O55:$X55,5),0)*($AB$5&gt;=5)+IFERROR(LARGE($O55:$X55,6),0)*($AB$5&gt;=6)+IFERROR(LARGE($O55:$X55,7),0)*($AB$5&gt;=7)+IFERROR(LARGE($O55:$X55,8),0)*($AB$5&gt;=8)+IFERROR(LARGE($O55:$X55,9),0)*($AB$5&gt;=9)+IFERROR(LARGE($O55:$X55,10),0)*($AB$5&gt;=10))</f>
        <v/>
      </c>
      <c r="Z55" s="14">
        <f>IF(N($Y55)=0,"",$Y55/MIN($AB$5,COUNT($O55:$X55)))</f>
        <v/>
      </c>
      <c r="AA55" s="7">
        <f>IF(N($Y55)=0,"",RANK($Y55,$Y$7:$Y$66))</f>
        <v/>
      </c>
      <c r="AB55" s="11">
        <f>IF(OR($C55="",$D55=""),"",IFERROR(MATCH($C55&amp;"|"&amp;VLOOKUP($D55,Uitleg!$B$23:$C$33,2,FALSE),'Coëfficiënten'!$A$5:$AB$5,0),""))</f>
        <v/>
      </c>
      <c r="AC55" s="11">
        <f>IF(N($Y55)=0,"",$Y55+(67-ROW())/1000000000)</f>
        <v/>
      </c>
    </row>
    <row r="56">
      <c r="A56" s="11">
        <f>ROW()-6</f>
        <v/>
      </c>
      <c r="B56" s="12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4">
        <f>IF(OR($AB56="",N(E56)&lt;=0),"",ROUND(E56*INDEX('Coëfficiënten'!$A$7:$AB$1006,MATCH(E56,INDEX('Coëfficiënten'!$A$7:$AB$1006,0,$AB56),1),$AB56+1),1))</f>
        <v/>
      </c>
      <c r="P56" s="14">
        <f>IF(OR($AB56="",N(F56)&lt;=0),"",ROUND(F56*INDEX('Coëfficiënten'!$A$7:$AB$1006,MATCH(F56,INDEX('Coëfficiënten'!$A$7:$AB$1006,0,$AB56),1),$AB56+1),1))</f>
        <v/>
      </c>
      <c r="Q56" s="14">
        <f>IF(OR($AB56="",N(G56)&lt;=0),"",ROUND(G56*INDEX('Coëfficiënten'!$A$7:$AB$1006,MATCH(G56,INDEX('Coëfficiënten'!$A$7:$AB$1006,0,$AB56),1),$AB56+1),1))</f>
        <v/>
      </c>
      <c r="R56" s="14">
        <f>IF(OR($AB56="",N(H56)&lt;=0),"",ROUND(H56*INDEX('Coëfficiënten'!$A$7:$AB$1006,MATCH(H56,INDEX('Coëfficiënten'!$A$7:$AB$1006,0,$AB56),1),$AB56+1),1))</f>
        <v/>
      </c>
      <c r="S56" s="14">
        <f>IF(OR($AB56="",N(I56)&lt;=0),"",ROUND(I56*INDEX('Coëfficiënten'!$A$7:$AB$1006,MATCH(I56,INDEX('Coëfficiënten'!$A$7:$AB$1006,0,$AB56),1),$AB56+1),1))</f>
        <v/>
      </c>
      <c r="T56" s="14">
        <f>IF(OR($AB56="",N(J56)&lt;=0),"",ROUND(J56*INDEX('Coëfficiënten'!$A$7:$AB$1006,MATCH(J56,INDEX('Coëfficiënten'!$A$7:$AB$1006,0,$AB56),1),$AB56+1),1))</f>
        <v/>
      </c>
      <c r="U56" s="14">
        <f>IF(OR($AB56="",N(K56)&lt;=0),"",ROUND(K56*INDEX('Coëfficiënten'!$A$7:$AB$1006,MATCH(K56,INDEX('Coëfficiënten'!$A$7:$AB$1006,0,$AB56),1),$AB56+1),1))</f>
        <v/>
      </c>
      <c r="V56" s="14">
        <f>IF(OR($AB56="",N(L56)&lt;=0),"",ROUND(L56*INDEX('Coëfficiënten'!$A$7:$AB$1006,MATCH(L56,INDEX('Coëfficiënten'!$A$7:$AB$1006,0,$AB56),1),$AB56+1),1))</f>
        <v/>
      </c>
      <c r="W56" s="14">
        <f>IF(OR($AB56="",N(M56)&lt;=0),"",ROUND(M56*INDEX('Coëfficiënten'!$A$7:$AB$1006,MATCH(M56,INDEX('Coëfficiënten'!$A$7:$AB$1006,0,$AB56),1),$AB56+1),1))</f>
        <v/>
      </c>
      <c r="X56" s="14">
        <f>IF(OR($AB56="",N(N56)&lt;=0),"",ROUND(N56*INDEX('Coëfficiënten'!$A$7:$AB$1006,MATCH(N56,INDEX('Coëfficiënten'!$A$7:$AB$1006,0,$AB56),1),$AB56+1),1))</f>
        <v/>
      </c>
      <c r="Y56" s="15">
        <f>IF(OR($B56="",COUNT($O56:$X56)=0),"",IFERROR(LARGE($O56:$X56,1),0)*($AB$5&gt;=1)+IFERROR(LARGE($O56:$X56,2),0)*($AB$5&gt;=2)+IFERROR(LARGE($O56:$X56,3),0)*($AB$5&gt;=3)+IFERROR(LARGE($O56:$X56,4),0)*($AB$5&gt;=4)+IFERROR(LARGE($O56:$X56,5),0)*($AB$5&gt;=5)+IFERROR(LARGE($O56:$X56,6),0)*($AB$5&gt;=6)+IFERROR(LARGE($O56:$X56,7),0)*($AB$5&gt;=7)+IFERROR(LARGE($O56:$X56,8),0)*($AB$5&gt;=8)+IFERROR(LARGE($O56:$X56,9),0)*($AB$5&gt;=9)+IFERROR(LARGE($O56:$X56,10),0)*($AB$5&gt;=10))</f>
        <v/>
      </c>
      <c r="Z56" s="14">
        <f>IF(N($Y56)=0,"",$Y56/MIN($AB$5,COUNT($O56:$X56)))</f>
        <v/>
      </c>
      <c r="AA56" s="7">
        <f>IF(N($Y56)=0,"",RANK($Y56,$Y$7:$Y$66))</f>
        <v/>
      </c>
      <c r="AB56" s="11">
        <f>IF(OR($C56="",$D56=""),"",IFERROR(MATCH($C56&amp;"|"&amp;VLOOKUP($D56,Uitleg!$B$23:$C$33,2,FALSE),'Coëfficiënten'!$A$5:$AB$5,0),""))</f>
        <v/>
      </c>
      <c r="AC56" s="11">
        <f>IF(N($Y56)=0,"",$Y56+(67-ROW())/1000000000)</f>
        <v/>
      </c>
    </row>
    <row r="57">
      <c r="A57" s="11">
        <f>ROW()-6</f>
        <v/>
      </c>
      <c r="B57" s="12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4">
        <f>IF(OR($AB57="",N(E57)&lt;=0),"",ROUND(E57*INDEX('Coëfficiënten'!$A$7:$AB$1006,MATCH(E57,INDEX('Coëfficiënten'!$A$7:$AB$1006,0,$AB57),1),$AB57+1),1))</f>
        <v/>
      </c>
      <c r="P57" s="14">
        <f>IF(OR($AB57="",N(F57)&lt;=0),"",ROUND(F57*INDEX('Coëfficiënten'!$A$7:$AB$1006,MATCH(F57,INDEX('Coëfficiënten'!$A$7:$AB$1006,0,$AB57),1),$AB57+1),1))</f>
        <v/>
      </c>
      <c r="Q57" s="14">
        <f>IF(OR($AB57="",N(G57)&lt;=0),"",ROUND(G57*INDEX('Coëfficiënten'!$A$7:$AB$1006,MATCH(G57,INDEX('Coëfficiënten'!$A$7:$AB$1006,0,$AB57),1),$AB57+1),1))</f>
        <v/>
      </c>
      <c r="R57" s="14">
        <f>IF(OR($AB57="",N(H57)&lt;=0),"",ROUND(H57*INDEX('Coëfficiënten'!$A$7:$AB$1006,MATCH(H57,INDEX('Coëfficiënten'!$A$7:$AB$1006,0,$AB57),1),$AB57+1),1))</f>
        <v/>
      </c>
      <c r="S57" s="14">
        <f>IF(OR($AB57="",N(I57)&lt;=0),"",ROUND(I57*INDEX('Coëfficiënten'!$A$7:$AB$1006,MATCH(I57,INDEX('Coëfficiënten'!$A$7:$AB$1006,0,$AB57),1),$AB57+1),1))</f>
        <v/>
      </c>
      <c r="T57" s="14">
        <f>IF(OR($AB57="",N(J57)&lt;=0),"",ROUND(J57*INDEX('Coëfficiënten'!$A$7:$AB$1006,MATCH(J57,INDEX('Coëfficiënten'!$A$7:$AB$1006,0,$AB57),1),$AB57+1),1))</f>
        <v/>
      </c>
      <c r="U57" s="14">
        <f>IF(OR($AB57="",N(K57)&lt;=0),"",ROUND(K57*INDEX('Coëfficiënten'!$A$7:$AB$1006,MATCH(K57,INDEX('Coëfficiënten'!$A$7:$AB$1006,0,$AB57),1),$AB57+1),1))</f>
        <v/>
      </c>
      <c r="V57" s="14">
        <f>IF(OR($AB57="",N(L57)&lt;=0),"",ROUND(L57*INDEX('Coëfficiënten'!$A$7:$AB$1006,MATCH(L57,INDEX('Coëfficiënten'!$A$7:$AB$1006,0,$AB57),1),$AB57+1),1))</f>
        <v/>
      </c>
      <c r="W57" s="14">
        <f>IF(OR($AB57="",N(M57)&lt;=0),"",ROUND(M57*INDEX('Coëfficiënten'!$A$7:$AB$1006,MATCH(M57,INDEX('Coëfficiënten'!$A$7:$AB$1006,0,$AB57),1),$AB57+1),1))</f>
        <v/>
      </c>
      <c r="X57" s="14">
        <f>IF(OR($AB57="",N(N57)&lt;=0),"",ROUND(N57*INDEX('Coëfficiënten'!$A$7:$AB$1006,MATCH(N57,INDEX('Coëfficiënten'!$A$7:$AB$1006,0,$AB57),1),$AB57+1),1))</f>
        <v/>
      </c>
      <c r="Y57" s="15">
        <f>IF(OR($B57="",COUNT($O57:$X57)=0),"",IFERROR(LARGE($O57:$X57,1),0)*($AB$5&gt;=1)+IFERROR(LARGE($O57:$X57,2),0)*($AB$5&gt;=2)+IFERROR(LARGE($O57:$X57,3),0)*($AB$5&gt;=3)+IFERROR(LARGE($O57:$X57,4),0)*($AB$5&gt;=4)+IFERROR(LARGE($O57:$X57,5),0)*($AB$5&gt;=5)+IFERROR(LARGE($O57:$X57,6),0)*($AB$5&gt;=6)+IFERROR(LARGE($O57:$X57,7),0)*($AB$5&gt;=7)+IFERROR(LARGE($O57:$X57,8),0)*($AB$5&gt;=8)+IFERROR(LARGE($O57:$X57,9),0)*($AB$5&gt;=9)+IFERROR(LARGE($O57:$X57,10),0)*($AB$5&gt;=10))</f>
        <v/>
      </c>
      <c r="Z57" s="14">
        <f>IF(N($Y57)=0,"",$Y57/MIN($AB$5,COUNT($O57:$X57)))</f>
        <v/>
      </c>
      <c r="AA57" s="7">
        <f>IF(N($Y57)=0,"",RANK($Y57,$Y$7:$Y$66))</f>
        <v/>
      </c>
      <c r="AB57" s="11">
        <f>IF(OR($C57="",$D57=""),"",IFERROR(MATCH($C57&amp;"|"&amp;VLOOKUP($D57,Uitleg!$B$23:$C$33,2,FALSE),'Coëfficiënten'!$A$5:$AB$5,0),""))</f>
        <v/>
      </c>
      <c r="AC57" s="11">
        <f>IF(N($Y57)=0,"",$Y57+(67-ROW())/1000000000)</f>
        <v/>
      </c>
    </row>
    <row r="58">
      <c r="A58" s="11">
        <f>ROW()-6</f>
        <v/>
      </c>
      <c r="B58" s="12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4">
        <f>IF(OR($AB58="",N(E58)&lt;=0),"",ROUND(E58*INDEX('Coëfficiënten'!$A$7:$AB$1006,MATCH(E58,INDEX('Coëfficiënten'!$A$7:$AB$1006,0,$AB58),1),$AB58+1),1))</f>
        <v/>
      </c>
      <c r="P58" s="14">
        <f>IF(OR($AB58="",N(F58)&lt;=0),"",ROUND(F58*INDEX('Coëfficiënten'!$A$7:$AB$1006,MATCH(F58,INDEX('Coëfficiënten'!$A$7:$AB$1006,0,$AB58),1),$AB58+1),1))</f>
        <v/>
      </c>
      <c r="Q58" s="14">
        <f>IF(OR($AB58="",N(G58)&lt;=0),"",ROUND(G58*INDEX('Coëfficiënten'!$A$7:$AB$1006,MATCH(G58,INDEX('Coëfficiënten'!$A$7:$AB$1006,0,$AB58),1),$AB58+1),1))</f>
        <v/>
      </c>
      <c r="R58" s="14">
        <f>IF(OR($AB58="",N(H58)&lt;=0),"",ROUND(H58*INDEX('Coëfficiënten'!$A$7:$AB$1006,MATCH(H58,INDEX('Coëfficiënten'!$A$7:$AB$1006,0,$AB58),1),$AB58+1),1))</f>
        <v/>
      </c>
      <c r="S58" s="14">
        <f>IF(OR($AB58="",N(I58)&lt;=0),"",ROUND(I58*INDEX('Coëfficiënten'!$A$7:$AB$1006,MATCH(I58,INDEX('Coëfficiënten'!$A$7:$AB$1006,0,$AB58),1),$AB58+1),1))</f>
        <v/>
      </c>
      <c r="T58" s="14">
        <f>IF(OR($AB58="",N(J58)&lt;=0),"",ROUND(J58*INDEX('Coëfficiënten'!$A$7:$AB$1006,MATCH(J58,INDEX('Coëfficiënten'!$A$7:$AB$1006,0,$AB58),1),$AB58+1),1))</f>
        <v/>
      </c>
      <c r="U58" s="14">
        <f>IF(OR($AB58="",N(K58)&lt;=0),"",ROUND(K58*INDEX('Coëfficiënten'!$A$7:$AB$1006,MATCH(K58,INDEX('Coëfficiënten'!$A$7:$AB$1006,0,$AB58),1),$AB58+1),1))</f>
        <v/>
      </c>
      <c r="V58" s="14">
        <f>IF(OR($AB58="",N(L58)&lt;=0),"",ROUND(L58*INDEX('Coëfficiënten'!$A$7:$AB$1006,MATCH(L58,INDEX('Coëfficiënten'!$A$7:$AB$1006,0,$AB58),1),$AB58+1),1))</f>
        <v/>
      </c>
      <c r="W58" s="14">
        <f>IF(OR($AB58="",N(M58)&lt;=0),"",ROUND(M58*INDEX('Coëfficiënten'!$A$7:$AB$1006,MATCH(M58,INDEX('Coëfficiënten'!$A$7:$AB$1006,0,$AB58),1),$AB58+1),1))</f>
        <v/>
      </c>
      <c r="X58" s="14">
        <f>IF(OR($AB58="",N(N58)&lt;=0),"",ROUND(N58*INDEX('Coëfficiënten'!$A$7:$AB$1006,MATCH(N58,INDEX('Coëfficiënten'!$A$7:$AB$1006,0,$AB58),1),$AB58+1),1))</f>
        <v/>
      </c>
      <c r="Y58" s="15">
        <f>IF(OR($B58="",COUNT($O58:$X58)=0),"",IFERROR(LARGE($O58:$X58,1),0)*($AB$5&gt;=1)+IFERROR(LARGE($O58:$X58,2),0)*($AB$5&gt;=2)+IFERROR(LARGE($O58:$X58,3),0)*($AB$5&gt;=3)+IFERROR(LARGE($O58:$X58,4),0)*($AB$5&gt;=4)+IFERROR(LARGE($O58:$X58,5),0)*($AB$5&gt;=5)+IFERROR(LARGE($O58:$X58,6),0)*($AB$5&gt;=6)+IFERROR(LARGE($O58:$X58,7),0)*($AB$5&gt;=7)+IFERROR(LARGE($O58:$X58,8),0)*($AB$5&gt;=8)+IFERROR(LARGE($O58:$X58,9),0)*($AB$5&gt;=9)+IFERROR(LARGE($O58:$X58,10),0)*($AB$5&gt;=10))</f>
        <v/>
      </c>
      <c r="Z58" s="14">
        <f>IF(N($Y58)=0,"",$Y58/MIN($AB$5,COUNT($O58:$X58)))</f>
        <v/>
      </c>
      <c r="AA58" s="7">
        <f>IF(N($Y58)=0,"",RANK($Y58,$Y$7:$Y$66))</f>
        <v/>
      </c>
      <c r="AB58" s="11">
        <f>IF(OR($C58="",$D58=""),"",IFERROR(MATCH($C58&amp;"|"&amp;VLOOKUP($D58,Uitleg!$B$23:$C$33,2,FALSE),'Coëfficiënten'!$A$5:$AB$5,0),""))</f>
        <v/>
      </c>
      <c r="AC58" s="11">
        <f>IF(N($Y58)=0,"",$Y58+(67-ROW())/1000000000)</f>
        <v/>
      </c>
    </row>
    <row r="59">
      <c r="A59" s="11">
        <f>ROW()-6</f>
        <v/>
      </c>
      <c r="B59" s="12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4">
        <f>IF(OR($AB59="",N(E59)&lt;=0),"",ROUND(E59*INDEX('Coëfficiënten'!$A$7:$AB$1006,MATCH(E59,INDEX('Coëfficiënten'!$A$7:$AB$1006,0,$AB59),1),$AB59+1),1))</f>
        <v/>
      </c>
      <c r="P59" s="14">
        <f>IF(OR($AB59="",N(F59)&lt;=0),"",ROUND(F59*INDEX('Coëfficiënten'!$A$7:$AB$1006,MATCH(F59,INDEX('Coëfficiënten'!$A$7:$AB$1006,0,$AB59),1),$AB59+1),1))</f>
        <v/>
      </c>
      <c r="Q59" s="14">
        <f>IF(OR($AB59="",N(G59)&lt;=0),"",ROUND(G59*INDEX('Coëfficiënten'!$A$7:$AB$1006,MATCH(G59,INDEX('Coëfficiënten'!$A$7:$AB$1006,0,$AB59),1),$AB59+1),1))</f>
        <v/>
      </c>
      <c r="R59" s="14">
        <f>IF(OR($AB59="",N(H59)&lt;=0),"",ROUND(H59*INDEX('Coëfficiënten'!$A$7:$AB$1006,MATCH(H59,INDEX('Coëfficiënten'!$A$7:$AB$1006,0,$AB59),1),$AB59+1),1))</f>
        <v/>
      </c>
      <c r="S59" s="14">
        <f>IF(OR($AB59="",N(I59)&lt;=0),"",ROUND(I59*INDEX('Coëfficiënten'!$A$7:$AB$1006,MATCH(I59,INDEX('Coëfficiënten'!$A$7:$AB$1006,0,$AB59),1),$AB59+1),1))</f>
        <v/>
      </c>
      <c r="T59" s="14">
        <f>IF(OR($AB59="",N(J59)&lt;=0),"",ROUND(J59*INDEX('Coëfficiënten'!$A$7:$AB$1006,MATCH(J59,INDEX('Coëfficiënten'!$A$7:$AB$1006,0,$AB59),1),$AB59+1),1))</f>
        <v/>
      </c>
      <c r="U59" s="14">
        <f>IF(OR($AB59="",N(K59)&lt;=0),"",ROUND(K59*INDEX('Coëfficiënten'!$A$7:$AB$1006,MATCH(K59,INDEX('Coëfficiënten'!$A$7:$AB$1006,0,$AB59),1),$AB59+1),1))</f>
        <v/>
      </c>
      <c r="V59" s="14">
        <f>IF(OR($AB59="",N(L59)&lt;=0),"",ROUND(L59*INDEX('Coëfficiënten'!$A$7:$AB$1006,MATCH(L59,INDEX('Coëfficiënten'!$A$7:$AB$1006,0,$AB59),1),$AB59+1),1))</f>
        <v/>
      </c>
      <c r="W59" s="14">
        <f>IF(OR($AB59="",N(M59)&lt;=0),"",ROUND(M59*INDEX('Coëfficiënten'!$A$7:$AB$1006,MATCH(M59,INDEX('Coëfficiënten'!$A$7:$AB$1006,0,$AB59),1),$AB59+1),1))</f>
        <v/>
      </c>
      <c r="X59" s="14">
        <f>IF(OR($AB59="",N(N59)&lt;=0),"",ROUND(N59*INDEX('Coëfficiënten'!$A$7:$AB$1006,MATCH(N59,INDEX('Coëfficiënten'!$A$7:$AB$1006,0,$AB59),1),$AB59+1),1))</f>
        <v/>
      </c>
      <c r="Y59" s="15">
        <f>IF(OR($B59="",COUNT($O59:$X59)=0),"",IFERROR(LARGE($O59:$X59,1),0)*($AB$5&gt;=1)+IFERROR(LARGE($O59:$X59,2),0)*($AB$5&gt;=2)+IFERROR(LARGE($O59:$X59,3),0)*($AB$5&gt;=3)+IFERROR(LARGE($O59:$X59,4),0)*($AB$5&gt;=4)+IFERROR(LARGE($O59:$X59,5),0)*($AB$5&gt;=5)+IFERROR(LARGE($O59:$X59,6),0)*($AB$5&gt;=6)+IFERROR(LARGE($O59:$X59,7),0)*($AB$5&gt;=7)+IFERROR(LARGE($O59:$X59,8),0)*($AB$5&gt;=8)+IFERROR(LARGE($O59:$X59,9),0)*($AB$5&gt;=9)+IFERROR(LARGE($O59:$X59,10),0)*($AB$5&gt;=10))</f>
        <v/>
      </c>
      <c r="Z59" s="14">
        <f>IF(N($Y59)=0,"",$Y59/MIN($AB$5,COUNT($O59:$X59)))</f>
        <v/>
      </c>
      <c r="AA59" s="7">
        <f>IF(N($Y59)=0,"",RANK($Y59,$Y$7:$Y$66))</f>
        <v/>
      </c>
      <c r="AB59" s="11">
        <f>IF(OR($C59="",$D59=""),"",IFERROR(MATCH($C59&amp;"|"&amp;VLOOKUP($D59,Uitleg!$B$23:$C$33,2,FALSE),'Coëfficiënten'!$A$5:$AB$5,0),""))</f>
        <v/>
      </c>
      <c r="AC59" s="11">
        <f>IF(N($Y59)=0,"",$Y59+(67-ROW())/1000000000)</f>
        <v/>
      </c>
    </row>
    <row r="60">
      <c r="A60" s="11">
        <f>ROW()-6</f>
        <v/>
      </c>
      <c r="B60" s="12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4">
        <f>IF(OR($AB60="",N(E60)&lt;=0),"",ROUND(E60*INDEX('Coëfficiënten'!$A$7:$AB$1006,MATCH(E60,INDEX('Coëfficiënten'!$A$7:$AB$1006,0,$AB60),1),$AB60+1),1))</f>
        <v/>
      </c>
      <c r="P60" s="14">
        <f>IF(OR($AB60="",N(F60)&lt;=0),"",ROUND(F60*INDEX('Coëfficiënten'!$A$7:$AB$1006,MATCH(F60,INDEX('Coëfficiënten'!$A$7:$AB$1006,0,$AB60),1),$AB60+1),1))</f>
        <v/>
      </c>
      <c r="Q60" s="14">
        <f>IF(OR($AB60="",N(G60)&lt;=0),"",ROUND(G60*INDEX('Coëfficiënten'!$A$7:$AB$1006,MATCH(G60,INDEX('Coëfficiënten'!$A$7:$AB$1006,0,$AB60),1),$AB60+1),1))</f>
        <v/>
      </c>
      <c r="R60" s="14">
        <f>IF(OR($AB60="",N(H60)&lt;=0),"",ROUND(H60*INDEX('Coëfficiënten'!$A$7:$AB$1006,MATCH(H60,INDEX('Coëfficiënten'!$A$7:$AB$1006,0,$AB60),1),$AB60+1),1))</f>
        <v/>
      </c>
      <c r="S60" s="14">
        <f>IF(OR($AB60="",N(I60)&lt;=0),"",ROUND(I60*INDEX('Coëfficiënten'!$A$7:$AB$1006,MATCH(I60,INDEX('Coëfficiënten'!$A$7:$AB$1006,0,$AB60),1),$AB60+1),1))</f>
        <v/>
      </c>
      <c r="T60" s="14">
        <f>IF(OR($AB60="",N(J60)&lt;=0),"",ROUND(J60*INDEX('Coëfficiënten'!$A$7:$AB$1006,MATCH(J60,INDEX('Coëfficiënten'!$A$7:$AB$1006,0,$AB60),1),$AB60+1),1))</f>
        <v/>
      </c>
      <c r="U60" s="14">
        <f>IF(OR($AB60="",N(K60)&lt;=0),"",ROUND(K60*INDEX('Coëfficiënten'!$A$7:$AB$1006,MATCH(K60,INDEX('Coëfficiënten'!$A$7:$AB$1006,0,$AB60),1),$AB60+1),1))</f>
        <v/>
      </c>
      <c r="V60" s="14">
        <f>IF(OR($AB60="",N(L60)&lt;=0),"",ROUND(L60*INDEX('Coëfficiënten'!$A$7:$AB$1006,MATCH(L60,INDEX('Coëfficiënten'!$A$7:$AB$1006,0,$AB60),1),$AB60+1),1))</f>
        <v/>
      </c>
      <c r="W60" s="14">
        <f>IF(OR($AB60="",N(M60)&lt;=0),"",ROUND(M60*INDEX('Coëfficiënten'!$A$7:$AB$1006,MATCH(M60,INDEX('Coëfficiënten'!$A$7:$AB$1006,0,$AB60),1),$AB60+1),1))</f>
        <v/>
      </c>
      <c r="X60" s="14">
        <f>IF(OR($AB60="",N(N60)&lt;=0),"",ROUND(N60*INDEX('Coëfficiënten'!$A$7:$AB$1006,MATCH(N60,INDEX('Coëfficiënten'!$A$7:$AB$1006,0,$AB60),1),$AB60+1),1))</f>
        <v/>
      </c>
      <c r="Y60" s="15">
        <f>IF(OR($B60="",COUNT($O60:$X60)=0),"",IFERROR(LARGE($O60:$X60,1),0)*($AB$5&gt;=1)+IFERROR(LARGE($O60:$X60,2),0)*($AB$5&gt;=2)+IFERROR(LARGE($O60:$X60,3),0)*($AB$5&gt;=3)+IFERROR(LARGE($O60:$X60,4),0)*($AB$5&gt;=4)+IFERROR(LARGE($O60:$X60,5),0)*($AB$5&gt;=5)+IFERROR(LARGE($O60:$X60,6),0)*($AB$5&gt;=6)+IFERROR(LARGE($O60:$X60,7),0)*($AB$5&gt;=7)+IFERROR(LARGE($O60:$X60,8),0)*($AB$5&gt;=8)+IFERROR(LARGE($O60:$X60,9),0)*($AB$5&gt;=9)+IFERROR(LARGE($O60:$X60,10),0)*($AB$5&gt;=10))</f>
        <v/>
      </c>
      <c r="Z60" s="14">
        <f>IF(N($Y60)=0,"",$Y60/MIN($AB$5,COUNT($O60:$X60)))</f>
        <v/>
      </c>
      <c r="AA60" s="7">
        <f>IF(N($Y60)=0,"",RANK($Y60,$Y$7:$Y$66))</f>
        <v/>
      </c>
      <c r="AB60" s="11">
        <f>IF(OR($C60="",$D60=""),"",IFERROR(MATCH($C60&amp;"|"&amp;VLOOKUP($D60,Uitleg!$B$23:$C$33,2,FALSE),'Coëfficiënten'!$A$5:$AB$5,0),""))</f>
        <v/>
      </c>
      <c r="AC60" s="11">
        <f>IF(N($Y60)=0,"",$Y60+(67-ROW())/1000000000)</f>
        <v/>
      </c>
    </row>
    <row r="61">
      <c r="A61" s="11">
        <f>ROW()-6</f>
        <v/>
      </c>
      <c r="B61" s="12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4">
        <f>IF(OR($AB61="",N(E61)&lt;=0),"",ROUND(E61*INDEX('Coëfficiënten'!$A$7:$AB$1006,MATCH(E61,INDEX('Coëfficiënten'!$A$7:$AB$1006,0,$AB61),1),$AB61+1),1))</f>
        <v/>
      </c>
      <c r="P61" s="14">
        <f>IF(OR($AB61="",N(F61)&lt;=0),"",ROUND(F61*INDEX('Coëfficiënten'!$A$7:$AB$1006,MATCH(F61,INDEX('Coëfficiënten'!$A$7:$AB$1006,0,$AB61),1),$AB61+1),1))</f>
        <v/>
      </c>
      <c r="Q61" s="14">
        <f>IF(OR($AB61="",N(G61)&lt;=0),"",ROUND(G61*INDEX('Coëfficiënten'!$A$7:$AB$1006,MATCH(G61,INDEX('Coëfficiënten'!$A$7:$AB$1006,0,$AB61),1),$AB61+1),1))</f>
        <v/>
      </c>
      <c r="R61" s="14">
        <f>IF(OR($AB61="",N(H61)&lt;=0),"",ROUND(H61*INDEX('Coëfficiënten'!$A$7:$AB$1006,MATCH(H61,INDEX('Coëfficiënten'!$A$7:$AB$1006,0,$AB61),1),$AB61+1),1))</f>
        <v/>
      </c>
      <c r="S61" s="14">
        <f>IF(OR($AB61="",N(I61)&lt;=0),"",ROUND(I61*INDEX('Coëfficiënten'!$A$7:$AB$1006,MATCH(I61,INDEX('Coëfficiënten'!$A$7:$AB$1006,0,$AB61),1),$AB61+1),1))</f>
        <v/>
      </c>
      <c r="T61" s="14">
        <f>IF(OR($AB61="",N(J61)&lt;=0),"",ROUND(J61*INDEX('Coëfficiënten'!$A$7:$AB$1006,MATCH(J61,INDEX('Coëfficiënten'!$A$7:$AB$1006,0,$AB61),1),$AB61+1),1))</f>
        <v/>
      </c>
      <c r="U61" s="14">
        <f>IF(OR($AB61="",N(K61)&lt;=0),"",ROUND(K61*INDEX('Coëfficiënten'!$A$7:$AB$1006,MATCH(K61,INDEX('Coëfficiënten'!$A$7:$AB$1006,0,$AB61),1),$AB61+1),1))</f>
        <v/>
      </c>
      <c r="V61" s="14">
        <f>IF(OR($AB61="",N(L61)&lt;=0),"",ROUND(L61*INDEX('Coëfficiënten'!$A$7:$AB$1006,MATCH(L61,INDEX('Coëfficiënten'!$A$7:$AB$1006,0,$AB61),1),$AB61+1),1))</f>
        <v/>
      </c>
      <c r="W61" s="14">
        <f>IF(OR($AB61="",N(M61)&lt;=0),"",ROUND(M61*INDEX('Coëfficiënten'!$A$7:$AB$1006,MATCH(M61,INDEX('Coëfficiënten'!$A$7:$AB$1006,0,$AB61),1),$AB61+1),1))</f>
        <v/>
      </c>
      <c r="X61" s="14">
        <f>IF(OR($AB61="",N(N61)&lt;=0),"",ROUND(N61*INDEX('Coëfficiënten'!$A$7:$AB$1006,MATCH(N61,INDEX('Coëfficiënten'!$A$7:$AB$1006,0,$AB61),1),$AB61+1),1))</f>
        <v/>
      </c>
      <c r="Y61" s="15">
        <f>IF(OR($B61="",COUNT($O61:$X61)=0),"",IFERROR(LARGE($O61:$X61,1),0)*($AB$5&gt;=1)+IFERROR(LARGE($O61:$X61,2),0)*($AB$5&gt;=2)+IFERROR(LARGE($O61:$X61,3),0)*($AB$5&gt;=3)+IFERROR(LARGE($O61:$X61,4),0)*($AB$5&gt;=4)+IFERROR(LARGE($O61:$X61,5),0)*($AB$5&gt;=5)+IFERROR(LARGE($O61:$X61,6),0)*($AB$5&gt;=6)+IFERROR(LARGE($O61:$X61,7),0)*($AB$5&gt;=7)+IFERROR(LARGE($O61:$X61,8),0)*($AB$5&gt;=8)+IFERROR(LARGE($O61:$X61,9),0)*($AB$5&gt;=9)+IFERROR(LARGE($O61:$X61,10),0)*($AB$5&gt;=10))</f>
        <v/>
      </c>
      <c r="Z61" s="14">
        <f>IF(N($Y61)=0,"",$Y61/MIN($AB$5,COUNT($O61:$X61)))</f>
        <v/>
      </c>
      <c r="AA61" s="7">
        <f>IF(N($Y61)=0,"",RANK($Y61,$Y$7:$Y$66))</f>
        <v/>
      </c>
      <c r="AB61" s="11">
        <f>IF(OR($C61="",$D61=""),"",IFERROR(MATCH($C61&amp;"|"&amp;VLOOKUP($D61,Uitleg!$B$23:$C$33,2,FALSE),'Coëfficiënten'!$A$5:$AB$5,0),""))</f>
        <v/>
      </c>
      <c r="AC61" s="11">
        <f>IF(N($Y61)=0,"",$Y61+(67-ROW())/1000000000)</f>
        <v/>
      </c>
    </row>
    <row r="62">
      <c r="A62" s="11">
        <f>ROW()-6</f>
        <v/>
      </c>
      <c r="B62" s="12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4">
        <f>IF(OR($AB62="",N(E62)&lt;=0),"",ROUND(E62*INDEX('Coëfficiënten'!$A$7:$AB$1006,MATCH(E62,INDEX('Coëfficiënten'!$A$7:$AB$1006,0,$AB62),1),$AB62+1),1))</f>
        <v/>
      </c>
      <c r="P62" s="14">
        <f>IF(OR($AB62="",N(F62)&lt;=0),"",ROUND(F62*INDEX('Coëfficiënten'!$A$7:$AB$1006,MATCH(F62,INDEX('Coëfficiënten'!$A$7:$AB$1006,0,$AB62),1),$AB62+1),1))</f>
        <v/>
      </c>
      <c r="Q62" s="14">
        <f>IF(OR($AB62="",N(G62)&lt;=0),"",ROUND(G62*INDEX('Coëfficiënten'!$A$7:$AB$1006,MATCH(G62,INDEX('Coëfficiënten'!$A$7:$AB$1006,0,$AB62),1),$AB62+1),1))</f>
        <v/>
      </c>
      <c r="R62" s="14">
        <f>IF(OR($AB62="",N(H62)&lt;=0),"",ROUND(H62*INDEX('Coëfficiënten'!$A$7:$AB$1006,MATCH(H62,INDEX('Coëfficiënten'!$A$7:$AB$1006,0,$AB62),1),$AB62+1),1))</f>
        <v/>
      </c>
      <c r="S62" s="14">
        <f>IF(OR($AB62="",N(I62)&lt;=0),"",ROUND(I62*INDEX('Coëfficiënten'!$A$7:$AB$1006,MATCH(I62,INDEX('Coëfficiënten'!$A$7:$AB$1006,0,$AB62),1),$AB62+1),1))</f>
        <v/>
      </c>
      <c r="T62" s="14">
        <f>IF(OR($AB62="",N(J62)&lt;=0),"",ROUND(J62*INDEX('Coëfficiënten'!$A$7:$AB$1006,MATCH(J62,INDEX('Coëfficiënten'!$A$7:$AB$1006,0,$AB62),1),$AB62+1),1))</f>
        <v/>
      </c>
      <c r="U62" s="14">
        <f>IF(OR($AB62="",N(K62)&lt;=0),"",ROUND(K62*INDEX('Coëfficiënten'!$A$7:$AB$1006,MATCH(K62,INDEX('Coëfficiënten'!$A$7:$AB$1006,0,$AB62),1),$AB62+1),1))</f>
        <v/>
      </c>
      <c r="V62" s="14">
        <f>IF(OR($AB62="",N(L62)&lt;=0),"",ROUND(L62*INDEX('Coëfficiënten'!$A$7:$AB$1006,MATCH(L62,INDEX('Coëfficiënten'!$A$7:$AB$1006,0,$AB62),1),$AB62+1),1))</f>
        <v/>
      </c>
      <c r="W62" s="14">
        <f>IF(OR($AB62="",N(M62)&lt;=0),"",ROUND(M62*INDEX('Coëfficiënten'!$A$7:$AB$1006,MATCH(M62,INDEX('Coëfficiënten'!$A$7:$AB$1006,0,$AB62),1),$AB62+1),1))</f>
        <v/>
      </c>
      <c r="X62" s="14">
        <f>IF(OR($AB62="",N(N62)&lt;=0),"",ROUND(N62*INDEX('Coëfficiënten'!$A$7:$AB$1006,MATCH(N62,INDEX('Coëfficiënten'!$A$7:$AB$1006,0,$AB62),1),$AB62+1),1))</f>
        <v/>
      </c>
      <c r="Y62" s="15">
        <f>IF(OR($B62="",COUNT($O62:$X62)=0),"",IFERROR(LARGE($O62:$X62,1),0)*($AB$5&gt;=1)+IFERROR(LARGE($O62:$X62,2),0)*($AB$5&gt;=2)+IFERROR(LARGE($O62:$X62,3),0)*($AB$5&gt;=3)+IFERROR(LARGE($O62:$X62,4),0)*($AB$5&gt;=4)+IFERROR(LARGE($O62:$X62,5),0)*($AB$5&gt;=5)+IFERROR(LARGE($O62:$X62,6),0)*($AB$5&gt;=6)+IFERROR(LARGE($O62:$X62,7),0)*($AB$5&gt;=7)+IFERROR(LARGE($O62:$X62,8),0)*($AB$5&gt;=8)+IFERROR(LARGE($O62:$X62,9),0)*($AB$5&gt;=9)+IFERROR(LARGE($O62:$X62,10),0)*($AB$5&gt;=10))</f>
        <v/>
      </c>
      <c r="Z62" s="14">
        <f>IF(N($Y62)=0,"",$Y62/MIN($AB$5,COUNT($O62:$X62)))</f>
        <v/>
      </c>
      <c r="AA62" s="7">
        <f>IF(N($Y62)=0,"",RANK($Y62,$Y$7:$Y$66))</f>
        <v/>
      </c>
      <c r="AB62" s="11">
        <f>IF(OR($C62="",$D62=""),"",IFERROR(MATCH($C62&amp;"|"&amp;VLOOKUP($D62,Uitleg!$B$23:$C$33,2,FALSE),'Coëfficiënten'!$A$5:$AB$5,0),""))</f>
        <v/>
      </c>
      <c r="AC62" s="11">
        <f>IF(N($Y62)=0,"",$Y62+(67-ROW())/1000000000)</f>
        <v/>
      </c>
    </row>
    <row r="63">
      <c r="A63" s="11">
        <f>ROW()-6</f>
        <v/>
      </c>
      <c r="B63" s="12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4">
        <f>IF(OR($AB63="",N(E63)&lt;=0),"",ROUND(E63*INDEX('Coëfficiënten'!$A$7:$AB$1006,MATCH(E63,INDEX('Coëfficiënten'!$A$7:$AB$1006,0,$AB63),1),$AB63+1),1))</f>
        <v/>
      </c>
      <c r="P63" s="14">
        <f>IF(OR($AB63="",N(F63)&lt;=0),"",ROUND(F63*INDEX('Coëfficiënten'!$A$7:$AB$1006,MATCH(F63,INDEX('Coëfficiënten'!$A$7:$AB$1006,0,$AB63),1),$AB63+1),1))</f>
        <v/>
      </c>
      <c r="Q63" s="14">
        <f>IF(OR($AB63="",N(G63)&lt;=0),"",ROUND(G63*INDEX('Coëfficiënten'!$A$7:$AB$1006,MATCH(G63,INDEX('Coëfficiënten'!$A$7:$AB$1006,0,$AB63),1),$AB63+1),1))</f>
        <v/>
      </c>
      <c r="R63" s="14">
        <f>IF(OR($AB63="",N(H63)&lt;=0),"",ROUND(H63*INDEX('Coëfficiënten'!$A$7:$AB$1006,MATCH(H63,INDEX('Coëfficiënten'!$A$7:$AB$1006,0,$AB63),1),$AB63+1),1))</f>
        <v/>
      </c>
      <c r="S63" s="14">
        <f>IF(OR($AB63="",N(I63)&lt;=0),"",ROUND(I63*INDEX('Coëfficiënten'!$A$7:$AB$1006,MATCH(I63,INDEX('Coëfficiënten'!$A$7:$AB$1006,0,$AB63),1),$AB63+1),1))</f>
        <v/>
      </c>
      <c r="T63" s="14">
        <f>IF(OR($AB63="",N(J63)&lt;=0),"",ROUND(J63*INDEX('Coëfficiënten'!$A$7:$AB$1006,MATCH(J63,INDEX('Coëfficiënten'!$A$7:$AB$1006,0,$AB63),1),$AB63+1),1))</f>
        <v/>
      </c>
      <c r="U63" s="14">
        <f>IF(OR($AB63="",N(K63)&lt;=0),"",ROUND(K63*INDEX('Coëfficiënten'!$A$7:$AB$1006,MATCH(K63,INDEX('Coëfficiënten'!$A$7:$AB$1006,0,$AB63),1),$AB63+1),1))</f>
        <v/>
      </c>
      <c r="V63" s="14">
        <f>IF(OR($AB63="",N(L63)&lt;=0),"",ROUND(L63*INDEX('Coëfficiënten'!$A$7:$AB$1006,MATCH(L63,INDEX('Coëfficiënten'!$A$7:$AB$1006,0,$AB63),1),$AB63+1),1))</f>
        <v/>
      </c>
      <c r="W63" s="14">
        <f>IF(OR($AB63="",N(M63)&lt;=0),"",ROUND(M63*INDEX('Coëfficiënten'!$A$7:$AB$1006,MATCH(M63,INDEX('Coëfficiënten'!$A$7:$AB$1006,0,$AB63),1),$AB63+1),1))</f>
        <v/>
      </c>
      <c r="X63" s="14">
        <f>IF(OR($AB63="",N(N63)&lt;=0),"",ROUND(N63*INDEX('Coëfficiënten'!$A$7:$AB$1006,MATCH(N63,INDEX('Coëfficiënten'!$A$7:$AB$1006,0,$AB63),1),$AB63+1),1))</f>
        <v/>
      </c>
      <c r="Y63" s="15">
        <f>IF(OR($B63="",COUNT($O63:$X63)=0),"",IFERROR(LARGE($O63:$X63,1),0)*($AB$5&gt;=1)+IFERROR(LARGE($O63:$X63,2),0)*($AB$5&gt;=2)+IFERROR(LARGE($O63:$X63,3),0)*($AB$5&gt;=3)+IFERROR(LARGE($O63:$X63,4),0)*($AB$5&gt;=4)+IFERROR(LARGE($O63:$X63,5),0)*($AB$5&gt;=5)+IFERROR(LARGE($O63:$X63,6),0)*($AB$5&gt;=6)+IFERROR(LARGE($O63:$X63,7),0)*($AB$5&gt;=7)+IFERROR(LARGE($O63:$X63,8),0)*($AB$5&gt;=8)+IFERROR(LARGE($O63:$X63,9),0)*($AB$5&gt;=9)+IFERROR(LARGE($O63:$X63,10),0)*($AB$5&gt;=10))</f>
        <v/>
      </c>
      <c r="Z63" s="14">
        <f>IF(N($Y63)=0,"",$Y63/MIN($AB$5,COUNT($O63:$X63)))</f>
        <v/>
      </c>
      <c r="AA63" s="7">
        <f>IF(N($Y63)=0,"",RANK($Y63,$Y$7:$Y$66))</f>
        <v/>
      </c>
      <c r="AB63" s="11">
        <f>IF(OR($C63="",$D63=""),"",IFERROR(MATCH($C63&amp;"|"&amp;VLOOKUP($D63,Uitleg!$B$23:$C$33,2,FALSE),'Coëfficiënten'!$A$5:$AB$5,0),""))</f>
        <v/>
      </c>
      <c r="AC63" s="11">
        <f>IF(N($Y63)=0,"",$Y63+(67-ROW())/1000000000)</f>
        <v/>
      </c>
    </row>
    <row r="64">
      <c r="A64" s="11">
        <f>ROW()-6</f>
        <v/>
      </c>
      <c r="B64" s="12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4">
        <f>IF(OR($AB64="",N(E64)&lt;=0),"",ROUND(E64*INDEX('Coëfficiënten'!$A$7:$AB$1006,MATCH(E64,INDEX('Coëfficiënten'!$A$7:$AB$1006,0,$AB64),1),$AB64+1),1))</f>
        <v/>
      </c>
      <c r="P64" s="14">
        <f>IF(OR($AB64="",N(F64)&lt;=0),"",ROUND(F64*INDEX('Coëfficiënten'!$A$7:$AB$1006,MATCH(F64,INDEX('Coëfficiënten'!$A$7:$AB$1006,0,$AB64),1),$AB64+1),1))</f>
        <v/>
      </c>
      <c r="Q64" s="14">
        <f>IF(OR($AB64="",N(G64)&lt;=0),"",ROUND(G64*INDEX('Coëfficiënten'!$A$7:$AB$1006,MATCH(G64,INDEX('Coëfficiënten'!$A$7:$AB$1006,0,$AB64),1),$AB64+1),1))</f>
        <v/>
      </c>
      <c r="R64" s="14">
        <f>IF(OR($AB64="",N(H64)&lt;=0),"",ROUND(H64*INDEX('Coëfficiënten'!$A$7:$AB$1006,MATCH(H64,INDEX('Coëfficiënten'!$A$7:$AB$1006,0,$AB64),1),$AB64+1),1))</f>
        <v/>
      </c>
      <c r="S64" s="14">
        <f>IF(OR($AB64="",N(I64)&lt;=0),"",ROUND(I64*INDEX('Coëfficiënten'!$A$7:$AB$1006,MATCH(I64,INDEX('Coëfficiënten'!$A$7:$AB$1006,0,$AB64),1),$AB64+1),1))</f>
        <v/>
      </c>
      <c r="T64" s="14">
        <f>IF(OR($AB64="",N(J64)&lt;=0),"",ROUND(J64*INDEX('Coëfficiënten'!$A$7:$AB$1006,MATCH(J64,INDEX('Coëfficiënten'!$A$7:$AB$1006,0,$AB64),1),$AB64+1),1))</f>
        <v/>
      </c>
      <c r="U64" s="14">
        <f>IF(OR($AB64="",N(K64)&lt;=0),"",ROUND(K64*INDEX('Coëfficiënten'!$A$7:$AB$1006,MATCH(K64,INDEX('Coëfficiënten'!$A$7:$AB$1006,0,$AB64),1),$AB64+1),1))</f>
        <v/>
      </c>
      <c r="V64" s="14">
        <f>IF(OR($AB64="",N(L64)&lt;=0),"",ROUND(L64*INDEX('Coëfficiënten'!$A$7:$AB$1006,MATCH(L64,INDEX('Coëfficiënten'!$A$7:$AB$1006,0,$AB64),1),$AB64+1),1))</f>
        <v/>
      </c>
      <c r="W64" s="14">
        <f>IF(OR($AB64="",N(M64)&lt;=0),"",ROUND(M64*INDEX('Coëfficiënten'!$A$7:$AB$1006,MATCH(M64,INDEX('Coëfficiënten'!$A$7:$AB$1006,0,$AB64),1),$AB64+1),1))</f>
        <v/>
      </c>
      <c r="X64" s="14">
        <f>IF(OR($AB64="",N(N64)&lt;=0),"",ROUND(N64*INDEX('Coëfficiënten'!$A$7:$AB$1006,MATCH(N64,INDEX('Coëfficiënten'!$A$7:$AB$1006,0,$AB64),1),$AB64+1),1))</f>
        <v/>
      </c>
      <c r="Y64" s="15">
        <f>IF(OR($B64="",COUNT($O64:$X64)=0),"",IFERROR(LARGE($O64:$X64,1),0)*($AB$5&gt;=1)+IFERROR(LARGE($O64:$X64,2),0)*($AB$5&gt;=2)+IFERROR(LARGE($O64:$X64,3),0)*($AB$5&gt;=3)+IFERROR(LARGE($O64:$X64,4),0)*($AB$5&gt;=4)+IFERROR(LARGE($O64:$X64,5),0)*($AB$5&gt;=5)+IFERROR(LARGE($O64:$X64,6),0)*($AB$5&gt;=6)+IFERROR(LARGE($O64:$X64,7),0)*($AB$5&gt;=7)+IFERROR(LARGE($O64:$X64,8),0)*($AB$5&gt;=8)+IFERROR(LARGE($O64:$X64,9),0)*($AB$5&gt;=9)+IFERROR(LARGE($O64:$X64,10),0)*($AB$5&gt;=10))</f>
        <v/>
      </c>
      <c r="Z64" s="14">
        <f>IF(N($Y64)=0,"",$Y64/MIN($AB$5,COUNT($O64:$X64)))</f>
        <v/>
      </c>
      <c r="AA64" s="7">
        <f>IF(N($Y64)=0,"",RANK($Y64,$Y$7:$Y$66))</f>
        <v/>
      </c>
      <c r="AB64" s="11">
        <f>IF(OR($C64="",$D64=""),"",IFERROR(MATCH($C64&amp;"|"&amp;VLOOKUP($D64,Uitleg!$B$23:$C$33,2,FALSE),'Coëfficiënten'!$A$5:$AB$5,0),""))</f>
        <v/>
      </c>
      <c r="AC64" s="11">
        <f>IF(N($Y64)=0,"",$Y64+(67-ROW())/1000000000)</f>
        <v/>
      </c>
    </row>
    <row r="65">
      <c r="A65" s="11">
        <f>ROW()-6</f>
        <v/>
      </c>
      <c r="B65" s="12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4">
        <f>IF(OR($AB65="",N(E65)&lt;=0),"",ROUND(E65*INDEX('Coëfficiënten'!$A$7:$AB$1006,MATCH(E65,INDEX('Coëfficiënten'!$A$7:$AB$1006,0,$AB65),1),$AB65+1),1))</f>
        <v/>
      </c>
      <c r="P65" s="14">
        <f>IF(OR($AB65="",N(F65)&lt;=0),"",ROUND(F65*INDEX('Coëfficiënten'!$A$7:$AB$1006,MATCH(F65,INDEX('Coëfficiënten'!$A$7:$AB$1006,0,$AB65),1),$AB65+1),1))</f>
        <v/>
      </c>
      <c r="Q65" s="14">
        <f>IF(OR($AB65="",N(G65)&lt;=0),"",ROUND(G65*INDEX('Coëfficiënten'!$A$7:$AB$1006,MATCH(G65,INDEX('Coëfficiënten'!$A$7:$AB$1006,0,$AB65),1),$AB65+1),1))</f>
        <v/>
      </c>
      <c r="R65" s="14">
        <f>IF(OR($AB65="",N(H65)&lt;=0),"",ROUND(H65*INDEX('Coëfficiënten'!$A$7:$AB$1006,MATCH(H65,INDEX('Coëfficiënten'!$A$7:$AB$1006,0,$AB65),1),$AB65+1),1))</f>
        <v/>
      </c>
      <c r="S65" s="14">
        <f>IF(OR($AB65="",N(I65)&lt;=0),"",ROUND(I65*INDEX('Coëfficiënten'!$A$7:$AB$1006,MATCH(I65,INDEX('Coëfficiënten'!$A$7:$AB$1006,0,$AB65),1),$AB65+1),1))</f>
        <v/>
      </c>
      <c r="T65" s="14">
        <f>IF(OR($AB65="",N(J65)&lt;=0),"",ROUND(J65*INDEX('Coëfficiënten'!$A$7:$AB$1006,MATCH(J65,INDEX('Coëfficiënten'!$A$7:$AB$1006,0,$AB65),1),$AB65+1),1))</f>
        <v/>
      </c>
      <c r="U65" s="14">
        <f>IF(OR($AB65="",N(K65)&lt;=0),"",ROUND(K65*INDEX('Coëfficiënten'!$A$7:$AB$1006,MATCH(K65,INDEX('Coëfficiënten'!$A$7:$AB$1006,0,$AB65),1),$AB65+1),1))</f>
        <v/>
      </c>
      <c r="V65" s="14">
        <f>IF(OR($AB65="",N(L65)&lt;=0),"",ROUND(L65*INDEX('Coëfficiënten'!$A$7:$AB$1006,MATCH(L65,INDEX('Coëfficiënten'!$A$7:$AB$1006,0,$AB65),1),$AB65+1),1))</f>
        <v/>
      </c>
      <c r="W65" s="14">
        <f>IF(OR($AB65="",N(M65)&lt;=0),"",ROUND(M65*INDEX('Coëfficiënten'!$A$7:$AB$1006,MATCH(M65,INDEX('Coëfficiënten'!$A$7:$AB$1006,0,$AB65),1),$AB65+1),1))</f>
        <v/>
      </c>
      <c r="X65" s="14">
        <f>IF(OR($AB65="",N(N65)&lt;=0),"",ROUND(N65*INDEX('Coëfficiënten'!$A$7:$AB$1006,MATCH(N65,INDEX('Coëfficiënten'!$A$7:$AB$1006,0,$AB65),1),$AB65+1),1))</f>
        <v/>
      </c>
      <c r="Y65" s="15">
        <f>IF(OR($B65="",COUNT($O65:$X65)=0),"",IFERROR(LARGE($O65:$X65,1),0)*($AB$5&gt;=1)+IFERROR(LARGE($O65:$X65,2),0)*($AB$5&gt;=2)+IFERROR(LARGE($O65:$X65,3),0)*($AB$5&gt;=3)+IFERROR(LARGE($O65:$X65,4),0)*($AB$5&gt;=4)+IFERROR(LARGE($O65:$X65,5),0)*($AB$5&gt;=5)+IFERROR(LARGE($O65:$X65,6),0)*($AB$5&gt;=6)+IFERROR(LARGE($O65:$X65,7),0)*($AB$5&gt;=7)+IFERROR(LARGE($O65:$X65,8),0)*($AB$5&gt;=8)+IFERROR(LARGE($O65:$X65,9),0)*($AB$5&gt;=9)+IFERROR(LARGE($O65:$X65,10),0)*($AB$5&gt;=10))</f>
        <v/>
      </c>
      <c r="Z65" s="14">
        <f>IF(N($Y65)=0,"",$Y65/MIN($AB$5,COUNT($O65:$X65)))</f>
        <v/>
      </c>
      <c r="AA65" s="7">
        <f>IF(N($Y65)=0,"",RANK($Y65,$Y$7:$Y$66))</f>
        <v/>
      </c>
      <c r="AB65" s="11">
        <f>IF(OR($C65="",$D65=""),"",IFERROR(MATCH($C65&amp;"|"&amp;VLOOKUP($D65,Uitleg!$B$23:$C$33,2,FALSE),'Coëfficiënten'!$A$5:$AB$5,0),""))</f>
        <v/>
      </c>
      <c r="AC65" s="11">
        <f>IF(N($Y65)=0,"",$Y65+(67-ROW())/1000000000)</f>
        <v/>
      </c>
    </row>
    <row r="66">
      <c r="A66" s="11">
        <f>ROW()-6</f>
        <v/>
      </c>
      <c r="B66" s="12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4">
        <f>IF(OR($AB66="",N(E66)&lt;=0),"",ROUND(E66*INDEX('Coëfficiënten'!$A$7:$AB$1006,MATCH(E66,INDEX('Coëfficiënten'!$A$7:$AB$1006,0,$AB66),1),$AB66+1),1))</f>
        <v/>
      </c>
      <c r="P66" s="14">
        <f>IF(OR($AB66="",N(F66)&lt;=0),"",ROUND(F66*INDEX('Coëfficiënten'!$A$7:$AB$1006,MATCH(F66,INDEX('Coëfficiënten'!$A$7:$AB$1006,0,$AB66),1),$AB66+1),1))</f>
        <v/>
      </c>
      <c r="Q66" s="14">
        <f>IF(OR($AB66="",N(G66)&lt;=0),"",ROUND(G66*INDEX('Coëfficiënten'!$A$7:$AB$1006,MATCH(G66,INDEX('Coëfficiënten'!$A$7:$AB$1006,0,$AB66),1),$AB66+1),1))</f>
        <v/>
      </c>
      <c r="R66" s="14">
        <f>IF(OR($AB66="",N(H66)&lt;=0),"",ROUND(H66*INDEX('Coëfficiënten'!$A$7:$AB$1006,MATCH(H66,INDEX('Coëfficiënten'!$A$7:$AB$1006,0,$AB66),1),$AB66+1),1))</f>
        <v/>
      </c>
      <c r="S66" s="14">
        <f>IF(OR($AB66="",N(I66)&lt;=0),"",ROUND(I66*INDEX('Coëfficiënten'!$A$7:$AB$1006,MATCH(I66,INDEX('Coëfficiënten'!$A$7:$AB$1006,0,$AB66),1),$AB66+1),1))</f>
        <v/>
      </c>
      <c r="T66" s="14">
        <f>IF(OR($AB66="",N(J66)&lt;=0),"",ROUND(J66*INDEX('Coëfficiënten'!$A$7:$AB$1006,MATCH(J66,INDEX('Coëfficiënten'!$A$7:$AB$1006,0,$AB66),1),$AB66+1),1))</f>
        <v/>
      </c>
      <c r="U66" s="14">
        <f>IF(OR($AB66="",N(K66)&lt;=0),"",ROUND(K66*INDEX('Coëfficiënten'!$A$7:$AB$1006,MATCH(K66,INDEX('Coëfficiënten'!$A$7:$AB$1006,0,$AB66),1),$AB66+1),1))</f>
        <v/>
      </c>
      <c r="V66" s="14">
        <f>IF(OR($AB66="",N(L66)&lt;=0),"",ROUND(L66*INDEX('Coëfficiënten'!$A$7:$AB$1006,MATCH(L66,INDEX('Coëfficiënten'!$A$7:$AB$1006,0,$AB66),1),$AB66+1),1))</f>
        <v/>
      </c>
      <c r="W66" s="14">
        <f>IF(OR($AB66="",N(M66)&lt;=0),"",ROUND(M66*INDEX('Coëfficiënten'!$A$7:$AB$1006,MATCH(M66,INDEX('Coëfficiënten'!$A$7:$AB$1006,0,$AB66),1),$AB66+1),1))</f>
        <v/>
      </c>
      <c r="X66" s="14">
        <f>IF(OR($AB66="",N(N66)&lt;=0),"",ROUND(N66*INDEX('Coëfficiënten'!$A$7:$AB$1006,MATCH(N66,INDEX('Coëfficiënten'!$A$7:$AB$1006,0,$AB66),1),$AB66+1),1))</f>
        <v/>
      </c>
      <c r="Y66" s="15">
        <f>IF(OR($B66="",COUNT($O66:$X66)=0),"",IFERROR(LARGE($O66:$X66,1),0)*($AB$5&gt;=1)+IFERROR(LARGE($O66:$X66,2),0)*($AB$5&gt;=2)+IFERROR(LARGE($O66:$X66,3),0)*($AB$5&gt;=3)+IFERROR(LARGE($O66:$X66,4),0)*($AB$5&gt;=4)+IFERROR(LARGE($O66:$X66,5),0)*($AB$5&gt;=5)+IFERROR(LARGE($O66:$X66,6),0)*($AB$5&gt;=6)+IFERROR(LARGE($O66:$X66,7),0)*($AB$5&gt;=7)+IFERROR(LARGE($O66:$X66,8),0)*($AB$5&gt;=8)+IFERROR(LARGE($O66:$X66,9),0)*($AB$5&gt;=9)+IFERROR(LARGE($O66:$X66,10),0)*($AB$5&gt;=10))</f>
        <v/>
      </c>
      <c r="Z66" s="14">
        <f>IF(N($Y66)=0,"",$Y66/MIN($AB$5,COUNT($O66:$X66)))</f>
        <v/>
      </c>
      <c r="AA66" s="7">
        <f>IF(N($Y66)=0,"",RANK($Y66,$Y$7:$Y$66))</f>
        <v/>
      </c>
      <c r="AB66" s="11">
        <f>IF(OR($C66="",$D66=""),"",IFERROR(MATCH($C66&amp;"|"&amp;VLOOKUP($D66,Uitleg!$B$23:$C$33,2,FALSE),'Coëfficiënten'!$A$5:$AB$5,0),""))</f>
        <v/>
      </c>
      <c r="AC66" s="11">
        <f>IF(N($Y66)=0,"",$Y66+(67-ROW())/1000000000)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O4:X4"/>
    <mergeCell ref="E4:N4"/>
  </mergeCells>
  <conditionalFormatting sqref="O7:X66">
    <cfRule type="expression" priority="1" dxfId="0">
      <formula>AND(ISNUMBER(O7),O7&gt;=LARGE($O7:$X7,MIN($AB$5,COUNT($O7:$X7))))</formula>
    </cfRule>
  </conditionalFormatting>
  <dataValidations count="3">
    <dataValidation sqref="C7:C66" showDropDown="0" showInputMessage="0" showErrorMessage="1" allowBlank="1" errorTitle="Ongeldige discipline" error="Kies LK of LP." type="list">
      <formula1>"LK,LP"</formula1>
    </dataValidation>
    <dataValidation sqref="D7:D66" showDropDown="0" showInputMessage="0" showErrorMessage="1" allowBlank="1" errorTitle="Ongeldige categorie" error="Kies een categorie uit de lijst." type="list">
      <formula1>"DUV,BEN,CAD,JD,JH,D1,S1,D2,S2,D3,S3"</formula1>
    </dataValidation>
    <dataValidation sqref="E7:N66" showDropDown="0" showInputMessage="0" showErrorMessage="1" allowBlank="1" errorTitle="Ongeldig resultaat" error="Resultaat voor 30 schoten: LK 0 - 327, LP 0 - 300." type="custom">
      <formula1>AND(ISNUMBER(E7),E7&gt;=0,E7&lt;=IF($C7="LP",300,327))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S1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1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hidden="1" width="10" customWidth="1" min="18" max="18"/>
    <col hidden="1" width="6" customWidth="1" min="19" max="19"/>
  </cols>
  <sheetData>
    <row r="1" ht="15" customHeight="1"/>
    <row r="2" ht="24" customHeight="1">
      <c r="A2" s="16">
        <f>"Luchtdruk Clubklassement "&amp;Uitleg!$C$7</f>
        <v/>
      </c>
    </row>
    <row r="3" ht="24" customHeight="1"/>
    <row r="4" ht="15" customHeight="1"/>
    <row r="5" ht="15" customHeight="1">
      <c r="R5">
        <f>Uitleg!$C$8</f>
        <v/>
      </c>
    </row>
    <row r="6" ht="22" customHeight="1">
      <c r="A6" s="9" t="inlineStr">
        <is>
          <t>Pl.</t>
        </is>
      </c>
      <c r="B6" s="9" t="inlineStr">
        <is>
          <t>Naam</t>
        </is>
      </c>
      <c r="C6" s="9" t="inlineStr">
        <is>
          <t>Disc.</t>
        </is>
      </c>
      <c r="D6" s="9" t="inlineStr">
        <is>
          <t>Cat.</t>
        </is>
      </c>
      <c r="E6" s="9" t="inlineStr"/>
      <c r="F6" s="9" t="inlineStr">
        <is>
          <t>W1</t>
        </is>
      </c>
      <c r="G6" s="9" t="inlineStr">
        <is>
          <t>W2</t>
        </is>
      </c>
      <c r="H6" s="9" t="inlineStr">
        <is>
          <t>W3</t>
        </is>
      </c>
      <c r="I6" s="9" t="inlineStr">
        <is>
          <t>W4</t>
        </is>
      </c>
      <c r="J6" s="9" t="inlineStr">
        <is>
          <t>W5</t>
        </is>
      </c>
      <c r="K6" s="9" t="inlineStr">
        <is>
          <t>W6</t>
        </is>
      </c>
      <c r="L6" s="9" t="inlineStr">
        <is>
          <t>W7</t>
        </is>
      </c>
      <c r="M6" s="9" t="inlineStr">
        <is>
          <t>W8</t>
        </is>
      </c>
      <c r="N6" s="9" t="inlineStr">
        <is>
          <t>W9</t>
        </is>
      </c>
      <c r="O6" s="9" t="inlineStr">
        <is>
          <t>W10</t>
        </is>
      </c>
      <c r="P6" s="9">
        <f>"Beste "&amp;Uitleg!$C$8</f>
        <v/>
      </c>
      <c r="Q6" s="9" t="inlineStr">
        <is>
          <t>Gemiddelde</t>
        </is>
      </c>
      <c r="R6" s="9" t="inlineStr">
        <is>
          <t>sorteer</t>
        </is>
      </c>
      <c r="S6" s="9" t="inlineStr">
        <is>
          <t>rij</t>
        </is>
      </c>
    </row>
    <row r="7">
      <c r="A7" s="17">
        <f>IF($S7="","",INDEX(Resultaten!$AA$7:$AA$66,$S7))</f>
        <v/>
      </c>
      <c r="B7" s="18">
        <f>IF($S7="","",INDEX(Resultaten!$B$7:$B$66,$S7))</f>
        <v/>
      </c>
      <c r="C7" s="19">
        <f>IF($S7="","",INDEX(Resultaten!$C$7:$C$66,$S7))</f>
        <v/>
      </c>
      <c r="D7" s="19">
        <f>IF($S7="","",INDEX(Resultaten!$D$7:$D$66,$S7))</f>
        <v/>
      </c>
      <c r="E7" s="20">
        <f>IF($S7="","","Geschoten")</f>
        <v/>
      </c>
      <c r="F7" s="19">
        <f>IF($S7="","",IF(INDEX(Resultaten!$E$7:$N$66,$S7,1)="","",INDEX(Resultaten!$E$7:$N$66,$S7,1)))</f>
        <v/>
      </c>
      <c r="G7" s="19">
        <f>IF($S7="","",IF(INDEX(Resultaten!$E$7:$N$66,$S7,2)="","",INDEX(Resultaten!$E$7:$N$66,$S7,2)))</f>
        <v/>
      </c>
      <c r="H7" s="19">
        <f>IF($S7="","",IF(INDEX(Resultaten!$E$7:$N$66,$S7,3)="","",INDEX(Resultaten!$E$7:$N$66,$S7,3)))</f>
        <v/>
      </c>
      <c r="I7" s="19">
        <f>IF($S7="","",IF(INDEX(Resultaten!$E$7:$N$66,$S7,4)="","",INDEX(Resultaten!$E$7:$N$66,$S7,4)))</f>
        <v/>
      </c>
      <c r="J7" s="19">
        <f>IF($S7="","",IF(INDEX(Resultaten!$E$7:$N$66,$S7,5)="","",INDEX(Resultaten!$E$7:$N$66,$S7,5)))</f>
        <v/>
      </c>
      <c r="K7" s="19">
        <f>IF($S7="","",IF(INDEX(Resultaten!$E$7:$N$66,$S7,6)="","",INDEX(Resultaten!$E$7:$N$66,$S7,6)))</f>
        <v/>
      </c>
      <c r="L7" s="19">
        <f>IF($S7="","",IF(INDEX(Resultaten!$E$7:$N$66,$S7,7)="","",INDEX(Resultaten!$E$7:$N$66,$S7,7)))</f>
        <v/>
      </c>
      <c r="M7" s="19">
        <f>IF($S7="","",IF(INDEX(Resultaten!$E$7:$N$66,$S7,8)="","",INDEX(Resultaten!$E$7:$N$66,$S7,8)))</f>
        <v/>
      </c>
      <c r="N7" s="19">
        <f>IF($S7="","",IF(INDEX(Resultaten!$E$7:$N$66,$S7,9)="","",INDEX(Resultaten!$E$7:$N$66,$S7,9)))</f>
        <v/>
      </c>
      <c r="O7" s="19">
        <f>IF($S7="","",IF(INDEX(Resultaten!$E$7:$N$66,$S7,10)="","",INDEX(Resultaten!$E$7:$N$66,$S7,10)))</f>
        <v/>
      </c>
      <c r="P7" s="19">
        <f>IF(OR($S7="",COUNT($F7:$O7)=0),"",ROUND(IFERROR(LARGE($F7:$O7,1),0)*($R$5&gt;=1)+IFERROR(LARGE($F7:$O7,2),0)*($R$5&gt;=2)+IFERROR(LARGE($F7:$O7,3),0)*($R$5&gt;=3)+IFERROR(LARGE($F7:$O7,4),0)*($R$5&gt;=4)+IFERROR(LARGE($F7:$O7,5),0)*($R$5&gt;=5)+IFERROR(LARGE($F7:$O7,6),0)*($R$5&gt;=6)+IFERROR(LARGE($F7:$O7,7),0)*($R$5&gt;=7)+IFERROR(LARGE($F7:$O7,8),0)*($R$5&gt;=8)+IFERROR(LARGE($F7:$O7,9),0)*($R$5&gt;=9)+IFERROR(LARGE($F7:$O7,10),0)*($R$5&gt;=10),1))</f>
        <v/>
      </c>
      <c r="Q7" s="21">
        <f>IF(N($P7)=0,"",$P7/MIN($R$5,COUNT($F7:$O7)))</f>
        <v/>
      </c>
      <c r="R7">
        <f>IFERROR(LARGE(Resultaten!$AC$7:$AC$66,1),"")</f>
        <v/>
      </c>
      <c r="S7">
        <f>IF($R7="","",MATCH($R7,Resultaten!$AC$7:$AC$66,0))</f>
        <v/>
      </c>
    </row>
    <row r="8">
      <c r="A8" s="17" t="n"/>
      <c r="B8" s="18" t="n"/>
      <c r="C8" s="19" t="n"/>
      <c r="D8" s="19" t="n"/>
      <c r="E8" s="20">
        <f>IF($S7="","","Op 100 schutters")</f>
        <v/>
      </c>
      <c r="F8" s="21">
        <f>IF($S7="","",INDEX(Resultaten!$O$7:$X$66,$S7,1))</f>
        <v/>
      </c>
      <c r="G8" s="21">
        <f>IF($S7="","",INDEX(Resultaten!$O$7:$X$66,$S7,2))</f>
        <v/>
      </c>
      <c r="H8" s="21">
        <f>IF($S7="","",INDEX(Resultaten!$O$7:$X$66,$S7,3))</f>
        <v/>
      </c>
      <c r="I8" s="21">
        <f>IF($S7="","",INDEX(Resultaten!$O$7:$X$66,$S7,4))</f>
        <v/>
      </c>
      <c r="J8" s="21">
        <f>IF($S7="","",INDEX(Resultaten!$O$7:$X$66,$S7,5))</f>
        <v/>
      </c>
      <c r="K8" s="21">
        <f>IF($S7="","",INDEX(Resultaten!$O$7:$X$66,$S7,6))</f>
        <v/>
      </c>
      <c r="L8" s="21">
        <f>IF($S7="","",INDEX(Resultaten!$O$7:$X$66,$S7,7))</f>
        <v/>
      </c>
      <c r="M8" s="21">
        <f>IF($S7="","",INDEX(Resultaten!$O$7:$X$66,$S7,8))</f>
        <v/>
      </c>
      <c r="N8" s="21">
        <f>IF($S7="","",INDEX(Resultaten!$O$7:$X$66,$S7,9))</f>
        <v/>
      </c>
      <c r="O8" s="21">
        <f>IF($S7="","",INDEX(Resultaten!$O$7:$X$66,$S7,10))</f>
        <v/>
      </c>
      <c r="P8" s="22">
        <f>IF($S7="","",INDEX(Resultaten!$Y$7:$Y$66,$S7))</f>
        <v/>
      </c>
      <c r="Q8" s="21">
        <f>IF($S7="","",INDEX(Resultaten!$Z$7:$Z$66,$S7))</f>
        <v/>
      </c>
      <c r="S8">
        <f>$S7</f>
        <v/>
      </c>
    </row>
    <row r="9">
      <c r="A9" s="17">
        <f>IF($S9="","",INDEX(Resultaten!$AA$7:$AA$66,$S9))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c>
      <c r="D9" s="19">
        <f>IF($S9="","",INDEX(Resultaten!$D$7:$D$66,$S9))</f>
        <v/>
      </c>
      <c r="E9" s="20">
        <f>IF($S9="","","Geschoten")</f>
        <v/>
      </c>
      <c r="F9" s="19">
        <f>IF($S9="","",IF(INDEX(Resultaten!$E$7:$N$66,$S9,1)="","",INDEX(Resultaten!$E$7:$N$66,$S9,1)))</f>
        <v/>
      </c>
      <c r="G9" s="19">
        <f>IF($S9="","",IF(INDEX(Resultaten!$E$7:$N$66,$S9,2)="","",INDEX(Resultaten!$E$7:$N$66,$S9,2)))</f>
        <v/>
      </c>
      <c r="H9" s="19">
        <f>IF($S9="","",IF(INDEX(Resultaten!$E$7:$N$66,$S9,3)="","",INDEX(Resultaten!$E$7:$N$66,$S9,3)))</f>
        <v/>
      </c>
      <c r="I9" s="19">
        <f>IF($S9="","",IF(INDEX(Resultaten!$E$7:$N$66,$S9,4)="","",INDEX(Resultaten!$E$7:$N$66,$S9,4)))</f>
        <v/>
      </c>
      <c r="J9" s="19">
        <f>IF($S9="","",IF(INDEX(Resultaten!$E$7:$N$66,$S9,5)="","",INDEX(Resultaten!$E$7:$N$66,$S9,5)))</f>
        <v/>
      </c>
      <c r="K9" s="19">
        <f>IF($S9="","",IF(INDEX(Resultaten!$E$7:$N$66,$S9,6)="","",INDEX(Resultaten!$E$7:$N$66,$S9,6)))</f>
        <v/>
      </c>
      <c r="L9" s="19">
        <f>IF($S9="","",IF(INDEX(Resultaten!$E$7:$N$66,$S9,7)="","",INDEX(Resultaten!$E$7:$N$66,$S9,7)))</f>
        <v/>
      </c>
      <c r="M9" s="19">
        <f>IF($S9="","",IF(INDEX(Resultaten!$E$7:$N$66,$S9,8)="","",INDEX(Resultaten!$E$7:$N$66,$S9,8)))</f>
        <v/>
      </c>
      <c r="N9" s="19">
        <f>IF($S9="","",IF(INDEX(Resultaten!$E$7:$N$66,$S9,9)="","",INDEX(Resultaten!$E$7:$N$66,$S9,9)))</f>
        <v/>
      </c>
      <c r="O9" s="19">
        <f>IF($S9="","",IF(INDEX(Resultaten!$E$7:$N$66,$S9,10)="","",INDEX(Resultaten!$E$7:$N$66,$S9,10)))</f>
        <v/>
      </c>
      <c r="P9" s="19">
        <f>IF(OR($S9="",COUNT($F9:$O9)=0),"",ROUND(IFERROR(LARGE($F9:$O9,1),0)*($R$5&gt;=1)+IFERROR(LARGE($F9:$O9,2),0)*($R$5&gt;=2)+IFERROR(LARGE($F9:$O9,3),0)*($R$5&gt;=3)+IFERROR(LARGE($F9:$O9,4),0)*($R$5&gt;=4)+IFERROR(LARGE($F9:$O9,5),0)*($R$5&gt;=5)+IFERROR(LARGE($F9:$O9,6),0)*($R$5&gt;=6)+IFERROR(LARGE($F9:$O9,7),0)*($R$5&gt;=7)+IFERROR(LARGE($F9:$O9,8),0)*($R$5&gt;=8)+IFERROR(LARGE($F9:$O9,9),0)*($R$5&gt;=9)+IFERROR(LARGE($F9:$O9,10),0)*($R$5&gt;=10),1))</f>
        <v/>
      </c>
      <c r="Q9" s="21">
        <f>IF(N($P9)=0,"",$P9/MIN($R$5,COUNT($F9:$O9)))</f>
        <v/>
      </c>
      <c r="R9">
        <f>IFERROR(LARGE(Resultaten!$AC$7:$AC$66,2),"")</f>
        <v/>
      </c>
      <c r="S9">
        <f>IF($R9="","",MATCH($R9,Resultaten!$AC$7:$AC$66,0))</f>
        <v/>
      </c>
    </row>
    <row r="10">
      <c r="A10" s="17" t="n"/>
      <c r="B10" s="18" t="n"/>
      <c r="C10" s="19" t="n"/>
      <c r="D10" s="19" t="n"/>
      <c r="E10" s="20">
        <f>IF($S9="","","Op 100 schutters")</f>
        <v/>
      </c>
      <c r="F10" s="21">
        <f>IF($S9="","",INDEX(Resultaten!$O$7:$X$66,$S9,1))</f>
        <v/>
      </c>
      <c r="G10" s="21">
        <f>IF($S9="","",INDEX(Resultaten!$O$7:$X$66,$S9,2))</f>
        <v/>
      </c>
      <c r="H10" s="21">
        <f>IF($S9="","",INDEX(Resultaten!$O$7:$X$66,$S9,3))</f>
        <v/>
      </c>
      <c r="I10" s="21">
        <f>IF($S9="","",INDEX(Resultaten!$O$7:$X$66,$S9,4))</f>
        <v/>
      </c>
      <c r="J10" s="21">
        <f>IF($S9="","",INDEX(Resultaten!$O$7:$X$66,$S9,5))</f>
        <v/>
      </c>
      <c r="K10" s="21">
        <f>IF($S9="","",INDEX(Resultaten!$O$7:$X$66,$S9,6))</f>
        <v/>
      </c>
      <c r="L10" s="21">
        <f>IF($S9="","",INDEX(Resultaten!$O$7:$X$66,$S9,7))</f>
        <v/>
      </c>
      <c r="M10" s="21">
        <f>IF($S9="","",INDEX(Resultaten!$O$7:$X$66,$S9,8))</f>
        <v/>
      </c>
      <c r="N10" s="21">
        <f>IF($S9="","",INDEX(Resultaten!$O$7:$X$66,$S9,9))</f>
        <v/>
      </c>
      <c r="O10" s="21">
        <f>IF($S9="","",INDEX(Resultaten!$O$7:$X$66,$S9,10))</f>
        <v/>
      </c>
      <c r="P10" s="22">
        <f>IF($S9="","",INDEX(Resultaten!$Y$7:$Y$66,$S9))</f>
        <v/>
      </c>
      <c r="Q10" s="21">
        <f>IF($S9="","",INDEX(Resultaten!$Z$7:$Z$66,$S9))</f>
        <v/>
      </c>
      <c r="S10">
        <f>$S9</f>
        <v/>
      </c>
    </row>
    <row r="11">
      <c r="A11" s="17">
        <f>IF($S11="","",INDEX(Resultaten!$AA$7:$AA$66,$S11))</f>
        <v/>
      </c>
      <c r="B11" s="18">
        <f>IF($S11="","",INDEX(Resultaten!$B$7:$B$66,$S11))</f>
        <v/>
      </c>
      <c r="C11" s="19">
        <f>IF($S11="","",INDEX(Resultaten!$C$7:$C$66,$S11))</f>
        <v/>
      </c>
      <c r="D11" s="19">
        <f>IF($S11="","",INDEX(Resultaten!$D$7:$D$66,$S11))</f>
        <v/>
      </c>
      <c r="E11" s="20">
        <f>IF($S11="","","Geschoten")</f>
        <v/>
      </c>
      <c r="F11" s="19">
        <f>IF($S11="","",IF(INDEX(Resultaten!$E$7:$N$66,$S11,1)="","",INDEX(Resultaten!$E$7:$N$66,$S11,1)))</f>
        <v/>
      </c>
      <c r="G11" s="19">
        <f>IF($S11="","",IF(INDEX(Resultaten!$E$7:$N$66,$S11,2)="","",INDEX(Resultaten!$E$7:$N$66,$S11,2)))</f>
        <v/>
      </c>
      <c r="H11" s="19">
        <f>IF($S11="","",IF(INDEX(Resultaten!$E$7:$N$66,$S11,3)="","",INDEX(Resultaten!$E$7:$N$66,$S11,3)))</f>
        <v/>
      </c>
      <c r="I11" s="19">
        <f>IF($S11="","",IF(INDEX(Resultaten!$E$7:$N$66,$S11,4)="","",INDEX(Resultaten!$E$7:$N$66,$S11,4)))</f>
        <v/>
      </c>
      <c r="J11" s="19">
        <f>IF($S11="","",IF(INDEX(Resultaten!$E$7:$N$66,$S11,5)="","",INDEX(Resultaten!$E$7:$N$66,$S11,5)))</f>
        <v/>
      </c>
      <c r="K11" s="19">
        <f>IF($S11="","",IF(INDEX(Resultaten!$E$7:$N$66,$S11,6)="","",INDEX(Resultaten!$E$7:$N$66,$S11,6)))</f>
        <v/>
      </c>
      <c r="L11" s="19">
        <f>IF($S11="","",IF(INDEX(Resultaten!$E$7:$N$66,$S11,7)="","",INDEX(Resultaten!$E$7:$N$66,$S11,7)))</f>
        <v/>
      </c>
      <c r="M11" s="19">
        <f>IF($S11="","",IF(INDEX(Resultaten!$E$7:$N$66,$S11,8)="","",INDEX(Resultaten!$E$7:$N$66,$S11,8)))</f>
        <v/>
      </c>
      <c r="N11" s="19">
        <f>IF($S11="","",IF(INDEX(Resultaten!$E$7:$N$66,$S11,9)="","",INDEX(Resultaten!$E$7:$N$66,$S11,9)))</f>
        <v/>
      </c>
      <c r="O11" s="19">
        <f>IF($S11="","",IF(INDEX(Resultaten!$E$7:$N$66,$S11,10)="","",INDEX(Resultaten!$E$7:$N$66,$S11,10)))</f>
        <v/>
      </c>
      <c r="P11" s="19">
        <f>IF(OR($S11="",COUNT($F11:$O11)=0),"",ROUND(IFERROR(LARGE($F11:$O11,1),0)*($R$5&gt;=1)+IFERROR(LARGE($F11:$O11,2),0)*($R$5&gt;=2)+IFERROR(LARGE($F11:$O11,3),0)*($R$5&gt;=3)+IFERROR(LARGE($F11:$O11,4),0)*($R$5&gt;=4)+IFERROR(LARGE($F11:$O11,5),0)*($R$5&gt;=5)+IFERROR(LARGE($F11:$O11,6),0)*($R$5&gt;=6)+IFERROR(LARGE($F11:$O11,7),0)*($R$5&gt;=7)+IFERROR(LARGE($F11:$O11,8),0)*($R$5&gt;=8)+IFERROR(LARGE($F11:$O11,9),0)*($R$5&gt;=9)+IFERROR(LARGE($F11:$O11,10),0)*($R$5&gt;=10),1))</f>
        <v/>
      </c>
      <c r="Q11" s="21">
        <f>IF(N($P11)=0,"",$P11/MIN($R$5,COUNT($F11:$O11)))</f>
        <v/>
      </c>
      <c r="R11">
        <f>IFERROR(LARGE(Resultaten!$AC$7:$AC$66,3),"")</f>
        <v/>
      </c>
      <c r="S11">
        <f>IF($R11="","",MATCH($R11,Resultaten!$AC$7:$AC$66,0))</f>
        <v/>
      </c>
    </row>
    <row r="12">
      <c r="A12" s="17" t="n"/>
      <c r="B12" s="18" t="n"/>
      <c r="C12" s="19" t="n"/>
      <c r="D12" s="19" t="n"/>
      <c r="E12" s="20">
        <f>IF($S11="","","Op 100 schutters")</f>
        <v/>
      </c>
      <c r="F12" s="21">
        <f>IF($S11="","",INDEX(Resultaten!$O$7:$X$66,$S11,1))</f>
        <v/>
      </c>
      <c r="G12" s="21">
        <f>IF($S11="","",INDEX(Resultaten!$O$7:$X$66,$S11,2))</f>
        <v/>
      </c>
      <c r="H12" s="21">
        <f>IF($S11="","",INDEX(Resultaten!$O$7:$X$66,$S11,3))</f>
        <v/>
      </c>
      <c r="I12" s="21">
        <f>IF($S11="","",INDEX(Resultaten!$O$7:$X$66,$S11,4))</f>
        <v/>
      </c>
      <c r="J12" s="21">
        <f>IF($S11="","",INDEX(Resultaten!$O$7:$X$66,$S11,5))</f>
        <v/>
      </c>
      <c r="K12" s="21">
        <f>IF($S11="","",INDEX(Resultaten!$O$7:$X$66,$S11,6))</f>
        <v/>
      </c>
      <c r="L12" s="21">
        <f>IF($S11="","",INDEX(Resultaten!$O$7:$X$66,$S11,7))</f>
        <v/>
      </c>
      <c r="M12" s="21">
        <f>IF($S11="","",INDEX(Resultaten!$O$7:$X$66,$S11,8))</f>
        <v/>
      </c>
      <c r="N12" s="21">
        <f>IF($S11="","",INDEX(Resultaten!$O$7:$X$66,$S11,9))</f>
        <v/>
      </c>
      <c r="O12" s="21">
        <f>IF($S11="","",INDEX(Resultaten!$O$7:$X$66,$S11,10))</f>
        <v/>
      </c>
      <c r="P12" s="22">
        <f>IF($S11="","",INDEX(Resultaten!$Y$7:$Y$66,$S11))</f>
        <v/>
      </c>
      <c r="Q12" s="21">
        <f>IF($S11="","",INDEX(Resultaten!$Z$7:$Z$66,$S11))</f>
        <v/>
      </c>
      <c r="S12">
        <f>$S11</f>
        <v/>
      </c>
    </row>
    <row r="13">
      <c r="A13" s="17">
        <f>IF($S13="","",INDEX(Resultaten!$AA$7:$AA$66,$S13))</f>
        <v/>
      </c>
      <c r="B13" s="18">
        <f>IF($S13="","",INDEX(Resultaten!$B$7:$B$66,$S13))</f>
        <v/>
      </c>
      <c r="C13" s="19">
        <f>IF($S13="","",INDEX(Resultaten!$C$7:$C$66,$S13))</f>
        <v/>
      </c>
      <c r="D13" s="19">
        <f>IF($S13="","",INDEX(Resultaten!$D$7:$D$66,$S13))</f>
        <v/>
      </c>
      <c r="E13" s="20">
        <f>IF($S13="","","Geschoten")</f>
        <v/>
      </c>
      <c r="F13" s="19">
        <f>IF($S13="","",IF(INDEX(Resultaten!$E$7:$N$66,$S13,1)="","",INDEX(Resultaten!$E$7:$N$66,$S13,1)))</f>
        <v/>
      </c>
      <c r="G13" s="19">
        <f>IF($S13="","",IF(INDEX(Resultaten!$E$7:$N$66,$S13,2)="","",INDEX(Resultaten!$E$7:$N$66,$S13,2)))</f>
        <v/>
      </c>
      <c r="H13" s="19">
        <f>IF($S13="","",IF(INDEX(Resultaten!$E$7:$N$66,$S13,3)="","",INDEX(Resultaten!$E$7:$N$66,$S13,3)))</f>
        <v/>
      </c>
      <c r="I13" s="19">
        <f>IF($S13="","",IF(INDEX(Resultaten!$E$7:$N$66,$S13,4)="","",INDEX(Resultaten!$E$7:$N$66,$S13,4)))</f>
        <v/>
      </c>
      <c r="J13" s="19">
        <f>IF($S13="","",IF(INDEX(Resultaten!$E$7:$N$66,$S13,5)="","",INDEX(Resultaten!$E$7:$N$66,$S13,5)))</f>
        <v/>
      </c>
      <c r="K13" s="19">
        <f>IF($S13="","",IF(INDEX(Resultaten!$E$7:$N$66,$S13,6)="","",INDEX(Resultaten!$E$7:$N$66,$S13,6)))</f>
        <v/>
      </c>
      <c r="L13" s="19">
        <f>IF($S13="","",IF(INDEX(Resultaten!$E$7:$N$66,$S13,7)="","",INDEX(Resultaten!$E$7:$N$66,$S13,7)))</f>
        <v/>
      </c>
      <c r="M13" s="19">
        <f>IF($S13="","",IF(INDEX(Resultaten!$E$7:$N$66,$S13,8)="","",INDEX(Resultaten!$E$7:$N$66,$S13,8)))</f>
        <v/>
      </c>
      <c r="N13" s="19">
        <f>IF($S13="","",IF(INDEX(Resultaten!$E$7:$N$66,$S13,9)="","",INDEX(Resultaten!$E$7:$N$66,$S13,9)))</f>
        <v/>
      </c>
      <c r="O13" s="19">
        <f>IF($S13="","",IF(INDEX(Resultaten!$E$7:$N$66,$S13,10)="","",INDEX(Resultaten!$E$7:$N$66,$S13,10)))</f>
        <v/>
      </c>
      <c r="P13" s="19">
        <f>IF(OR($S13="",COUNT($F13:$O13)=0),"",ROUND(IFERROR(LARGE($F13:$O13,1),0)*($R$5&gt;=1)+IFERROR(LARGE($F13:$O13,2),0)*($R$5&gt;=2)+IFERROR(LARGE($F13:$O13,3),0)*($R$5&gt;=3)+IFERROR(LARGE($F13:$O13,4),0)*($R$5&gt;=4)+IFERROR(LARGE($F13:$O13,5),0)*($R$5&gt;=5)+IFERROR(LARGE($F13:$O13,6),0)*($R$5&gt;=6)+IFERROR(LARGE($F13:$O13,7),0)*($R$5&gt;=7)+IFERROR(LARGE($F13:$O13,8),0)*($R$5&gt;=8)+IFERROR(LARGE($F13:$O13,9),0)*($R$5&gt;=9)+IFERROR(LARGE($F13:$O13,10),0)*($R$5&gt;=10),1))</f>
        <v/>
      </c>
      <c r="Q13" s="21">
        <f>IF(N($P13)=0,"",$P13/MIN($R$5,COUNT($F13:$O13)))</f>
        <v/>
      </c>
      <c r="R13">
        <f>IFERROR(LARGE(Resultaten!$AC$7:$AC$66,4),"")</f>
        <v/>
      </c>
      <c r="S13">
        <f>IF($R13="","",MATCH($R13,Resultaten!$AC$7:$AC$66,0))</f>
        <v/>
      </c>
    </row>
    <row r="14">
      <c r="A14" s="17" t="n"/>
      <c r="B14" s="18" t="n"/>
      <c r="C14" s="19" t="n"/>
      <c r="D14" s="19" t="n"/>
      <c r="E14" s="20">
        <f>IF($S13="","","Op 100 schutters")</f>
        <v/>
      </c>
      <c r="F14" s="21">
        <f>IF($S13="","",INDEX(Resultaten!$O$7:$X$66,$S13,1))</f>
        <v/>
      </c>
      <c r="G14" s="21">
        <f>IF($S13="","",INDEX(Resultaten!$O$7:$X$66,$S13,2))</f>
        <v/>
      </c>
      <c r="H14" s="21">
        <f>IF($S13="","",INDEX(Resultaten!$O$7:$X$66,$S13,3))</f>
        <v/>
      </c>
      <c r="I14" s="21">
        <f>IF($S13="","",INDEX(Resultaten!$O$7:$X$66,$S13,4))</f>
        <v/>
      </c>
      <c r="J14" s="21">
        <f>IF($S13="","",INDEX(Resultaten!$O$7:$X$66,$S13,5))</f>
        <v/>
      </c>
      <c r="K14" s="21">
        <f>IF($S13="","",INDEX(Resultaten!$O$7:$X$66,$S13,6))</f>
        <v/>
      </c>
      <c r="L14" s="21">
        <f>IF($S13="","",INDEX(Resultaten!$O$7:$X$66,$S13,7))</f>
        <v/>
      </c>
      <c r="M14" s="21">
        <f>IF($S13="","",INDEX(Resultaten!$O$7:$X$66,$S13,8))</f>
        <v/>
      </c>
      <c r="N14" s="21">
        <f>IF($S13="","",INDEX(Resultaten!$O$7:$X$66,$S13,9))</f>
        <v/>
      </c>
      <c r="O14" s="21">
        <f>IF($S13="","",INDEX(Resultaten!$O$7:$X$66,$S13,10))</f>
        <v/>
      </c>
      <c r="P14" s="22">
        <f>IF($S13="","",INDEX(Resultaten!$Y$7:$Y$66,$S13))</f>
        <v/>
      </c>
      <c r="Q14" s="21">
        <f>IF($S13="","",INDEX(Resultaten!$Z$7:$Z$66,$S13))</f>
        <v/>
      </c>
      <c r="S14">
        <f>$S13</f>
        <v/>
      </c>
    </row>
    <row r="15">
      <c r="A15" s="17">
        <f>IF($S15="","",INDEX(Resultaten!$AA$7:$AA$66,$S15))</f>
        <v/>
      </c>
      <c r="B15" s="18">
        <f>IF($S15="","",INDEX(Resultaten!$B$7:$B$66,$S15))</f>
        <v/>
      </c>
      <c r="C15" s="19">
        <f>IF($S15="","",INDEX(Resultaten!$C$7:$C$66,$S15))</f>
        <v/>
      </c>
      <c r="D15" s="19">
        <f>IF($S15="","",INDEX(Resultaten!$D$7:$D$66,$S15))</f>
        <v/>
      </c>
      <c r="E15" s="20">
        <f>IF($S15="","","Geschoten")</f>
        <v/>
      </c>
      <c r="F15" s="19">
        <f>IF($S15="","",IF(INDEX(Resultaten!$E$7:$N$66,$S15,1)="","",INDEX(Resultaten!$E$7:$N$66,$S15,1)))</f>
        <v/>
      </c>
      <c r="G15" s="19">
        <f>IF($S15="","",IF(INDEX(Resultaten!$E$7:$N$66,$S15,2)="","",INDEX(Resultaten!$E$7:$N$66,$S15,2)))</f>
        <v/>
      </c>
      <c r="H15" s="19">
        <f>IF($S15="","",IF(INDEX(Resultaten!$E$7:$N$66,$S15,3)="","",INDEX(Resultaten!$E$7:$N$66,$S15,3)))</f>
        <v/>
      </c>
      <c r="I15" s="19">
        <f>IF($S15="","",IF(INDEX(Resultaten!$E$7:$N$66,$S15,4)="","",INDEX(Resultaten!$E$7:$N$66,$S15,4)))</f>
        <v/>
      </c>
      <c r="J15" s="19">
        <f>IF($S15="","",IF(INDEX(Resultaten!$E$7:$N$66,$S15,5)="","",INDEX(Resultaten!$E$7:$N$66,$S15,5)))</f>
        <v/>
      </c>
      <c r="K15" s="19">
        <f>IF($S15="","",IF(INDEX(Resultaten!$E$7:$N$66,$S15,6)="","",INDEX(Resultaten!$E$7:$N$66,$S15,6)))</f>
        <v/>
      </c>
      <c r="L15" s="19">
        <f>IF($S15="","",IF(INDEX(Resultaten!$E$7:$N$66,$S15,7)="","",INDEX(Resultaten!$E$7:$N$66,$S15,7)))</f>
        <v/>
      </c>
      <c r="M15" s="19">
        <f>IF($S15="","",IF(INDEX(Resultaten!$E$7:$N$66,$S15,8)="","",INDEX(Resultaten!$E$7:$N$66,$S15,8)))</f>
        <v/>
      </c>
      <c r="N15" s="19">
        <f>IF($S15="","",IF(INDEX(Resultaten!$E$7:$N$66,$S15,9)="","",INDEX(Resultaten!$E$7:$N$66,$S15,9)))</f>
        <v/>
      </c>
      <c r="O15" s="19">
        <f>IF($S15="","",IF(INDEX(Resultaten!$E$7:$N$66,$S15,10)="","",INDEX(Resultaten!$E$7:$N$66,$S15,10)))</f>
        <v/>
      </c>
      <c r="P15" s="19">
        <f>IF(OR($S15="",COUNT($F15:$O15)=0),"",ROUND(IFERROR(LARGE($F15:$O15,1),0)*($R$5&gt;=1)+IFERROR(LARGE($F15:$O15,2),0)*($R$5&gt;=2)+IFERROR(LARGE($F15:$O15,3),0)*($R$5&gt;=3)+IFERROR(LARGE($F15:$O15,4),0)*($R$5&gt;=4)+IFERROR(LARGE($F15:$O15,5),0)*($R$5&gt;=5)+IFERROR(LARGE($F15:$O15,6),0)*($R$5&gt;=6)+IFERROR(LARGE($F15:$O15,7),0)*($R$5&gt;=7)+IFERROR(LARGE($F15:$O15,8),0)*($R$5&gt;=8)+IFERROR(LARGE($F15:$O15,9),0)*($R$5&gt;=9)+IFERROR(LARGE($F15:$O15,10),0)*($R$5&gt;=10),1))</f>
        <v/>
      </c>
      <c r="Q15" s="21">
        <f>IF(N($P15)=0,"",$P15/MIN($R$5,COUNT($F15:$O15)))</f>
        <v/>
      </c>
      <c r="R15">
        <f>IFERROR(LARGE(Resultaten!$AC$7:$AC$66,5),"")</f>
        <v/>
      </c>
      <c r="S15">
        <f>IF($R15="","",MATCH($R15,Resultaten!$AC$7:$AC$66,0))</f>
        <v/>
      </c>
    </row>
    <row r="16">
      <c r="A16" s="17" t="n"/>
      <c r="B16" s="18" t="n"/>
      <c r="C16" s="19" t="n"/>
      <c r="D16" s="19" t="n"/>
      <c r="E16" s="20">
        <f>IF($S15="","","Op 100 schutters")</f>
        <v/>
      </c>
      <c r="F16" s="21">
        <f>IF($S15="","",INDEX(Resultaten!$O$7:$X$66,$S15,1))</f>
        <v/>
      </c>
      <c r="G16" s="21">
        <f>IF($S15="","",INDEX(Resultaten!$O$7:$X$66,$S15,2))</f>
        <v/>
      </c>
      <c r="H16" s="21">
        <f>IF($S15="","",INDEX(Resultaten!$O$7:$X$66,$S15,3))</f>
        <v/>
      </c>
      <c r="I16" s="21">
        <f>IF($S15="","",INDEX(Resultaten!$O$7:$X$66,$S15,4))</f>
        <v/>
      </c>
      <c r="J16" s="21">
        <f>IF($S15="","",INDEX(Resultaten!$O$7:$X$66,$S15,5))</f>
        <v/>
      </c>
      <c r="K16" s="21">
        <f>IF($S15="","",INDEX(Resultaten!$O$7:$X$66,$S15,6))</f>
        <v/>
      </c>
      <c r="L16" s="21">
        <f>IF($S15="","",INDEX(Resultaten!$O$7:$X$66,$S15,7))</f>
        <v/>
      </c>
      <c r="M16" s="21">
        <f>IF($S15="","",INDEX(Resultaten!$O$7:$X$66,$S15,8))</f>
        <v/>
      </c>
      <c r="N16" s="21">
        <f>IF($S15="","",INDEX(Resultaten!$O$7:$X$66,$S15,9))</f>
        <v/>
      </c>
      <c r="O16" s="21">
        <f>IF($S15="","",INDEX(Resultaten!$O$7:$X$66,$S15,10))</f>
        <v/>
      </c>
      <c r="P16" s="22">
        <f>IF($S15="","",INDEX(Resultaten!$Y$7:$Y$66,$S15))</f>
        <v/>
      </c>
      <c r="Q16" s="21">
        <f>IF($S15="","",INDEX(Resultaten!$Z$7:$Z$66,$S15))</f>
        <v/>
      </c>
      <c r="S16">
        <f>$S15</f>
        <v/>
      </c>
    </row>
    <row r="17">
      <c r="A17" s="17">
        <f>IF($S17="","",INDEX(Resultaten!$AA$7:$AA$66,$S17))</f>
        <v/>
      </c>
      <c r="B17" s="18">
        <f>IF($S17="","",INDEX(Resultaten!$B$7:$B$66,$S17))</f>
        <v/>
      </c>
      <c r="C17" s="19">
        <f>IF($S17="","",INDEX(Resultaten!$C$7:$C$66,$S17))</f>
        <v/>
      </c>
      <c r="D17" s="19">
        <f>IF($S17="","",INDEX(Resultaten!$D$7:$D$66,$S17))</f>
        <v/>
      </c>
      <c r="E17" s="20">
        <f>IF($S17="","","Geschoten")</f>
        <v/>
      </c>
      <c r="F17" s="19">
        <f>IF($S17="","",IF(INDEX(Resultaten!$E$7:$N$66,$S17,1)="","",INDEX(Resultaten!$E$7:$N$66,$S17,1)))</f>
        <v/>
      </c>
      <c r="G17" s="19">
        <f>IF($S17="","",IF(INDEX(Resultaten!$E$7:$N$66,$S17,2)="","",INDEX(Resultaten!$E$7:$N$66,$S17,2)))</f>
        <v/>
      </c>
      <c r="H17" s="19">
        <f>IF($S17="","",IF(INDEX(Resultaten!$E$7:$N$66,$S17,3)="","",INDEX(Resultaten!$E$7:$N$66,$S17,3)))</f>
        <v/>
      </c>
      <c r="I17" s="19">
        <f>IF($S17="","",IF(INDEX(Resultaten!$E$7:$N$66,$S17,4)="","",INDEX(Resultaten!$E$7:$N$66,$S17,4)))</f>
        <v/>
      </c>
      <c r="J17" s="19">
        <f>IF($S17="","",IF(INDEX(Resultaten!$E$7:$N$66,$S17,5)="","",INDEX(Resultaten!$E$7:$N$66,$S17,5)))</f>
        <v/>
      </c>
      <c r="K17" s="19">
        <f>IF($S17="","",IF(INDEX(Resultaten!$E$7:$N$66,$S17,6)="","",INDEX(Resultaten!$E$7:$N$66,$S17,6)))</f>
        <v/>
      </c>
      <c r="L17" s="19">
        <f>IF($S17="","",IF(INDEX(Resultaten!$E$7:$N$66,$S17,7)="","",INDEX(Resultaten!$E$7:$N$66,$S17,7)))</f>
        <v/>
      </c>
      <c r="M17" s="19">
        <f>IF($S17="","",IF(INDEX(Resultaten!$E$7:$N$66,$S17,8)="","",INDEX(Resultaten!$E$7:$N$66,$S17,8)))</f>
        <v/>
      </c>
      <c r="N17" s="19">
        <f>IF($S17="","",IF(INDEX(Resultaten!$E$7:$N$66,$S17,9)="","",INDEX(Resultaten!$E$7:$N$66,$S17,9)))</f>
        <v/>
      </c>
      <c r="O17" s="19">
        <f>IF($S17="","",IF(INDEX(Resultaten!$E$7:$N$66,$S17,10)="","",INDEX(Resultaten!$E$7:$N$66,$S17,10)))</f>
        <v/>
      </c>
      <c r="P17" s="19">
        <f>IF(OR($S17="",COUNT($F17:$O17)=0),"",ROUND(IFERROR(LARGE($F17:$O17,1),0)*($R$5&gt;=1)+IFERROR(LARGE($F17:$O17,2),0)*($R$5&gt;=2)+IFERROR(LARGE($F17:$O17,3),0)*($R$5&gt;=3)+IFERROR(LARGE($F17:$O17,4),0)*($R$5&gt;=4)+IFERROR(LARGE($F17:$O17,5),0)*($R$5&gt;=5)+IFERROR(LARGE($F17:$O17,6),0)*($R$5&gt;=6)+IFERROR(LARGE($F17:$O17,7),0)*($R$5&gt;=7)+IFERROR(LARGE($F17:$O17,8),0)*($R$5&gt;=8)+IFERROR(LARGE($F17:$O17,9),0)*($R$5&gt;=9)+IFERROR(LARGE($F17:$O17,10),0)*($R$5&gt;=10),1))</f>
        <v/>
      </c>
      <c r="Q17" s="21">
        <f>IF(N($P17)=0,"",$P17/MIN($R$5,COUNT($F17:$O17)))</f>
        <v/>
      </c>
      <c r="R17">
        <f>IFERROR(LARGE(Resultaten!$AC$7:$AC$66,6),"")</f>
        <v/>
      </c>
      <c r="S17">
        <f>IF($R17="","",MATCH($R17,Resultaten!$AC$7:$AC$66,0))</f>
        <v/>
      </c>
    </row>
    <row r="18">
      <c r="A18" s="17" t="n"/>
      <c r="B18" s="18" t="n"/>
      <c r="C18" s="19" t="n"/>
      <c r="D18" s="19" t="n"/>
      <c r="E18" s="20">
        <f>IF($S17="","","Op 100 schutters")</f>
        <v/>
      </c>
      <c r="F18" s="21">
        <f>IF($S17="","",INDEX(Resultaten!$O$7:$X$66,$S17,1))</f>
        <v/>
      </c>
      <c r="G18" s="21">
        <f>IF($S17="","",INDEX(Resultaten!$O$7:$X$66,$S17,2))</f>
        <v/>
      </c>
      <c r="H18" s="21">
        <f>IF($S17="","",INDEX(Resultaten!$O$7:$X$66,$S17,3))</f>
        <v/>
      </c>
      <c r="I18" s="21">
        <f>IF($S17="","",INDEX(Resultaten!$O$7:$X$66,$S17,4))</f>
        <v/>
      </c>
      <c r="J18" s="21">
        <f>IF($S17="","",INDEX(Resultaten!$O$7:$X$66,$S17,5))</f>
        <v/>
      </c>
      <c r="K18" s="21">
        <f>IF($S17="","",INDEX(Resultaten!$O$7:$X$66,$S17,6))</f>
        <v/>
      </c>
      <c r="L18" s="21">
        <f>IF($S17="","",INDEX(Resultaten!$O$7:$X$66,$S17,7))</f>
        <v/>
      </c>
      <c r="M18" s="21">
        <f>IF($S17="","",INDEX(Resultaten!$O$7:$X$66,$S17,8))</f>
        <v/>
      </c>
      <c r="N18" s="21">
        <f>IF($S17="","",INDEX(Resultaten!$O$7:$X$66,$S17,9))</f>
        <v/>
      </c>
      <c r="O18" s="21">
        <f>IF($S17="","",INDEX(Resultaten!$O$7:$X$66,$S17,10))</f>
        <v/>
      </c>
      <c r="P18" s="22">
        <f>IF($S17="","",INDEX(Resultaten!$Y$7:$Y$66,$S17))</f>
        <v/>
      </c>
      <c r="Q18" s="21">
        <f>IF($S17="","",INDEX(Resultaten!$Z$7:$Z$66,$S17))</f>
        <v/>
      </c>
      <c r="S18">
        <f>$S17</f>
        <v/>
      </c>
    </row>
    <row r="19">
      <c r="A19" s="17">
        <f>IF($S19="","",INDEX(Resultaten!$AA$7:$AA$66,$S19))</f>
        <v/>
      </c>
      <c r="B19" s="18">
        <f>IF($S19="","",INDEX(Resultaten!$B$7:$B$66,$S19))</f>
        <v/>
      </c>
      <c r="C19" s="19">
        <f>IF($S19="","",INDEX(Resultaten!$C$7:$C$66,$S19))</f>
        <v/>
      </c>
      <c r="D19" s="19">
        <f>IF($S19="","",INDEX(Resultaten!$D$7:$D$66,$S19))</f>
        <v/>
      </c>
      <c r="E19" s="20">
        <f>IF($S19="","","Geschoten")</f>
        <v/>
      </c>
      <c r="F19" s="19">
        <f>IF($S19="","",IF(INDEX(Resultaten!$E$7:$N$66,$S19,1)="","",INDEX(Resultaten!$E$7:$N$66,$S19,1)))</f>
        <v/>
      </c>
      <c r="G19" s="19">
        <f>IF($S19="","",IF(INDEX(Resultaten!$E$7:$N$66,$S19,2)="","",INDEX(Resultaten!$E$7:$N$66,$S19,2)))</f>
        <v/>
      </c>
      <c r="H19" s="19">
        <f>IF($S19="","",IF(INDEX(Resultaten!$E$7:$N$66,$S19,3)="","",INDEX(Resultaten!$E$7:$N$66,$S19,3)))</f>
        <v/>
      </c>
      <c r="I19" s="19">
        <f>IF($S19="","",IF(INDEX(Resultaten!$E$7:$N$66,$S19,4)="","",INDEX(Resultaten!$E$7:$N$66,$S19,4)))</f>
        <v/>
      </c>
      <c r="J19" s="19">
        <f>IF($S19="","",IF(INDEX(Resultaten!$E$7:$N$66,$S19,5)="","",INDEX(Resultaten!$E$7:$N$66,$S19,5)))</f>
        <v/>
      </c>
      <c r="K19" s="19">
        <f>IF($S19="","",IF(INDEX(Resultaten!$E$7:$N$66,$S19,6)="","",INDEX(Resultaten!$E$7:$N$66,$S19,6)))</f>
        <v/>
      </c>
      <c r="L19" s="19">
        <f>IF($S19="","",IF(INDEX(Resultaten!$E$7:$N$66,$S19,7)="","",INDEX(Resultaten!$E$7:$N$66,$S19,7)))</f>
        <v/>
      </c>
      <c r="M19" s="19">
        <f>IF($S19="","",IF(INDEX(Resultaten!$E$7:$N$66,$S19,8)="","",INDEX(Resultaten!$E$7:$N$66,$S19,8)))</f>
        <v/>
      </c>
      <c r="N19" s="19">
        <f>IF($S19="","",IF(INDEX(Resultaten!$E$7:$N$66,$S19,9)="","",INDEX(Resultaten!$E$7:$N$66,$S19,9)))</f>
        <v/>
      </c>
      <c r="O19" s="19">
        <f>IF($S19="","",IF(INDEX(Resultaten!$E$7:$N$66,$S19,10)="","",INDEX(Resultaten!$E$7:$N$66,$S19,10)))</f>
        <v/>
      </c>
      <c r="P19" s="19">
        <f>IF(OR($S19="",COUNT($F19:$O19)=0),"",ROUND(IFERROR(LARGE($F19:$O19,1),0)*($R$5&gt;=1)+IFERROR(LARGE($F19:$O19,2),0)*($R$5&gt;=2)+IFERROR(LARGE($F19:$O19,3),0)*($R$5&gt;=3)+IFERROR(LARGE($F19:$O19,4),0)*($R$5&gt;=4)+IFERROR(LARGE($F19:$O19,5),0)*($R$5&gt;=5)+IFERROR(LARGE($F19:$O19,6),0)*($R$5&gt;=6)+IFERROR(LARGE($F19:$O19,7),0)*($R$5&gt;=7)+IFERROR(LARGE($F19:$O19,8),0)*($R$5&gt;=8)+IFERROR(LARGE($F19:$O19,9),0)*($R$5&gt;=9)+IFERROR(LARGE($F19:$O19,10),0)*($R$5&gt;=10),1))</f>
        <v/>
      </c>
      <c r="Q19" s="21">
        <f>IF(N($P19)=0,"",$P19/MIN($R$5,COUNT($F19:$O19)))</f>
        <v/>
      </c>
      <c r="R19">
        <f>IFERROR(LARGE(Resultaten!$AC$7:$AC$66,7),"")</f>
        <v/>
      </c>
      <c r="S19">
        <f>IF($R19="","",MATCH($R19,Resultaten!$AC$7:$AC$66,0))</f>
        <v/>
      </c>
    </row>
    <row r="20">
      <c r="A20" s="17" t="n"/>
      <c r="B20" s="18" t="n"/>
      <c r="C20" s="19" t="n"/>
      <c r="D20" s="19" t="n"/>
      <c r="E20" s="20">
        <f>IF($S19="","","Op 100 schutters")</f>
        <v/>
      </c>
      <c r="F20" s="21">
        <f>IF($S19="","",INDEX(Resultaten!$O$7:$X$66,$S19,1))</f>
        <v/>
      </c>
      <c r="G20" s="21">
        <f>IF($S19="","",INDEX(Resultaten!$O$7:$X$66,$S19,2))</f>
        <v/>
      </c>
      <c r="H20" s="21">
        <f>IF($S19="","",INDEX(Resultaten!$O$7:$X$66,$S19,3))</f>
        <v/>
      </c>
      <c r="I20" s="21">
        <f>IF($S19="","",INDEX(Resultaten!$O$7:$X$66,$S19,4))</f>
        <v/>
      </c>
      <c r="J20" s="21">
        <f>IF($S19="","",INDEX(Resultaten!$O$7:$X$66,$S19,5))</f>
        <v/>
      </c>
      <c r="K20" s="21">
        <f>IF($S19="","",INDEX(Resultaten!$O$7:$X$66,$S19,6))</f>
        <v/>
      </c>
      <c r="L20" s="21">
        <f>IF($S19="","",INDEX(Resultaten!$O$7:$X$66,$S19,7))</f>
        <v/>
      </c>
      <c r="M20" s="21">
        <f>IF($S19="","",INDEX(Resultaten!$O$7:$X$66,$S19,8))</f>
        <v/>
      </c>
      <c r="N20" s="21">
        <f>IF($S19="","",INDEX(Resultaten!$O$7:$X$66,$S19,9))</f>
        <v/>
      </c>
      <c r="O20" s="21">
        <f>IF($S19="","",INDEX(Resultaten!$O$7:$X$66,$S19,10))</f>
        <v/>
      </c>
      <c r="P20" s="22">
        <f>IF($S19="","",INDEX(Resultaten!$Y$7:$Y$66,$S19))</f>
        <v/>
      </c>
      <c r="Q20" s="21">
        <f>IF($S19="","",INDEX(Resultaten!$Z$7:$Z$66,$S19))</f>
        <v/>
      </c>
      <c r="S20">
        <f>$S19</f>
        <v/>
      </c>
    </row>
    <row r="21">
      <c r="A21" s="17">
        <f>IF($S21="","",INDEX(Resultaten!$AA$7:$AA$66,$S21))</f>
        <v/>
      </c>
      <c r="B21" s="18">
        <f>IF($S21="","",INDEX(Resultaten!$B$7:$B$66,$S21))</f>
        <v/>
      </c>
      <c r="C21" s="19">
        <f>IF($S21="","",INDEX(Resultaten!$C$7:$C$66,$S21))</f>
        <v/>
      </c>
      <c r="D21" s="19">
        <f>IF($S21="","",INDEX(Resultaten!$D$7:$D$66,$S21))</f>
        <v/>
      </c>
      <c r="E21" s="20">
        <f>IF($S21="","","Geschoten")</f>
        <v/>
      </c>
      <c r="F21" s="19">
        <f>IF($S21="","",IF(INDEX(Resultaten!$E$7:$N$66,$S21,1)="","",INDEX(Resultaten!$E$7:$N$66,$S21,1)))</f>
        <v/>
      </c>
      <c r="G21" s="19">
        <f>IF($S21="","",IF(INDEX(Resultaten!$E$7:$N$66,$S21,2)="","",INDEX(Resultaten!$E$7:$N$66,$S21,2)))</f>
        <v/>
      </c>
      <c r="H21" s="19">
        <f>IF($S21="","",IF(INDEX(Resultaten!$E$7:$N$66,$S21,3)="","",INDEX(Resultaten!$E$7:$N$66,$S21,3)))</f>
        <v/>
      </c>
      <c r="I21" s="19">
        <f>IF($S21="","",IF(INDEX(Resultaten!$E$7:$N$66,$S21,4)="","",INDEX(Resultaten!$E$7:$N$66,$S21,4)))</f>
        <v/>
      </c>
      <c r="J21" s="19">
        <f>IF($S21="","",IF(INDEX(Resultaten!$E$7:$N$66,$S21,5)="","",INDEX(Resultaten!$E$7:$N$66,$S21,5)))</f>
        <v/>
      </c>
      <c r="K21" s="19">
        <f>IF($S21="","",IF(INDEX(Resultaten!$E$7:$N$66,$S21,6)="","",INDEX(Resultaten!$E$7:$N$66,$S21,6)))</f>
        <v/>
      </c>
      <c r="L21" s="19">
        <f>IF($S21="","",IF(INDEX(Resultaten!$E$7:$N$66,$S21,7)="","",INDEX(Resultaten!$E$7:$N$66,$S21,7)))</f>
        <v/>
      </c>
      <c r="M21" s="19">
        <f>IF($S21="","",IF(INDEX(Resultaten!$E$7:$N$66,$S21,8)="","",INDEX(Resultaten!$E$7:$N$66,$S21,8)))</f>
        <v/>
      </c>
      <c r="N21" s="19">
        <f>IF($S21="","",IF(INDEX(Resultaten!$E$7:$N$66,$S21,9)="","",INDEX(Resultaten!$E$7:$N$66,$S21,9)))</f>
        <v/>
      </c>
      <c r="O21" s="19">
        <f>IF($S21="","",IF(INDEX(Resultaten!$E$7:$N$66,$S21,10)="","",INDEX(Resultaten!$E$7:$N$66,$S21,10)))</f>
        <v/>
      </c>
      <c r="P21" s="19">
        <f>IF(OR($S21="",COUNT($F21:$O21)=0),"",ROUND(IFERROR(LARGE($F21:$O21,1),0)*($R$5&gt;=1)+IFERROR(LARGE($F21:$O21,2),0)*($R$5&gt;=2)+IFERROR(LARGE($F21:$O21,3),0)*($R$5&gt;=3)+IFERROR(LARGE($F21:$O21,4),0)*($R$5&gt;=4)+IFERROR(LARGE($F21:$O21,5),0)*($R$5&gt;=5)+IFERROR(LARGE($F21:$O21,6),0)*($R$5&gt;=6)+IFERROR(LARGE($F21:$O21,7),0)*($R$5&gt;=7)+IFERROR(LARGE($F21:$O21,8),0)*($R$5&gt;=8)+IFERROR(LARGE($F21:$O21,9),0)*($R$5&gt;=9)+IFERROR(LARGE($F21:$O21,10),0)*($R$5&gt;=10),1))</f>
        <v/>
      </c>
      <c r="Q21" s="21">
        <f>IF(N($P21)=0,"",$P21/MIN($R$5,COUNT($F21:$O21)))</f>
        <v/>
      </c>
      <c r="R21">
        <f>IFERROR(LARGE(Resultaten!$AC$7:$AC$66,8),"")</f>
        <v/>
      </c>
      <c r="S21">
        <f>IF($R21="","",MATCH($R21,Resultaten!$AC$7:$AC$66,0))</f>
        <v/>
      </c>
    </row>
    <row r="22">
      <c r="A22" s="17" t="n"/>
      <c r="B22" s="18" t="n"/>
      <c r="C22" s="19" t="n"/>
      <c r="D22" s="19" t="n"/>
      <c r="E22" s="20">
        <f>IF($S21="","","Op 100 schutters")</f>
        <v/>
      </c>
      <c r="F22" s="21">
        <f>IF($S21="","",INDEX(Resultaten!$O$7:$X$66,$S21,1))</f>
        <v/>
      </c>
      <c r="G22" s="21">
        <f>IF($S21="","",INDEX(Resultaten!$O$7:$X$66,$S21,2))</f>
        <v/>
      </c>
      <c r="H22" s="21">
        <f>IF($S21="","",INDEX(Resultaten!$O$7:$X$66,$S21,3))</f>
        <v/>
      </c>
      <c r="I22" s="21">
        <f>IF($S21="","",INDEX(Resultaten!$O$7:$X$66,$S21,4))</f>
        <v/>
      </c>
      <c r="J22" s="21">
        <f>IF($S21="","",INDEX(Resultaten!$O$7:$X$66,$S21,5))</f>
        <v/>
      </c>
      <c r="K22" s="21">
        <f>IF($S21="","",INDEX(Resultaten!$O$7:$X$66,$S21,6))</f>
        <v/>
      </c>
      <c r="L22" s="21">
        <f>IF($S21="","",INDEX(Resultaten!$O$7:$X$66,$S21,7))</f>
        <v/>
      </c>
      <c r="M22" s="21">
        <f>IF($S21="","",INDEX(Resultaten!$O$7:$X$66,$S21,8))</f>
        <v/>
      </c>
      <c r="N22" s="21">
        <f>IF($S21="","",INDEX(Resultaten!$O$7:$X$66,$S21,9))</f>
        <v/>
      </c>
      <c r="O22" s="21">
        <f>IF($S21="","",INDEX(Resultaten!$O$7:$X$66,$S21,10))</f>
        <v/>
      </c>
      <c r="P22" s="22">
        <f>IF($S21="","",INDEX(Resultaten!$Y$7:$Y$66,$S21))</f>
        <v/>
      </c>
      <c r="Q22" s="21">
        <f>IF($S21="","",INDEX(Resultaten!$Z$7:$Z$66,$S21))</f>
        <v/>
      </c>
      <c r="S22">
        <f>$S21</f>
        <v/>
      </c>
    </row>
    <row r="23">
      <c r="A23" s="17">
        <f>IF($S23="","",INDEX(Resultaten!$AA$7:$AA$66,$S23))</f>
        <v/>
      </c>
      <c r="B23" s="18">
        <f>IF($S23="","",INDEX(Resultaten!$B$7:$B$66,$S23))</f>
        <v/>
      </c>
      <c r="C23" s="19">
        <f>IF($S23="","",INDEX(Resultaten!$C$7:$C$66,$S23))</f>
        <v/>
      </c>
      <c r="D23" s="19">
        <f>IF($S23="","",INDEX(Resultaten!$D$7:$D$66,$S23))</f>
        <v/>
      </c>
      <c r="E23" s="20">
        <f>IF($S23="","","Geschoten")</f>
        <v/>
      </c>
      <c r="F23" s="19">
        <f>IF($S23="","",IF(INDEX(Resultaten!$E$7:$N$66,$S23,1)="","",INDEX(Resultaten!$E$7:$N$66,$S23,1)))</f>
        <v/>
      </c>
      <c r="G23" s="19">
        <f>IF($S23="","",IF(INDEX(Resultaten!$E$7:$N$66,$S23,2)="","",INDEX(Resultaten!$E$7:$N$66,$S23,2)))</f>
        <v/>
      </c>
      <c r="H23" s="19">
        <f>IF($S23="","",IF(INDEX(Resultaten!$E$7:$N$66,$S23,3)="","",INDEX(Resultaten!$E$7:$N$66,$S23,3)))</f>
        <v/>
      </c>
      <c r="I23" s="19">
        <f>IF($S23="","",IF(INDEX(Resultaten!$E$7:$N$66,$S23,4)="","",INDEX(Resultaten!$E$7:$N$66,$S23,4)))</f>
        <v/>
      </c>
      <c r="J23" s="19">
        <f>IF($S23="","",IF(INDEX(Resultaten!$E$7:$N$66,$S23,5)="","",INDEX(Resultaten!$E$7:$N$66,$S23,5)))</f>
        <v/>
      </c>
      <c r="K23" s="19">
        <f>IF($S23="","",IF(INDEX(Resultaten!$E$7:$N$66,$S23,6)="","",INDEX(Resultaten!$E$7:$N$66,$S23,6)))</f>
        <v/>
      </c>
      <c r="L23" s="19">
        <f>IF($S23="","",IF(INDEX(Resultaten!$E$7:$N$66,$S23,7)="","",INDEX(Resultaten!$E$7:$N$66,$S23,7)))</f>
        <v/>
      </c>
      <c r="M23" s="19">
        <f>IF($S23="","",IF(INDEX(Resultaten!$E$7:$N$66,$S23,8)="","",INDEX(Resultaten!$E$7:$N$66,$S23,8)))</f>
        <v/>
      </c>
      <c r="N23" s="19">
        <f>IF($S23="","",IF(INDEX(Resultaten!$E$7:$N$66,$S23,9)="","",INDEX(Resultaten!$E$7:$N$66,$S23,9)))</f>
        <v/>
      </c>
      <c r="O23" s="19">
        <f>IF($S23="","",IF(INDEX(Resultaten!$E$7:$N$66,$S23,10)="","",INDEX(Resultaten!$E$7:$N$66,$S23,10)))</f>
        <v/>
      </c>
      <c r="P23" s="19">
        <f>IF(OR($S23="",COUNT($F23:$O23)=0),"",ROUND(IFERROR(LARGE($F23:$O23,1),0)*($R$5&gt;=1)+IFERROR(LARGE($F23:$O23,2),0)*($R$5&gt;=2)+IFERROR(LARGE($F23:$O23,3),0)*($R$5&gt;=3)+IFERROR(LARGE($F23:$O23,4),0)*($R$5&gt;=4)+IFERROR(LARGE($F23:$O23,5),0)*($R$5&gt;=5)+IFERROR(LARGE($F23:$O23,6),0)*($R$5&gt;=6)+IFERROR(LARGE($F23:$O23,7),0)*($R$5&gt;=7)+IFERROR(LARGE($F23:$O23,8),0)*($R$5&gt;=8)+IFERROR(LARGE($F23:$O23,9),0)*($R$5&gt;=9)+IFERROR(LARGE($F23:$O23,10),0)*($R$5&gt;=10),1))</f>
        <v/>
      </c>
      <c r="Q23" s="21">
        <f>IF(N($P23)=0,"",$P23/MIN($R$5,COUNT($F23:$O23)))</f>
        <v/>
      </c>
      <c r="R23">
        <f>IFERROR(LARGE(Resultaten!$AC$7:$AC$66,9),"")</f>
        <v/>
      </c>
      <c r="S23">
        <f>IF($R23="","",MATCH($R23,Resultaten!$AC$7:$AC$66,0))</f>
        <v/>
      </c>
    </row>
    <row r="24">
      <c r="A24" s="17" t="n"/>
      <c r="B24" s="18" t="n"/>
      <c r="C24" s="19" t="n"/>
      <c r="D24" s="19" t="n"/>
      <c r="E24" s="20">
        <f>IF($S23="","","Op 100 schutters")</f>
        <v/>
      </c>
      <c r="F24" s="21">
        <f>IF($S23="","",INDEX(Resultaten!$O$7:$X$66,$S23,1))</f>
        <v/>
      </c>
      <c r="G24" s="21">
        <f>IF($S23="","",INDEX(Resultaten!$O$7:$X$66,$S23,2))</f>
        <v/>
      </c>
      <c r="H24" s="21">
        <f>IF($S23="","",INDEX(Resultaten!$O$7:$X$66,$S23,3))</f>
        <v/>
      </c>
      <c r="I24" s="21">
        <f>IF($S23="","",INDEX(Resultaten!$O$7:$X$66,$S23,4))</f>
        <v/>
      </c>
      <c r="J24" s="21">
        <f>IF($S23="","",INDEX(Resultaten!$O$7:$X$66,$S23,5))</f>
        <v/>
      </c>
      <c r="K24" s="21">
        <f>IF($S23="","",INDEX(Resultaten!$O$7:$X$66,$S23,6))</f>
        <v/>
      </c>
      <c r="L24" s="21">
        <f>IF($S23="","",INDEX(Resultaten!$O$7:$X$66,$S23,7))</f>
        <v/>
      </c>
      <c r="M24" s="21">
        <f>IF($S23="","",INDEX(Resultaten!$O$7:$X$66,$S23,8))</f>
        <v/>
      </c>
      <c r="N24" s="21">
        <f>IF($S23="","",INDEX(Resultaten!$O$7:$X$66,$S23,9))</f>
        <v/>
      </c>
      <c r="O24" s="21">
        <f>IF($S23="","",INDEX(Resultaten!$O$7:$X$66,$S23,10))</f>
        <v/>
      </c>
      <c r="P24" s="22">
        <f>IF($S23="","",INDEX(Resultaten!$Y$7:$Y$66,$S23))</f>
        <v/>
      </c>
      <c r="Q24" s="21">
        <f>IF($S23="","",INDEX(Resultaten!$Z$7:$Z$66,$S23))</f>
        <v/>
      </c>
      <c r="S24">
        <f>$S23</f>
        <v/>
      </c>
    </row>
    <row r="25">
      <c r="A25" s="17">
        <f>IF($S25="","",INDEX(Resultaten!$AA$7:$AA$66,$S25))</f>
        <v/>
      </c>
      <c r="B25" s="18">
        <f>IF($S25="","",INDEX(Resultaten!$B$7:$B$66,$S25))</f>
        <v/>
      </c>
      <c r="C25" s="19">
        <f>IF($S25="","",INDEX(Resultaten!$C$7:$C$66,$S25))</f>
        <v/>
      </c>
      <c r="D25" s="19">
        <f>IF($S25="","",INDEX(Resultaten!$D$7:$D$66,$S25))</f>
        <v/>
      </c>
      <c r="E25" s="20">
        <f>IF($S25="","","Geschoten")</f>
        <v/>
      </c>
      <c r="F25" s="19">
        <f>IF($S25="","",IF(INDEX(Resultaten!$E$7:$N$66,$S25,1)="","",INDEX(Resultaten!$E$7:$N$66,$S25,1)))</f>
        <v/>
      </c>
      <c r="G25" s="19">
        <f>IF($S25="","",IF(INDEX(Resultaten!$E$7:$N$66,$S25,2)="","",INDEX(Resultaten!$E$7:$N$66,$S25,2)))</f>
        <v/>
      </c>
      <c r="H25" s="19">
        <f>IF($S25="","",IF(INDEX(Resultaten!$E$7:$N$66,$S25,3)="","",INDEX(Resultaten!$E$7:$N$66,$S25,3)))</f>
        <v/>
      </c>
      <c r="I25" s="19">
        <f>IF($S25="","",IF(INDEX(Resultaten!$E$7:$N$66,$S25,4)="","",INDEX(Resultaten!$E$7:$N$66,$S25,4)))</f>
        <v/>
      </c>
      <c r="J25" s="19">
        <f>IF($S25="","",IF(INDEX(Resultaten!$E$7:$N$66,$S25,5)="","",INDEX(Resultaten!$E$7:$N$66,$S25,5)))</f>
        <v/>
      </c>
      <c r="K25" s="19">
        <f>IF($S25="","",IF(INDEX(Resultaten!$E$7:$N$66,$S25,6)="","",INDEX(Resultaten!$E$7:$N$66,$S25,6)))</f>
        <v/>
      </c>
      <c r="L25" s="19">
        <f>IF($S25="","",IF(INDEX(Resultaten!$E$7:$N$66,$S25,7)="","",INDEX(Resultaten!$E$7:$N$66,$S25,7)))</f>
        <v/>
      </c>
      <c r="M25" s="19">
        <f>IF($S25="","",IF(INDEX(Resultaten!$E$7:$N$66,$S25,8)="","",INDEX(Resultaten!$E$7:$N$66,$S25,8)))</f>
        <v/>
      </c>
      <c r="N25" s="19">
        <f>IF($S25="","",IF(INDEX(Resultaten!$E$7:$N$66,$S25,9)="","",INDEX(Resultaten!$E$7:$N$66,$S25,9)))</f>
        <v/>
      </c>
      <c r="O25" s="19">
        <f>IF($S25="","",IF(INDEX(Resultaten!$E$7:$N$66,$S25,10)="","",INDEX(Resultaten!$E$7:$N$66,$S25,10)))</f>
        <v/>
      </c>
      <c r="P25" s="19">
        <f>IF(OR($S25="",COUNT($F25:$O25)=0),"",ROUND(IFERROR(LARGE($F25:$O25,1),0)*($R$5&gt;=1)+IFERROR(LARGE($F25:$O25,2),0)*($R$5&gt;=2)+IFERROR(LARGE($F25:$O25,3),0)*($R$5&gt;=3)+IFERROR(LARGE($F25:$O25,4),0)*($R$5&gt;=4)+IFERROR(LARGE($F25:$O25,5),0)*($R$5&gt;=5)+IFERROR(LARGE($F25:$O25,6),0)*($R$5&gt;=6)+IFERROR(LARGE($F25:$O25,7),0)*($R$5&gt;=7)+IFERROR(LARGE($F25:$O25,8),0)*($R$5&gt;=8)+IFERROR(LARGE($F25:$O25,9),0)*($R$5&gt;=9)+IFERROR(LARGE($F25:$O25,10),0)*($R$5&gt;=10),1))</f>
        <v/>
      </c>
      <c r="Q25" s="21">
        <f>IF(N($P25)=0,"",$P25/MIN($R$5,COUNT($F25:$O25)))</f>
        <v/>
      </c>
      <c r="R25">
        <f>IFERROR(LARGE(Resultaten!$AC$7:$AC$66,10),"")</f>
        <v/>
      </c>
      <c r="S25">
        <f>IF($R25="","",MATCH($R25,Resultaten!$AC$7:$AC$66,0))</f>
        <v/>
      </c>
    </row>
    <row r="26">
      <c r="A26" s="17" t="n"/>
      <c r="B26" s="18" t="n"/>
      <c r="C26" s="19" t="n"/>
      <c r="D26" s="19" t="n"/>
      <c r="E26" s="20">
        <f>IF($S25="","","Op 100 schutters")</f>
        <v/>
      </c>
      <c r="F26" s="21">
        <f>IF($S25="","",INDEX(Resultaten!$O$7:$X$66,$S25,1))</f>
        <v/>
      </c>
      <c r="G26" s="21">
        <f>IF($S25="","",INDEX(Resultaten!$O$7:$X$66,$S25,2))</f>
        <v/>
      </c>
      <c r="H26" s="21">
        <f>IF($S25="","",INDEX(Resultaten!$O$7:$X$66,$S25,3))</f>
        <v/>
      </c>
      <c r="I26" s="21">
        <f>IF($S25="","",INDEX(Resultaten!$O$7:$X$66,$S25,4))</f>
        <v/>
      </c>
      <c r="J26" s="21">
        <f>IF($S25="","",INDEX(Resultaten!$O$7:$X$66,$S25,5))</f>
        <v/>
      </c>
      <c r="K26" s="21">
        <f>IF($S25="","",INDEX(Resultaten!$O$7:$X$66,$S25,6))</f>
        <v/>
      </c>
      <c r="L26" s="21">
        <f>IF($S25="","",INDEX(Resultaten!$O$7:$X$66,$S25,7))</f>
        <v/>
      </c>
      <c r="M26" s="21">
        <f>IF($S25="","",INDEX(Resultaten!$O$7:$X$66,$S25,8))</f>
        <v/>
      </c>
      <c r="N26" s="21">
        <f>IF($S25="","",INDEX(Resultaten!$O$7:$X$66,$S25,9))</f>
        <v/>
      </c>
      <c r="O26" s="21">
        <f>IF($S25="","",INDEX(Resultaten!$O$7:$X$66,$S25,10))</f>
        <v/>
      </c>
      <c r="P26" s="22">
        <f>IF($S25="","",INDEX(Resultaten!$Y$7:$Y$66,$S25))</f>
        <v/>
      </c>
      <c r="Q26" s="21">
        <f>IF($S25="","",INDEX(Resultaten!$Z$7:$Z$66,$S25))</f>
        <v/>
      </c>
      <c r="S26">
        <f>$S25</f>
        <v/>
      </c>
    </row>
    <row r="27">
      <c r="A27" s="17">
        <f>IF($S27="","",INDEX(Resultaten!$AA$7:$AA$66,$S27))</f>
        <v/>
      </c>
      <c r="B27" s="18">
        <f>IF($S27="","",INDEX(Resultaten!$B$7:$B$66,$S27))</f>
        <v/>
      </c>
      <c r="C27" s="19">
        <f>IF($S27="","",INDEX(Resultaten!$C$7:$C$66,$S27))</f>
        <v/>
      </c>
      <c r="D27" s="19">
        <f>IF($S27="","",INDEX(Resultaten!$D$7:$D$66,$S27))</f>
        <v/>
      </c>
      <c r="E27" s="20">
        <f>IF($S27="","","Geschoten")</f>
        <v/>
      </c>
      <c r="F27" s="19">
        <f>IF($S27="","",IF(INDEX(Resultaten!$E$7:$N$66,$S27,1)="","",INDEX(Resultaten!$E$7:$N$66,$S27,1)))</f>
        <v/>
      </c>
      <c r="G27" s="19">
        <f>IF($S27="","",IF(INDEX(Resultaten!$E$7:$N$66,$S27,2)="","",INDEX(Resultaten!$E$7:$N$66,$S27,2)))</f>
        <v/>
      </c>
      <c r="H27" s="19">
        <f>IF($S27="","",IF(INDEX(Resultaten!$E$7:$N$66,$S27,3)="","",INDEX(Resultaten!$E$7:$N$66,$S27,3)))</f>
        <v/>
      </c>
      <c r="I27" s="19">
        <f>IF($S27="","",IF(INDEX(Resultaten!$E$7:$N$66,$S27,4)="","",INDEX(Resultaten!$E$7:$N$66,$S27,4)))</f>
        <v/>
      </c>
      <c r="J27" s="19">
        <f>IF($S27="","",IF(INDEX(Resultaten!$E$7:$N$66,$S27,5)="","",INDEX(Resultaten!$E$7:$N$66,$S27,5)))</f>
        <v/>
      </c>
      <c r="K27" s="19">
        <f>IF($S27="","",IF(INDEX(Resultaten!$E$7:$N$66,$S27,6)="","",INDEX(Resultaten!$E$7:$N$66,$S27,6)))</f>
        <v/>
      </c>
      <c r="L27" s="19">
        <f>IF($S27="","",IF(INDEX(Resultaten!$E$7:$N$66,$S27,7)="","",INDEX(Resultaten!$E$7:$N$66,$S27,7)))</f>
        <v/>
      </c>
      <c r="M27" s="19">
        <f>IF($S27="","",IF(INDEX(Resultaten!$E$7:$N$66,$S27,8)="","",INDEX(Resultaten!$E$7:$N$66,$S27,8)))</f>
        <v/>
      </c>
      <c r="N27" s="19">
        <f>IF($S27="","",IF(INDEX(Resultaten!$E$7:$N$66,$S27,9)="","",INDEX(Resultaten!$E$7:$N$66,$S27,9)))</f>
        <v/>
      </c>
      <c r="O27" s="19">
        <f>IF($S27="","",IF(INDEX(Resultaten!$E$7:$N$66,$S27,10)="","",INDEX(Resultaten!$E$7:$N$66,$S27,10)))</f>
        <v/>
      </c>
      <c r="P27" s="19">
        <f>IF(OR($S27="",COUNT($F27:$O27)=0),"",ROUND(IFERROR(LARGE($F27:$O27,1),0)*($R$5&gt;=1)+IFERROR(LARGE($F27:$O27,2),0)*($R$5&gt;=2)+IFERROR(LARGE($F27:$O27,3),0)*($R$5&gt;=3)+IFERROR(LARGE($F27:$O27,4),0)*($R$5&gt;=4)+IFERROR(LARGE($F27:$O27,5),0)*($R$5&gt;=5)+IFERROR(LARGE($F27:$O27,6),0)*($R$5&gt;=6)+IFERROR(LARGE($F27:$O27,7),0)*($R$5&gt;=7)+IFERROR(LARGE($F27:$O27,8),0)*($R$5&gt;=8)+IFERROR(LARGE($F27:$O27,9),0)*($R$5&gt;=9)+IFERROR(LARGE($F27:$O27,10),0)*($R$5&gt;=10),1))</f>
        <v/>
      </c>
      <c r="Q27" s="21">
        <f>IF(N($P27)=0,"",$P27/MIN($R$5,COUNT($F27:$O27)))</f>
        <v/>
      </c>
      <c r="R27">
        <f>IFERROR(LARGE(Resultaten!$AC$7:$AC$66,11),"")</f>
        <v/>
      </c>
      <c r="S27">
        <f>IF($R27="","",MATCH($R27,Resultaten!$AC$7:$AC$66,0))</f>
        <v/>
      </c>
    </row>
    <row r="28">
      <c r="A28" s="17" t="n"/>
      <c r="B28" s="18" t="n"/>
      <c r="C28" s="19" t="n"/>
      <c r="D28" s="19" t="n"/>
      <c r="E28" s="20">
        <f>IF($S27="","","Op 100 schutters")</f>
        <v/>
      </c>
      <c r="F28" s="21">
        <f>IF($S27="","",INDEX(Resultaten!$O$7:$X$66,$S27,1))</f>
        <v/>
      </c>
      <c r="G28" s="21">
        <f>IF($S27="","",INDEX(Resultaten!$O$7:$X$66,$S27,2))</f>
        <v/>
      </c>
      <c r="H28" s="21">
        <f>IF($S27="","",INDEX(Resultaten!$O$7:$X$66,$S27,3))</f>
        <v/>
      </c>
      <c r="I28" s="21">
        <f>IF($S27="","",INDEX(Resultaten!$O$7:$X$66,$S27,4))</f>
        <v/>
      </c>
      <c r="J28" s="21">
        <f>IF($S27="","",INDEX(Resultaten!$O$7:$X$66,$S27,5))</f>
        <v/>
      </c>
      <c r="K28" s="21">
        <f>IF($S27="","",INDEX(Resultaten!$O$7:$X$66,$S27,6))</f>
        <v/>
      </c>
      <c r="L28" s="21">
        <f>IF($S27="","",INDEX(Resultaten!$O$7:$X$66,$S27,7))</f>
        <v/>
      </c>
      <c r="M28" s="21">
        <f>IF($S27="","",INDEX(Resultaten!$O$7:$X$66,$S27,8))</f>
        <v/>
      </c>
      <c r="N28" s="21">
        <f>IF($S27="","",INDEX(Resultaten!$O$7:$X$66,$S27,9))</f>
        <v/>
      </c>
      <c r="O28" s="21">
        <f>IF($S27="","",INDEX(Resultaten!$O$7:$X$66,$S27,10))</f>
        <v/>
      </c>
      <c r="P28" s="22">
        <f>IF($S27="","",INDEX(Resultaten!$Y$7:$Y$66,$S27))</f>
        <v/>
      </c>
      <c r="Q28" s="21">
        <f>IF($S27="","",INDEX(Resultaten!$Z$7:$Z$66,$S27))</f>
        <v/>
      </c>
      <c r="S28">
        <f>$S27</f>
        <v/>
      </c>
    </row>
    <row r="29">
      <c r="A29" s="17">
        <f>IF($S29="","",INDEX(Resultaten!$AA$7:$AA$66,$S29))</f>
        <v/>
      </c>
      <c r="B29" s="18">
        <f>IF($S29="","",INDEX(Resultaten!$B$7:$B$66,$S29))</f>
        <v/>
      </c>
      <c r="C29" s="19">
        <f>IF($S29="","",INDEX(Resultaten!$C$7:$C$66,$S29))</f>
        <v/>
      </c>
      <c r="D29" s="19">
        <f>IF($S29="","",INDEX(Resultaten!$D$7:$D$66,$S29))</f>
        <v/>
      </c>
      <c r="E29" s="20">
        <f>IF($S29="","","Geschoten")</f>
        <v/>
      </c>
      <c r="F29" s="19">
        <f>IF($S29="","",IF(INDEX(Resultaten!$E$7:$N$66,$S29,1)="","",INDEX(Resultaten!$E$7:$N$66,$S29,1)))</f>
        <v/>
      </c>
      <c r="G29" s="19">
        <f>IF($S29="","",IF(INDEX(Resultaten!$E$7:$N$66,$S29,2)="","",INDEX(Resultaten!$E$7:$N$66,$S29,2)))</f>
        <v/>
      </c>
      <c r="H29" s="19">
        <f>IF($S29="","",IF(INDEX(Resultaten!$E$7:$N$66,$S29,3)="","",INDEX(Resultaten!$E$7:$N$66,$S29,3)))</f>
        <v/>
      </c>
      <c r="I29" s="19">
        <f>IF($S29="","",IF(INDEX(Resultaten!$E$7:$N$66,$S29,4)="","",INDEX(Resultaten!$E$7:$N$66,$S29,4)))</f>
        <v/>
      </c>
      <c r="J29" s="19">
        <f>IF($S29="","",IF(INDEX(Resultaten!$E$7:$N$66,$S29,5)="","",INDEX(Resultaten!$E$7:$N$66,$S29,5)))</f>
        <v/>
      </c>
      <c r="K29" s="19">
        <f>IF($S29="","",IF(INDEX(Resultaten!$E$7:$N$66,$S29,6)="","",INDEX(Resultaten!$E$7:$N$66,$S29,6)))</f>
        <v/>
      </c>
      <c r="L29" s="19">
        <f>IF($S29="","",IF(INDEX(Resultaten!$E$7:$N$66,$S29,7)="","",INDEX(Resultaten!$E$7:$N$66,$S29,7)))</f>
        <v/>
      </c>
      <c r="M29" s="19">
        <f>IF($S29="","",IF(INDEX(Resultaten!$E$7:$N$66,$S29,8)="","",INDEX(Resultaten!$E$7:$N$66,$S29,8)))</f>
        <v/>
      </c>
      <c r="N29" s="19">
        <f>IF($S29="","",IF(INDEX(Resultaten!$E$7:$N$66,$S29,9)="","",INDEX(Resultaten!$E$7:$N$66,$S29,9)))</f>
        <v/>
      </c>
      <c r="O29" s="19">
        <f>IF($S29="","",IF(INDEX(Resultaten!$E$7:$N$66,$S29,10)="","",INDEX(Resultaten!$E$7:$N$66,$S29,10)))</f>
        <v/>
      </c>
      <c r="P29" s="19">
        <f>IF(OR($S29="",COUNT($F29:$O29)=0),"",ROUND(IFERROR(LARGE($F29:$O29,1),0)*($R$5&gt;=1)+IFERROR(LARGE($F29:$O29,2),0)*($R$5&gt;=2)+IFERROR(LARGE($F29:$O29,3),0)*($R$5&gt;=3)+IFERROR(LARGE($F29:$O29,4),0)*($R$5&gt;=4)+IFERROR(LARGE($F29:$O29,5),0)*($R$5&gt;=5)+IFERROR(LARGE($F29:$O29,6),0)*($R$5&gt;=6)+IFERROR(LARGE($F29:$O29,7),0)*($R$5&gt;=7)+IFERROR(LARGE($F29:$O29,8),0)*($R$5&gt;=8)+IFERROR(LARGE($F29:$O29,9),0)*($R$5&gt;=9)+IFERROR(LARGE($F29:$O29,10),0)*($R$5&gt;=10),1))</f>
        <v/>
      </c>
      <c r="Q29" s="21">
        <f>IF(N($P29)=0,"",$P29/MIN($R$5,COUNT($F29:$O29)))</f>
        <v/>
      </c>
      <c r="R29">
        <f>IFERROR(LARGE(Resultaten!$AC$7:$AC$66,12),"")</f>
        <v/>
      </c>
      <c r="S29">
        <f>IF($R29="","",MATCH($R29,Resultaten!$AC$7:$AC$66,0))</f>
        <v/>
      </c>
    </row>
    <row r="30">
      <c r="A30" s="17" t="n"/>
      <c r="B30" s="18" t="n"/>
      <c r="C30" s="19" t="n"/>
      <c r="D30" s="19" t="n"/>
      <c r="E30" s="20">
        <f>IF($S29="","","Op 100 schutters")</f>
        <v/>
      </c>
      <c r="F30" s="21">
        <f>IF($S29="","",INDEX(Resultaten!$O$7:$X$66,$S29,1))</f>
        <v/>
      </c>
      <c r="G30" s="21">
        <f>IF($S29="","",INDEX(Resultaten!$O$7:$X$66,$S29,2))</f>
        <v/>
      </c>
      <c r="H30" s="21">
        <f>IF($S29="","",INDEX(Resultaten!$O$7:$X$66,$S29,3))</f>
        <v/>
      </c>
      <c r="I30" s="21">
        <f>IF($S29="","",INDEX(Resultaten!$O$7:$X$66,$S29,4))</f>
        <v/>
      </c>
      <c r="J30" s="21">
        <f>IF($S29="","",INDEX(Resultaten!$O$7:$X$66,$S29,5))</f>
        <v/>
      </c>
      <c r="K30" s="21">
        <f>IF($S29="","",INDEX(Resultaten!$O$7:$X$66,$S29,6))</f>
        <v/>
      </c>
      <c r="L30" s="21">
        <f>IF($S29="","",INDEX(Resultaten!$O$7:$X$66,$S29,7))</f>
        <v/>
      </c>
      <c r="M30" s="21">
        <f>IF($S29="","",INDEX(Resultaten!$O$7:$X$66,$S29,8))</f>
        <v/>
      </c>
      <c r="N30" s="21">
        <f>IF($S29="","",INDEX(Resultaten!$O$7:$X$66,$S29,9))</f>
        <v/>
      </c>
      <c r="O30" s="21">
        <f>IF($S29="","",INDEX(Resultaten!$O$7:$X$66,$S29,10))</f>
        <v/>
      </c>
      <c r="P30" s="22">
        <f>IF($S29="","",INDEX(Resultaten!$Y$7:$Y$66,$S29))</f>
        <v/>
      </c>
      <c r="Q30" s="21">
        <f>IF($S29="","",INDEX(Resultaten!$Z$7:$Z$66,$S29))</f>
        <v/>
      </c>
      <c r="S30">
        <f>$S29</f>
        <v/>
      </c>
    </row>
    <row r="31">
      <c r="A31" s="17">
        <f>IF($S31="","",INDEX(Resultaten!$AA$7:$AA$66,$S31))</f>
        <v/>
      </c>
      <c r="B31" s="18">
        <f>IF($S31="","",INDEX(Resultaten!$B$7:$B$66,$S31))</f>
        <v/>
      </c>
      <c r="C31" s="19">
        <f>IF($S31="","",INDEX(Resultaten!$C$7:$C$66,$S31))</f>
        <v/>
      </c>
      <c r="D31" s="19">
        <f>IF($S31="","",INDEX(Resultaten!$D$7:$D$66,$S31))</f>
        <v/>
      </c>
      <c r="E31" s="20">
        <f>IF($S31="","","Geschoten")</f>
        <v/>
      </c>
      <c r="F31" s="19">
        <f>IF($S31="","",IF(INDEX(Resultaten!$E$7:$N$66,$S31,1)="","",INDEX(Resultaten!$E$7:$N$66,$S31,1)))</f>
        <v/>
      </c>
      <c r="G31" s="19">
        <f>IF($S31="","",IF(INDEX(Resultaten!$E$7:$N$66,$S31,2)="","",INDEX(Resultaten!$E$7:$N$66,$S31,2)))</f>
        <v/>
      </c>
      <c r="H31" s="19">
        <f>IF($S31="","",IF(INDEX(Resultaten!$E$7:$N$66,$S31,3)="","",INDEX(Resultaten!$E$7:$N$66,$S31,3)))</f>
        <v/>
      </c>
      <c r="I31" s="19">
        <f>IF($S31="","",IF(INDEX(Resultaten!$E$7:$N$66,$S31,4)="","",INDEX(Resultaten!$E$7:$N$66,$S31,4)))</f>
        <v/>
      </c>
      <c r="J31" s="19">
        <f>IF($S31="","",IF(INDEX(Resultaten!$E$7:$N$66,$S31,5)="","",INDEX(Resultaten!$E$7:$N$66,$S31,5)))</f>
        <v/>
      </c>
      <c r="K31" s="19">
        <f>IF($S31="","",IF(INDEX(Resultaten!$E$7:$N$66,$S31,6)="","",INDEX(Resultaten!$E$7:$N$66,$S31,6)))</f>
        <v/>
      </c>
      <c r="L31" s="19">
        <f>IF($S31="","",IF(INDEX(Resultaten!$E$7:$N$66,$S31,7)="","",INDEX(Resultaten!$E$7:$N$66,$S31,7)))</f>
        <v/>
      </c>
      <c r="M31" s="19">
        <f>IF($S31="","",IF(INDEX(Resultaten!$E$7:$N$66,$S31,8)="","",INDEX(Resultaten!$E$7:$N$66,$S31,8)))</f>
        <v/>
      </c>
      <c r="N31" s="19">
        <f>IF($S31="","",IF(INDEX(Resultaten!$E$7:$N$66,$S31,9)="","",INDEX(Resultaten!$E$7:$N$66,$S31,9)))</f>
        <v/>
      </c>
      <c r="O31" s="19">
        <f>IF($S31="","",IF(INDEX(Resultaten!$E$7:$N$66,$S31,10)="","",INDEX(Resultaten!$E$7:$N$66,$S31,10)))</f>
        <v/>
      </c>
      <c r="P31" s="19">
        <f>IF(OR($S31="",COUNT($F31:$O31)=0),"",ROUND(IFERROR(LARGE($F31:$O31,1),0)*($R$5&gt;=1)+IFERROR(LARGE($F31:$O31,2),0)*($R$5&gt;=2)+IFERROR(LARGE($F31:$O31,3),0)*($R$5&gt;=3)+IFERROR(LARGE($F31:$O31,4),0)*($R$5&gt;=4)+IFERROR(LARGE($F31:$O31,5),0)*($R$5&gt;=5)+IFERROR(LARGE($F31:$O31,6),0)*($R$5&gt;=6)+IFERROR(LARGE($F31:$O31,7),0)*($R$5&gt;=7)+IFERROR(LARGE($F31:$O31,8),0)*($R$5&gt;=8)+IFERROR(LARGE($F31:$O31,9),0)*($R$5&gt;=9)+IFERROR(LARGE($F31:$O31,10),0)*($R$5&gt;=10),1))</f>
        <v/>
      </c>
      <c r="Q31" s="21">
        <f>IF(N($P31)=0,"",$P31/MIN($R$5,COUNT($F31:$O31)))</f>
        <v/>
      </c>
      <c r="R31">
        <f>IFERROR(LARGE(Resultaten!$AC$7:$AC$66,13),"")</f>
        <v/>
      </c>
      <c r="S31">
        <f>IF($R31="","",MATCH($R31,Resultaten!$AC$7:$AC$66,0))</f>
        <v/>
      </c>
    </row>
    <row r="32">
      <c r="A32" s="17" t="n"/>
      <c r="B32" s="18" t="n"/>
      <c r="C32" s="19" t="n"/>
      <c r="D32" s="19" t="n"/>
      <c r="E32" s="20">
        <f>IF($S31="","","Op 100 schutters")</f>
        <v/>
      </c>
      <c r="F32" s="21">
        <f>IF($S31="","",INDEX(Resultaten!$O$7:$X$66,$S31,1))</f>
        <v/>
      </c>
      <c r="G32" s="21">
        <f>IF($S31="","",INDEX(Resultaten!$O$7:$X$66,$S31,2))</f>
        <v/>
      </c>
      <c r="H32" s="21">
        <f>IF($S31="","",INDEX(Resultaten!$O$7:$X$66,$S31,3))</f>
        <v/>
      </c>
      <c r="I32" s="21">
        <f>IF($S31="","",INDEX(Resultaten!$O$7:$X$66,$S31,4))</f>
        <v/>
      </c>
      <c r="J32" s="21">
        <f>IF($S31="","",INDEX(Resultaten!$O$7:$X$66,$S31,5))</f>
        <v/>
      </c>
      <c r="K32" s="21">
        <f>IF($S31="","",INDEX(Resultaten!$O$7:$X$66,$S31,6))</f>
        <v/>
      </c>
      <c r="L32" s="21">
        <f>IF($S31="","",INDEX(Resultaten!$O$7:$X$66,$S31,7))</f>
        <v/>
      </c>
      <c r="M32" s="21">
        <f>IF($S31="","",INDEX(Resultaten!$O$7:$X$66,$S31,8))</f>
        <v/>
      </c>
      <c r="N32" s="21">
        <f>IF($S31="","",INDEX(Resultaten!$O$7:$X$66,$S31,9))</f>
        <v/>
      </c>
      <c r="O32" s="21">
        <f>IF($S31="","",INDEX(Resultaten!$O$7:$X$66,$S31,10))</f>
        <v/>
      </c>
      <c r="P32" s="22">
        <f>IF($S31="","",INDEX(Resultaten!$Y$7:$Y$66,$S31))</f>
        <v/>
      </c>
      <c r="Q32" s="21">
        <f>IF($S31="","",INDEX(Resultaten!$Z$7:$Z$66,$S31))</f>
        <v/>
      </c>
      <c r="S32">
        <f>$S31</f>
        <v/>
      </c>
    </row>
    <row r="33">
      <c r="A33" s="17">
        <f>IF($S33="","",INDEX(Resultaten!$AA$7:$AA$66,$S33))</f>
        <v/>
      </c>
      <c r="B33" s="18">
        <f>IF($S33="","",INDEX(Resultaten!$B$7:$B$66,$S33))</f>
        <v/>
      </c>
      <c r="C33" s="19">
        <f>IF($S33="","",INDEX(Resultaten!$C$7:$C$66,$S33))</f>
        <v/>
      </c>
      <c r="D33" s="19">
        <f>IF($S33="","",INDEX(Resultaten!$D$7:$D$66,$S33))</f>
        <v/>
      </c>
      <c r="E33" s="20">
        <f>IF($S33="","","Geschoten")</f>
        <v/>
      </c>
      <c r="F33" s="19">
        <f>IF($S33="","",IF(INDEX(Resultaten!$E$7:$N$66,$S33,1)="","",INDEX(Resultaten!$E$7:$N$66,$S33,1)))</f>
        <v/>
      </c>
      <c r="G33" s="19">
        <f>IF($S33="","",IF(INDEX(Resultaten!$E$7:$N$66,$S33,2)="","",INDEX(Resultaten!$E$7:$N$66,$S33,2)))</f>
        <v/>
      </c>
      <c r="H33" s="19">
        <f>IF($S33="","",IF(INDEX(Resultaten!$E$7:$N$66,$S33,3)="","",INDEX(Resultaten!$E$7:$N$66,$S33,3)))</f>
        <v/>
      </c>
      <c r="I33" s="19">
        <f>IF($S33="","",IF(INDEX(Resultaten!$E$7:$N$66,$S33,4)="","",INDEX(Resultaten!$E$7:$N$66,$S33,4)))</f>
        <v/>
      </c>
      <c r="J33" s="19">
        <f>IF($S33="","",IF(INDEX(Resultaten!$E$7:$N$66,$S33,5)="","",INDEX(Resultaten!$E$7:$N$66,$S33,5)))</f>
        <v/>
      </c>
      <c r="K33" s="19">
        <f>IF($S33="","",IF(INDEX(Resultaten!$E$7:$N$66,$S33,6)="","",INDEX(Resultaten!$E$7:$N$66,$S33,6)))</f>
        <v/>
      </c>
      <c r="L33" s="19">
        <f>IF($S33="","",IF(INDEX(Resultaten!$E$7:$N$66,$S33,7)="","",INDEX(Resultaten!$E$7:$N$66,$S33,7)))</f>
        <v/>
      </c>
      <c r="M33" s="19">
        <f>IF($S33="","",IF(INDEX(Resultaten!$E$7:$N$66,$S33,8)="","",INDEX(Resultaten!$E$7:$N$66,$S33,8)))</f>
        <v/>
      </c>
      <c r="N33" s="19">
        <f>IF($S33="","",IF(INDEX(Resultaten!$E$7:$N$66,$S33,9)="","",INDEX(Resultaten!$E$7:$N$66,$S33,9)))</f>
        <v/>
      </c>
      <c r="O33" s="19">
        <f>IF($S33="","",IF(INDEX(Resultaten!$E$7:$N$66,$S33,10)="","",INDEX(Resultaten!$E$7:$N$66,$S33,10)))</f>
        <v/>
      </c>
      <c r="P33" s="19">
        <f>IF(OR($S33="",COUNT($F33:$O33)=0),"",ROUND(IFERROR(LARGE($F33:$O33,1),0)*($R$5&gt;=1)+IFERROR(LARGE($F33:$O33,2),0)*($R$5&gt;=2)+IFERROR(LARGE($F33:$O33,3),0)*($R$5&gt;=3)+IFERROR(LARGE($F33:$O33,4),0)*($R$5&gt;=4)+IFERROR(LARGE($F33:$O33,5),0)*($R$5&gt;=5)+IFERROR(LARGE($F33:$O33,6),0)*($R$5&gt;=6)+IFERROR(LARGE($F33:$O33,7),0)*($R$5&gt;=7)+IFERROR(LARGE($F33:$O33,8),0)*($R$5&gt;=8)+IFERROR(LARGE($F33:$O33,9),0)*($R$5&gt;=9)+IFERROR(LARGE($F33:$O33,10),0)*($R$5&gt;=10),1))</f>
        <v/>
      </c>
      <c r="Q33" s="21">
        <f>IF(N($P33)=0,"",$P33/MIN($R$5,COUNT($F33:$O33)))</f>
        <v/>
      </c>
      <c r="R33">
        <f>IFERROR(LARGE(Resultaten!$AC$7:$AC$66,14),"")</f>
        <v/>
      </c>
      <c r="S33">
        <f>IF($R33="","",MATCH($R33,Resultaten!$AC$7:$AC$66,0))</f>
        <v/>
      </c>
    </row>
    <row r="34">
      <c r="A34" s="17" t="n"/>
      <c r="B34" s="18" t="n"/>
      <c r="C34" s="19" t="n"/>
      <c r="D34" s="19" t="n"/>
      <c r="E34" s="20">
        <f>IF($S33="","","Op 100 schutters")</f>
        <v/>
      </c>
      <c r="F34" s="21">
        <f>IF($S33="","",INDEX(Resultaten!$O$7:$X$66,$S33,1))</f>
        <v/>
      </c>
      <c r="G34" s="21">
        <f>IF($S33="","",INDEX(Resultaten!$O$7:$X$66,$S33,2))</f>
        <v/>
      </c>
      <c r="H34" s="21">
        <f>IF($S33="","",INDEX(Resultaten!$O$7:$X$66,$S33,3))</f>
        <v/>
      </c>
      <c r="I34" s="21">
        <f>IF($S33="","",INDEX(Resultaten!$O$7:$X$66,$S33,4))</f>
        <v/>
      </c>
      <c r="J34" s="21">
        <f>IF($S33="","",INDEX(Resultaten!$O$7:$X$66,$S33,5))</f>
        <v/>
      </c>
      <c r="K34" s="21">
        <f>IF($S33="","",INDEX(Resultaten!$O$7:$X$66,$S33,6))</f>
        <v/>
      </c>
      <c r="L34" s="21">
        <f>IF($S33="","",INDEX(Resultaten!$O$7:$X$66,$S33,7))</f>
        <v/>
      </c>
      <c r="M34" s="21">
        <f>IF($S33="","",INDEX(Resultaten!$O$7:$X$66,$S33,8))</f>
        <v/>
      </c>
      <c r="N34" s="21">
        <f>IF($S33="","",INDEX(Resultaten!$O$7:$X$66,$S33,9))</f>
        <v/>
      </c>
      <c r="O34" s="21">
        <f>IF($S33="","",INDEX(Resultaten!$O$7:$X$66,$S33,10))</f>
        <v/>
      </c>
      <c r="P34" s="22">
        <f>IF($S33="","",INDEX(Resultaten!$Y$7:$Y$66,$S33))</f>
        <v/>
      </c>
      <c r="Q34" s="21">
        <f>IF($S33="","",INDEX(Resultaten!$Z$7:$Z$66,$S33))</f>
        <v/>
      </c>
      <c r="S34">
        <f>$S33</f>
        <v/>
      </c>
    </row>
    <row r="35">
      <c r="A35" s="17">
        <f>IF($S35="","",INDEX(Resultaten!$AA$7:$AA$66,$S35))</f>
        <v/>
      </c>
      <c r="B35" s="18">
        <f>IF($S35="","",INDEX(Resultaten!$B$7:$B$66,$S35))</f>
        <v/>
      </c>
      <c r="C35" s="19">
        <f>IF($S35="","",INDEX(Resultaten!$C$7:$C$66,$S35))</f>
        <v/>
      </c>
      <c r="D35" s="19">
        <f>IF($S35="","",INDEX(Resultaten!$D$7:$D$66,$S35))</f>
        <v/>
      </c>
      <c r="E35" s="20">
        <f>IF($S35="","","Geschoten")</f>
        <v/>
      </c>
      <c r="F35" s="19">
        <f>IF($S35="","",IF(INDEX(Resultaten!$E$7:$N$66,$S35,1)="","",INDEX(Resultaten!$E$7:$N$66,$S35,1)))</f>
        <v/>
      </c>
      <c r="G35" s="19">
        <f>IF($S35="","",IF(INDEX(Resultaten!$E$7:$N$66,$S35,2)="","",INDEX(Resultaten!$E$7:$N$66,$S35,2)))</f>
        <v/>
      </c>
      <c r="H35" s="19">
        <f>IF($S35="","",IF(INDEX(Resultaten!$E$7:$N$66,$S35,3)="","",INDEX(Resultaten!$E$7:$N$66,$S35,3)))</f>
        <v/>
      </c>
      <c r="I35" s="19">
        <f>IF($S35="","",IF(INDEX(Resultaten!$E$7:$N$66,$S35,4)="","",INDEX(Resultaten!$E$7:$N$66,$S35,4)))</f>
        <v/>
      </c>
      <c r="J35" s="19">
        <f>IF($S35="","",IF(INDEX(Resultaten!$E$7:$N$66,$S35,5)="","",INDEX(Resultaten!$E$7:$N$66,$S35,5)))</f>
        <v/>
      </c>
      <c r="K35" s="19">
        <f>IF($S35="","",IF(INDEX(Resultaten!$E$7:$N$66,$S35,6)="","",INDEX(Resultaten!$E$7:$N$66,$S35,6)))</f>
        <v/>
      </c>
      <c r="L35" s="19">
        <f>IF($S35="","",IF(INDEX(Resultaten!$E$7:$N$66,$S35,7)="","",INDEX(Resultaten!$E$7:$N$66,$S35,7)))</f>
        <v/>
      </c>
      <c r="M35" s="19">
        <f>IF($S35="","",IF(INDEX(Resultaten!$E$7:$N$66,$S35,8)="","",INDEX(Resultaten!$E$7:$N$66,$S35,8)))</f>
        <v/>
      </c>
      <c r="N35" s="19">
        <f>IF($S35="","",IF(INDEX(Resultaten!$E$7:$N$66,$S35,9)="","",INDEX(Resultaten!$E$7:$N$66,$S35,9)))</f>
        <v/>
      </c>
      <c r="O35" s="19">
        <f>IF($S35="","",IF(INDEX(Resultaten!$E$7:$N$66,$S35,10)="","",INDEX(Resultaten!$E$7:$N$66,$S35,10)))</f>
        <v/>
      </c>
      <c r="P35" s="19">
        <f>IF(OR($S35="",COUNT($F35:$O35)=0),"",ROUND(IFERROR(LARGE($F35:$O35,1),0)*($R$5&gt;=1)+IFERROR(LARGE($F35:$O35,2),0)*($R$5&gt;=2)+IFERROR(LARGE($F35:$O35,3),0)*($R$5&gt;=3)+IFERROR(LARGE($F35:$O35,4),0)*($R$5&gt;=4)+IFERROR(LARGE($F35:$O35,5),0)*($R$5&gt;=5)+IFERROR(LARGE($F35:$O35,6),0)*($R$5&gt;=6)+IFERROR(LARGE($F35:$O35,7),0)*($R$5&gt;=7)+IFERROR(LARGE($F35:$O35,8),0)*($R$5&gt;=8)+IFERROR(LARGE($F35:$O35,9),0)*($R$5&gt;=9)+IFERROR(LARGE($F35:$O35,10),0)*($R$5&gt;=10),1))</f>
        <v/>
      </c>
      <c r="Q35" s="21">
        <f>IF(N($P35)=0,"",$P35/MIN($R$5,COUNT($F35:$O35)))</f>
        <v/>
      </c>
      <c r="R35">
        <f>IFERROR(LARGE(Resultaten!$AC$7:$AC$66,15),"")</f>
        <v/>
      </c>
      <c r="S35">
        <f>IF($R35="","",MATCH($R35,Resultaten!$AC$7:$AC$66,0))</f>
        <v/>
      </c>
    </row>
    <row r="36">
      <c r="A36" s="17" t="n"/>
      <c r="B36" s="18" t="n"/>
      <c r="C36" s="19" t="n"/>
      <c r="D36" s="19" t="n"/>
      <c r="E36" s="20">
        <f>IF($S35="","","Op 100 schutters")</f>
        <v/>
      </c>
      <c r="F36" s="21">
        <f>IF($S35="","",INDEX(Resultaten!$O$7:$X$66,$S35,1))</f>
        <v/>
      </c>
      <c r="G36" s="21">
        <f>IF($S35="","",INDEX(Resultaten!$O$7:$X$66,$S35,2))</f>
        <v/>
      </c>
      <c r="H36" s="21">
        <f>IF($S35="","",INDEX(Resultaten!$O$7:$X$66,$S35,3))</f>
        <v/>
      </c>
      <c r="I36" s="21">
        <f>IF($S35="","",INDEX(Resultaten!$O$7:$X$66,$S35,4))</f>
        <v/>
      </c>
      <c r="J36" s="21">
        <f>IF($S35="","",INDEX(Resultaten!$O$7:$X$66,$S35,5))</f>
        <v/>
      </c>
      <c r="K36" s="21">
        <f>IF($S35="","",INDEX(Resultaten!$O$7:$X$66,$S35,6))</f>
        <v/>
      </c>
      <c r="L36" s="21">
        <f>IF($S35="","",INDEX(Resultaten!$O$7:$X$66,$S35,7))</f>
        <v/>
      </c>
      <c r="M36" s="21">
        <f>IF($S35="","",INDEX(Resultaten!$O$7:$X$66,$S35,8))</f>
        <v/>
      </c>
      <c r="N36" s="21">
        <f>IF($S35="","",INDEX(Resultaten!$O$7:$X$66,$S35,9))</f>
        <v/>
      </c>
      <c r="O36" s="21">
        <f>IF($S35="","",INDEX(Resultaten!$O$7:$X$66,$S35,10))</f>
        <v/>
      </c>
      <c r="P36" s="22">
        <f>IF($S35="","",INDEX(Resultaten!$Y$7:$Y$66,$S35))</f>
        <v/>
      </c>
      <c r="Q36" s="21">
        <f>IF($S35="","",INDEX(Resultaten!$Z$7:$Z$66,$S35))</f>
        <v/>
      </c>
      <c r="S36">
        <f>$S35</f>
        <v/>
      </c>
    </row>
    <row r="37">
      <c r="A37" s="17">
        <f>IF($S37="","",INDEX(Resultaten!$AA$7:$AA$66,$S37))</f>
        <v/>
      </c>
      <c r="B37" s="18">
        <f>IF($S37="","",INDEX(Resultaten!$B$7:$B$66,$S37))</f>
        <v/>
      </c>
      <c r="C37" s="19">
        <f>IF($S37="","",INDEX(Resultaten!$C$7:$C$66,$S37))</f>
        <v/>
      </c>
      <c r="D37" s="19">
        <f>IF($S37="","",INDEX(Resultaten!$D$7:$D$66,$S37))</f>
        <v/>
      </c>
      <c r="E37" s="20">
        <f>IF($S37="","","Geschoten")</f>
        <v/>
      </c>
      <c r="F37" s="19">
        <f>IF($S37="","",IF(INDEX(Resultaten!$E$7:$N$66,$S37,1)="","",INDEX(Resultaten!$E$7:$N$66,$S37,1)))</f>
        <v/>
      </c>
      <c r="G37" s="19">
        <f>IF($S37="","",IF(INDEX(Resultaten!$E$7:$N$66,$S37,2)="","",INDEX(Resultaten!$E$7:$N$66,$S37,2)))</f>
        <v/>
      </c>
      <c r="H37" s="19">
        <f>IF($S37="","",IF(INDEX(Resultaten!$E$7:$N$66,$S37,3)="","",INDEX(Resultaten!$E$7:$N$66,$S37,3)))</f>
        <v/>
      </c>
      <c r="I37" s="19">
        <f>IF($S37="","",IF(INDEX(Resultaten!$E$7:$N$66,$S37,4)="","",INDEX(Resultaten!$E$7:$N$66,$S37,4)))</f>
        <v/>
      </c>
      <c r="J37" s="19">
        <f>IF($S37="","",IF(INDEX(Resultaten!$E$7:$N$66,$S37,5)="","",INDEX(Resultaten!$E$7:$N$66,$S37,5)))</f>
        <v/>
      </c>
      <c r="K37" s="19">
        <f>IF($S37="","",IF(INDEX(Resultaten!$E$7:$N$66,$S37,6)="","",INDEX(Resultaten!$E$7:$N$66,$S37,6)))</f>
        <v/>
      </c>
      <c r="L37" s="19">
        <f>IF($S37="","",IF(INDEX(Resultaten!$E$7:$N$66,$S37,7)="","",INDEX(Resultaten!$E$7:$N$66,$S37,7)))</f>
        <v/>
      </c>
      <c r="M37" s="19">
        <f>IF($S37="","",IF(INDEX(Resultaten!$E$7:$N$66,$S37,8)="","",INDEX(Resultaten!$E$7:$N$66,$S37,8)))</f>
        <v/>
      </c>
      <c r="N37" s="19">
        <f>IF($S37="","",IF(INDEX(Resultaten!$E$7:$N$66,$S37,9)="","",INDEX(Resultaten!$E$7:$N$66,$S37,9)))</f>
        <v/>
      </c>
      <c r="O37" s="19">
        <f>IF($S37="","",IF(INDEX(Resultaten!$E$7:$N$66,$S37,10)="","",INDEX(Resultaten!$E$7:$N$66,$S37,10)))</f>
        <v/>
      </c>
      <c r="P37" s="19">
        <f>IF(OR($S37="",COUNT($F37:$O37)=0),"",ROUND(IFERROR(LARGE($F37:$O37,1),0)*($R$5&gt;=1)+IFERROR(LARGE($F37:$O37,2),0)*($R$5&gt;=2)+IFERROR(LARGE($F37:$O37,3),0)*($R$5&gt;=3)+IFERROR(LARGE($F37:$O37,4),0)*($R$5&gt;=4)+IFERROR(LARGE($F37:$O37,5),0)*($R$5&gt;=5)+IFERROR(LARGE($F37:$O37,6),0)*($R$5&gt;=6)+IFERROR(LARGE($F37:$O37,7),0)*($R$5&gt;=7)+IFERROR(LARGE($F37:$O37,8),0)*($R$5&gt;=8)+IFERROR(LARGE($F37:$O37,9),0)*($R$5&gt;=9)+IFERROR(LARGE($F37:$O37,10),0)*($R$5&gt;=10),1))</f>
        <v/>
      </c>
      <c r="Q37" s="21">
        <f>IF(N($P37)=0,"",$P37/MIN($R$5,COUNT($F37:$O37)))</f>
        <v/>
      </c>
      <c r="R37">
        <f>IFERROR(LARGE(Resultaten!$AC$7:$AC$66,16),"")</f>
        <v/>
      </c>
      <c r="S37">
        <f>IF($R37="","",MATCH($R37,Resultaten!$AC$7:$AC$66,0))</f>
        <v/>
      </c>
    </row>
    <row r="38">
      <c r="A38" s="17" t="n"/>
      <c r="B38" s="18" t="n"/>
      <c r="C38" s="19" t="n"/>
      <c r="D38" s="19" t="n"/>
      <c r="E38" s="20">
        <f>IF($S37="","","Op 100 schutters")</f>
        <v/>
      </c>
      <c r="F38" s="21">
        <f>IF($S37="","",INDEX(Resultaten!$O$7:$X$66,$S37,1))</f>
        <v/>
      </c>
      <c r="G38" s="21">
        <f>IF($S37="","",INDEX(Resultaten!$O$7:$X$66,$S37,2))</f>
        <v/>
      </c>
      <c r="H38" s="21">
        <f>IF($S37="","",INDEX(Resultaten!$O$7:$X$66,$S37,3))</f>
        <v/>
      </c>
      <c r="I38" s="21">
        <f>IF($S37="","",INDEX(Resultaten!$O$7:$X$66,$S37,4))</f>
        <v/>
      </c>
      <c r="J38" s="21">
        <f>IF($S37="","",INDEX(Resultaten!$O$7:$X$66,$S37,5))</f>
        <v/>
      </c>
      <c r="K38" s="21">
        <f>IF($S37="","",INDEX(Resultaten!$O$7:$X$66,$S37,6))</f>
        <v/>
      </c>
      <c r="L38" s="21">
        <f>IF($S37="","",INDEX(Resultaten!$O$7:$X$66,$S37,7))</f>
        <v/>
      </c>
      <c r="M38" s="21">
        <f>IF($S37="","",INDEX(Resultaten!$O$7:$X$66,$S37,8))</f>
        <v/>
      </c>
      <c r="N38" s="21">
        <f>IF($S37="","",INDEX(Resultaten!$O$7:$X$66,$S37,9))</f>
        <v/>
      </c>
      <c r="O38" s="21">
        <f>IF($S37="","",INDEX(Resultaten!$O$7:$X$66,$S37,10))</f>
        <v/>
      </c>
      <c r="P38" s="22">
        <f>IF($S37="","",INDEX(Resultaten!$Y$7:$Y$66,$S37))</f>
        <v/>
      </c>
      <c r="Q38" s="21">
        <f>IF($S37="","",INDEX(Resultaten!$Z$7:$Z$66,$S37))</f>
        <v/>
      </c>
      <c r="S38">
        <f>$S37</f>
        <v/>
      </c>
    </row>
    <row r="39">
      <c r="A39" s="17">
        <f>IF($S39="","",INDEX(Resultaten!$AA$7:$AA$66,$S39))</f>
        <v/>
      </c>
      <c r="B39" s="18">
        <f>IF($S39="","",INDEX(Resultaten!$B$7:$B$66,$S39))</f>
        <v/>
      </c>
      <c r="C39" s="19">
        <f>IF($S39="","",INDEX(Resultaten!$C$7:$C$66,$S39))</f>
        <v/>
      </c>
      <c r="D39" s="19">
        <f>IF($S39="","",INDEX(Resultaten!$D$7:$D$66,$S39))</f>
        <v/>
      </c>
      <c r="E39" s="20">
        <f>IF($S39="","","Geschoten")</f>
        <v/>
      </c>
      <c r="F39" s="19">
        <f>IF($S39="","",IF(INDEX(Resultaten!$E$7:$N$66,$S39,1)="","",INDEX(Resultaten!$E$7:$N$66,$S39,1)))</f>
        <v/>
      </c>
      <c r="G39" s="19">
        <f>IF($S39="","",IF(INDEX(Resultaten!$E$7:$N$66,$S39,2)="","",INDEX(Resultaten!$E$7:$N$66,$S39,2)))</f>
        <v/>
      </c>
      <c r="H39" s="19">
        <f>IF($S39="","",IF(INDEX(Resultaten!$E$7:$N$66,$S39,3)="","",INDEX(Resultaten!$E$7:$N$66,$S39,3)))</f>
        <v/>
      </c>
      <c r="I39" s="19">
        <f>IF($S39="","",IF(INDEX(Resultaten!$E$7:$N$66,$S39,4)="","",INDEX(Resultaten!$E$7:$N$66,$S39,4)))</f>
        <v/>
      </c>
      <c r="J39" s="19">
        <f>IF($S39="","",IF(INDEX(Resultaten!$E$7:$N$66,$S39,5)="","",INDEX(Resultaten!$E$7:$N$66,$S39,5)))</f>
        <v/>
      </c>
      <c r="K39" s="19">
        <f>IF($S39="","",IF(INDEX(Resultaten!$E$7:$N$66,$S39,6)="","",INDEX(Resultaten!$E$7:$N$66,$S39,6)))</f>
        <v/>
      </c>
      <c r="L39" s="19">
        <f>IF($S39="","",IF(INDEX(Resultaten!$E$7:$N$66,$S39,7)="","",INDEX(Resultaten!$E$7:$N$66,$S39,7)))</f>
        <v/>
      </c>
      <c r="M39" s="19">
        <f>IF($S39="","",IF(INDEX(Resultaten!$E$7:$N$66,$S39,8)="","",INDEX(Resultaten!$E$7:$N$66,$S39,8)))</f>
        <v/>
      </c>
      <c r="N39" s="19">
        <f>IF($S39="","",IF(INDEX(Resultaten!$E$7:$N$66,$S39,9)="","",INDEX(Resultaten!$E$7:$N$66,$S39,9)))</f>
        <v/>
      </c>
      <c r="O39" s="19">
        <f>IF($S39="","",IF(INDEX(Resultaten!$E$7:$N$66,$S39,10)="","",INDEX(Resultaten!$E$7:$N$66,$S39,10)))</f>
        <v/>
      </c>
      <c r="P39" s="19">
        <f>IF(OR($S39="",COUNT($F39:$O39)=0),"",ROUND(IFERROR(LARGE($F39:$O39,1),0)*($R$5&gt;=1)+IFERROR(LARGE($F39:$O39,2),0)*($R$5&gt;=2)+IFERROR(LARGE($F39:$O39,3),0)*($R$5&gt;=3)+IFERROR(LARGE($F39:$O39,4),0)*($R$5&gt;=4)+IFERROR(LARGE($F39:$O39,5),0)*($R$5&gt;=5)+IFERROR(LARGE($F39:$O39,6),0)*($R$5&gt;=6)+IFERROR(LARGE($F39:$O39,7),0)*($R$5&gt;=7)+IFERROR(LARGE($F39:$O39,8),0)*($R$5&gt;=8)+IFERROR(LARGE($F39:$O39,9),0)*($R$5&gt;=9)+IFERROR(LARGE($F39:$O39,10),0)*($R$5&gt;=10),1))</f>
        <v/>
      </c>
      <c r="Q39" s="21">
        <f>IF(N($P39)=0,"",$P39/MIN($R$5,COUNT($F39:$O39)))</f>
        <v/>
      </c>
      <c r="R39">
        <f>IFERROR(LARGE(Resultaten!$AC$7:$AC$66,17),"")</f>
        <v/>
      </c>
      <c r="S39">
        <f>IF($R39="","",MATCH($R39,Resultaten!$AC$7:$AC$66,0))</f>
        <v/>
      </c>
    </row>
    <row r="40">
      <c r="A40" s="17" t="n"/>
      <c r="B40" s="18" t="n"/>
      <c r="C40" s="19" t="n"/>
      <c r="D40" s="19" t="n"/>
      <c r="E40" s="20">
        <f>IF($S39="","","Op 100 schutters")</f>
        <v/>
      </c>
      <c r="F40" s="21">
        <f>IF($S39="","",INDEX(Resultaten!$O$7:$X$66,$S39,1))</f>
        <v/>
      </c>
      <c r="G40" s="21">
        <f>IF($S39="","",INDEX(Resultaten!$O$7:$X$66,$S39,2))</f>
        <v/>
      </c>
      <c r="H40" s="21">
        <f>IF($S39="","",INDEX(Resultaten!$O$7:$X$66,$S39,3))</f>
        <v/>
      </c>
      <c r="I40" s="21">
        <f>IF($S39="","",INDEX(Resultaten!$O$7:$X$66,$S39,4))</f>
        <v/>
      </c>
      <c r="J40" s="21">
        <f>IF($S39="","",INDEX(Resultaten!$O$7:$X$66,$S39,5))</f>
        <v/>
      </c>
      <c r="K40" s="21">
        <f>IF($S39="","",INDEX(Resultaten!$O$7:$X$66,$S39,6))</f>
        <v/>
      </c>
      <c r="L40" s="21">
        <f>IF($S39="","",INDEX(Resultaten!$O$7:$X$66,$S39,7))</f>
        <v/>
      </c>
      <c r="M40" s="21">
        <f>IF($S39="","",INDEX(Resultaten!$O$7:$X$66,$S39,8))</f>
        <v/>
      </c>
      <c r="N40" s="21">
        <f>IF($S39="","",INDEX(Resultaten!$O$7:$X$66,$S39,9))</f>
        <v/>
      </c>
      <c r="O40" s="21">
        <f>IF($S39="","",INDEX(Resultaten!$O$7:$X$66,$S39,10))</f>
        <v/>
      </c>
      <c r="P40" s="22">
        <f>IF($S39="","",INDEX(Resultaten!$Y$7:$Y$66,$S39))</f>
        <v/>
      </c>
      <c r="Q40" s="21">
        <f>IF($S39="","",INDEX(Resultaten!$Z$7:$Z$66,$S39))</f>
        <v/>
      </c>
      <c r="S40">
        <f>$S39</f>
        <v/>
      </c>
    </row>
    <row r="41">
      <c r="A41" s="17">
        <f>IF($S41="","",INDEX(Resultaten!$AA$7:$AA$66,$S41))</f>
        <v/>
      </c>
      <c r="B41" s="18">
        <f>IF($S41="","",INDEX(Resultaten!$B$7:$B$66,$S41))</f>
        <v/>
      </c>
      <c r="C41" s="19">
        <f>IF($S41="","",INDEX(Resultaten!$C$7:$C$66,$S41))</f>
        <v/>
      </c>
      <c r="D41" s="19">
        <f>IF($S41="","",INDEX(Resultaten!$D$7:$D$66,$S41))</f>
        <v/>
      </c>
      <c r="E41" s="20">
        <f>IF($S41="","","Geschoten")</f>
        <v/>
      </c>
      <c r="F41" s="19">
        <f>IF($S41="","",IF(INDEX(Resultaten!$E$7:$N$66,$S41,1)="","",INDEX(Resultaten!$E$7:$N$66,$S41,1)))</f>
        <v/>
      </c>
      <c r="G41" s="19">
        <f>IF($S41="","",IF(INDEX(Resultaten!$E$7:$N$66,$S41,2)="","",INDEX(Resultaten!$E$7:$N$66,$S41,2)))</f>
        <v/>
      </c>
      <c r="H41" s="19">
        <f>IF($S41="","",IF(INDEX(Resultaten!$E$7:$N$66,$S41,3)="","",INDEX(Resultaten!$E$7:$N$66,$S41,3)))</f>
        <v/>
      </c>
      <c r="I41" s="19">
        <f>IF($S41="","",IF(INDEX(Resultaten!$E$7:$N$66,$S41,4)="","",INDEX(Resultaten!$E$7:$N$66,$S41,4)))</f>
        <v/>
      </c>
      <c r="J41" s="19">
        <f>IF($S41="","",IF(INDEX(Resultaten!$E$7:$N$66,$S41,5)="","",INDEX(Resultaten!$E$7:$N$66,$S41,5)))</f>
        <v/>
      </c>
      <c r="K41" s="19">
        <f>IF($S41="","",IF(INDEX(Resultaten!$E$7:$N$66,$S41,6)="","",INDEX(Resultaten!$E$7:$N$66,$S41,6)))</f>
        <v/>
      </c>
      <c r="L41" s="19">
        <f>IF($S41="","",IF(INDEX(Resultaten!$E$7:$N$66,$S41,7)="","",INDEX(Resultaten!$E$7:$N$66,$S41,7)))</f>
        <v/>
      </c>
      <c r="M41" s="19">
        <f>IF($S41="","",IF(INDEX(Resultaten!$E$7:$N$66,$S41,8)="","",INDEX(Resultaten!$E$7:$N$66,$S41,8)))</f>
        <v/>
      </c>
      <c r="N41" s="19">
        <f>IF($S41="","",IF(INDEX(Resultaten!$E$7:$N$66,$S41,9)="","",INDEX(Resultaten!$E$7:$N$66,$S41,9)))</f>
        <v/>
      </c>
      <c r="O41" s="19">
        <f>IF($S41="","",IF(INDEX(Resultaten!$E$7:$N$66,$S41,10)="","",INDEX(Resultaten!$E$7:$N$66,$S41,10)))</f>
        <v/>
      </c>
      <c r="P41" s="19">
        <f>IF(OR($S41="",COUNT($F41:$O41)=0),"",ROUND(IFERROR(LARGE($F41:$O41,1),0)*($R$5&gt;=1)+IFERROR(LARGE($F41:$O41,2),0)*($R$5&gt;=2)+IFERROR(LARGE($F41:$O41,3),0)*($R$5&gt;=3)+IFERROR(LARGE($F41:$O41,4),0)*($R$5&gt;=4)+IFERROR(LARGE($F41:$O41,5),0)*($R$5&gt;=5)+IFERROR(LARGE($F41:$O41,6),0)*($R$5&gt;=6)+IFERROR(LARGE($F41:$O41,7),0)*($R$5&gt;=7)+IFERROR(LARGE($F41:$O41,8),0)*($R$5&gt;=8)+IFERROR(LARGE($F41:$O41,9),0)*($R$5&gt;=9)+IFERROR(LARGE($F41:$O41,10),0)*($R$5&gt;=10),1))</f>
        <v/>
      </c>
      <c r="Q41" s="21">
        <f>IF(N($P41)=0,"",$P41/MIN($R$5,COUNT($F41:$O41)))</f>
        <v/>
      </c>
      <c r="R41">
        <f>IFERROR(LARGE(Resultaten!$AC$7:$AC$66,18),"")</f>
        <v/>
      </c>
      <c r="S41">
        <f>IF($R41="","",MATCH($R41,Resultaten!$AC$7:$AC$66,0))</f>
        <v/>
      </c>
    </row>
    <row r="42">
      <c r="A42" s="17" t="n"/>
      <c r="B42" s="18" t="n"/>
      <c r="C42" s="19" t="n"/>
      <c r="D42" s="19" t="n"/>
      <c r="E42" s="20">
        <f>IF($S41="","","Op 100 schutters")</f>
        <v/>
      </c>
      <c r="F42" s="21">
        <f>IF($S41="","",INDEX(Resultaten!$O$7:$X$66,$S41,1))</f>
        <v/>
      </c>
      <c r="G42" s="21">
        <f>IF($S41="","",INDEX(Resultaten!$O$7:$X$66,$S41,2))</f>
        <v/>
      </c>
      <c r="H42" s="21">
        <f>IF($S41="","",INDEX(Resultaten!$O$7:$X$66,$S41,3))</f>
        <v/>
      </c>
      <c r="I42" s="21">
        <f>IF($S41="","",INDEX(Resultaten!$O$7:$X$66,$S41,4))</f>
        <v/>
      </c>
      <c r="J42" s="21">
        <f>IF($S41="","",INDEX(Resultaten!$O$7:$X$66,$S41,5))</f>
        <v/>
      </c>
      <c r="K42" s="21">
        <f>IF($S41="","",INDEX(Resultaten!$O$7:$X$66,$S41,6))</f>
        <v/>
      </c>
      <c r="L42" s="21">
        <f>IF($S41="","",INDEX(Resultaten!$O$7:$X$66,$S41,7))</f>
        <v/>
      </c>
      <c r="M42" s="21">
        <f>IF($S41="","",INDEX(Resultaten!$O$7:$X$66,$S41,8))</f>
        <v/>
      </c>
      <c r="N42" s="21">
        <f>IF($S41="","",INDEX(Resultaten!$O$7:$X$66,$S41,9))</f>
        <v/>
      </c>
      <c r="O42" s="21">
        <f>IF($S41="","",INDEX(Resultaten!$O$7:$X$66,$S41,10))</f>
        <v/>
      </c>
      <c r="P42" s="22">
        <f>IF($S41="","",INDEX(Resultaten!$Y$7:$Y$66,$S41))</f>
        <v/>
      </c>
      <c r="Q42" s="21">
        <f>IF($S41="","",INDEX(Resultaten!$Z$7:$Z$66,$S41))</f>
        <v/>
      </c>
      <c r="S42">
        <f>$S41</f>
        <v/>
      </c>
    </row>
    <row r="43">
      <c r="A43" s="17">
        <f>IF($S43="","",INDEX(Resultaten!$AA$7:$AA$66,$S43))</f>
        <v/>
      </c>
      <c r="B43" s="18">
        <f>IF($S43="","",INDEX(Resultaten!$B$7:$B$66,$S43))</f>
        <v/>
      </c>
      <c r="C43" s="19">
        <f>IF($S43="","",INDEX(Resultaten!$C$7:$C$66,$S43))</f>
        <v/>
      </c>
      <c r="D43" s="19">
        <f>IF($S43="","",INDEX(Resultaten!$D$7:$D$66,$S43))</f>
        <v/>
      </c>
      <c r="E43" s="20">
        <f>IF($S43="","","Geschoten")</f>
        <v/>
      </c>
      <c r="F43" s="19">
        <f>IF($S43="","",IF(INDEX(Resultaten!$E$7:$N$66,$S43,1)="","",INDEX(Resultaten!$E$7:$N$66,$S43,1)))</f>
        <v/>
      </c>
      <c r="G43" s="19">
        <f>IF($S43="","",IF(INDEX(Resultaten!$E$7:$N$66,$S43,2)="","",INDEX(Resultaten!$E$7:$N$66,$S43,2)))</f>
        <v/>
      </c>
      <c r="H43" s="19">
        <f>IF($S43="","",IF(INDEX(Resultaten!$E$7:$N$66,$S43,3)="","",INDEX(Resultaten!$E$7:$N$66,$S43,3)))</f>
        <v/>
      </c>
      <c r="I43" s="19">
        <f>IF($S43="","",IF(INDEX(Resultaten!$E$7:$N$66,$S43,4)="","",INDEX(Resultaten!$E$7:$N$66,$S43,4)))</f>
        <v/>
      </c>
      <c r="J43" s="19">
        <f>IF($S43="","",IF(INDEX(Resultaten!$E$7:$N$66,$S43,5)="","",INDEX(Resultaten!$E$7:$N$66,$S43,5)))</f>
        <v/>
      </c>
      <c r="K43" s="19">
        <f>IF($S43="","",IF(INDEX(Resultaten!$E$7:$N$66,$S43,6)="","",INDEX(Resultaten!$E$7:$N$66,$S43,6)))</f>
        <v/>
      </c>
      <c r="L43" s="19">
        <f>IF($S43="","",IF(INDEX(Resultaten!$E$7:$N$66,$S43,7)="","",INDEX(Resultaten!$E$7:$N$66,$S43,7)))</f>
        <v/>
      </c>
      <c r="M43" s="19">
        <f>IF($S43="","",IF(INDEX(Resultaten!$E$7:$N$66,$S43,8)="","",INDEX(Resultaten!$E$7:$N$66,$S43,8)))</f>
        <v/>
      </c>
      <c r="N43" s="19">
        <f>IF($S43="","",IF(INDEX(Resultaten!$E$7:$N$66,$S43,9)="","",INDEX(Resultaten!$E$7:$N$66,$S43,9)))</f>
        <v/>
      </c>
      <c r="O43" s="19">
        <f>IF($S43="","",IF(INDEX(Resultaten!$E$7:$N$66,$S43,10)="","",INDEX(Resultaten!$E$7:$N$66,$S43,10)))</f>
        <v/>
      </c>
      <c r="P43" s="19">
        <f>IF(OR($S43="",COUNT($F43:$O43)=0),"",ROUND(IFERROR(LARGE($F43:$O43,1),0)*($R$5&gt;=1)+IFERROR(LARGE($F43:$O43,2),0)*($R$5&gt;=2)+IFERROR(LARGE($F43:$O43,3),0)*($R$5&gt;=3)+IFERROR(LARGE($F43:$O43,4),0)*($R$5&gt;=4)+IFERROR(LARGE($F43:$O43,5),0)*($R$5&gt;=5)+IFERROR(LARGE($F43:$O43,6),0)*($R$5&gt;=6)+IFERROR(LARGE($F43:$O43,7),0)*($R$5&gt;=7)+IFERROR(LARGE($F43:$O43,8),0)*($R$5&gt;=8)+IFERROR(LARGE($F43:$O43,9),0)*($R$5&gt;=9)+IFERROR(LARGE($F43:$O43,10),0)*($R$5&gt;=10),1))</f>
        <v/>
      </c>
      <c r="Q43" s="21">
        <f>IF(N($P43)=0,"",$P43/MIN($R$5,COUNT($F43:$O43)))</f>
        <v/>
      </c>
      <c r="R43">
        <f>IFERROR(LARGE(Resultaten!$AC$7:$AC$66,19),"")</f>
        <v/>
      </c>
      <c r="S43">
        <f>IF($R43="","",MATCH($R43,Resultaten!$AC$7:$AC$66,0))</f>
        <v/>
      </c>
    </row>
    <row r="44">
      <c r="A44" s="17" t="n"/>
      <c r="B44" s="18" t="n"/>
      <c r="C44" s="19" t="n"/>
      <c r="D44" s="19" t="n"/>
      <c r="E44" s="20">
        <f>IF($S43="","","Op 100 schutters")</f>
        <v/>
      </c>
      <c r="F44" s="21">
        <f>IF($S43="","",INDEX(Resultaten!$O$7:$X$66,$S43,1))</f>
        <v/>
      </c>
      <c r="G44" s="21">
        <f>IF($S43="","",INDEX(Resultaten!$O$7:$X$66,$S43,2))</f>
        <v/>
      </c>
      <c r="H44" s="21">
        <f>IF($S43="","",INDEX(Resultaten!$O$7:$X$66,$S43,3))</f>
        <v/>
      </c>
      <c r="I44" s="21">
        <f>IF($S43="","",INDEX(Resultaten!$O$7:$X$66,$S43,4))</f>
        <v/>
      </c>
      <c r="J44" s="21">
        <f>IF($S43="","",INDEX(Resultaten!$O$7:$X$66,$S43,5))</f>
        <v/>
      </c>
      <c r="K44" s="21">
        <f>IF($S43="","",INDEX(Resultaten!$O$7:$X$66,$S43,6))</f>
        <v/>
      </c>
      <c r="L44" s="21">
        <f>IF($S43="","",INDEX(Resultaten!$O$7:$X$66,$S43,7))</f>
        <v/>
      </c>
      <c r="M44" s="21">
        <f>IF($S43="","",INDEX(Resultaten!$O$7:$X$66,$S43,8))</f>
        <v/>
      </c>
      <c r="N44" s="21">
        <f>IF($S43="","",INDEX(Resultaten!$O$7:$X$66,$S43,9))</f>
        <v/>
      </c>
      <c r="O44" s="21">
        <f>IF($S43="","",INDEX(Resultaten!$O$7:$X$66,$S43,10))</f>
        <v/>
      </c>
      <c r="P44" s="22">
        <f>IF($S43="","",INDEX(Resultaten!$Y$7:$Y$66,$S43))</f>
        <v/>
      </c>
      <c r="Q44" s="21">
        <f>IF($S43="","",INDEX(Resultaten!$Z$7:$Z$66,$S43))</f>
        <v/>
      </c>
      <c r="S44">
        <f>$S43</f>
        <v/>
      </c>
    </row>
    <row r="45">
      <c r="A45" s="17">
        <f>IF($S45="","",INDEX(Resultaten!$AA$7:$AA$66,$S45))</f>
        <v/>
      </c>
      <c r="B45" s="18">
        <f>IF($S45="","",INDEX(Resultaten!$B$7:$B$66,$S45))</f>
        <v/>
      </c>
      <c r="C45" s="19">
        <f>IF($S45="","",INDEX(Resultaten!$C$7:$C$66,$S45))</f>
        <v/>
      </c>
      <c r="D45" s="19">
        <f>IF($S45="","",INDEX(Resultaten!$D$7:$D$66,$S45))</f>
        <v/>
      </c>
      <c r="E45" s="20">
        <f>IF($S45="","","Geschoten")</f>
        <v/>
      </c>
      <c r="F45" s="19">
        <f>IF($S45="","",IF(INDEX(Resultaten!$E$7:$N$66,$S45,1)="","",INDEX(Resultaten!$E$7:$N$66,$S45,1)))</f>
        <v/>
      </c>
      <c r="G45" s="19">
        <f>IF($S45="","",IF(INDEX(Resultaten!$E$7:$N$66,$S45,2)="","",INDEX(Resultaten!$E$7:$N$66,$S45,2)))</f>
        <v/>
      </c>
      <c r="H45" s="19">
        <f>IF($S45="","",IF(INDEX(Resultaten!$E$7:$N$66,$S45,3)="","",INDEX(Resultaten!$E$7:$N$66,$S45,3)))</f>
        <v/>
      </c>
      <c r="I45" s="19">
        <f>IF($S45="","",IF(INDEX(Resultaten!$E$7:$N$66,$S45,4)="","",INDEX(Resultaten!$E$7:$N$66,$S45,4)))</f>
        <v/>
      </c>
      <c r="J45" s="19">
        <f>IF($S45="","",IF(INDEX(Resultaten!$E$7:$N$66,$S45,5)="","",INDEX(Resultaten!$E$7:$N$66,$S45,5)))</f>
        <v/>
      </c>
      <c r="K45" s="19">
        <f>IF($S45="","",IF(INDEX(Resultaten!$E$7:$N$66,$S45,6)="","",INDEX(Resultaten!$E$7:$N$66,$S45,6)))</f>
        <v/>
      </c>
      <c r="L45" s="19">
        <f>IF($S45="","",IF(INDEX(Resultaten!$E$7:$N$66,$S45,7)="","",INDEX(Resultaten!$E$7:$N$66,$S45,7)))</f>
        <v/>
      </c>
      <c r="M45" s="19">
        <f>IF($S45="","",IF(INDEX(Resultaten!$E$7:$N$66,$S45,8)="","",INDEX(Resultaten!$E$7:$N$66,$S45,8)))</f>
        <v/>
      </c>
      <c r="N45" s="19">
        <f>IF($S45="","",IF(INDEX(Resultaten!$E$7:$N$66,$S45,9)="","",INDEX(Resultaten!$E$7:$N$66,$S45,9)))</f>
        <v/>
      </c>
      <c r="O45" s="19">
        <f>IF($S45="","",IF(INDEX(Resultaten!$E$7:$N$66,$S45,10)="","",INDEX(Resultaten!$E$7:$N$66,$S45,10)))</f>
        <v/>
      </c>
      <c r="P45" s="19">
        <f>IF(OR($S45="",COUNT($F45:$O45)=0),"",ROUND(IFERROR(LARGE($F45:$O45,1),0)*($R$5&gt;=1)+IFERROR(LARGE($F45:$O45,2),0)*($R$5&gt;=2)+IFERROR(LARGE($F45:$O45,3),0)*($R$5&gt;=3)+IFERROR(LARGE($F45:$O45,4),0)*($R$5&gt;=4)+IFERROR(LARGE($F45:$O45,5),0)*($R$5&gt;=5)+IFERROR(LARGE($F45:$O45,6),0)*($R$5&gt;=6)+IFERROR(LARGE($F45:$O45,7),0)*($R$5&gt;=7)+IFERROR(LARGE($F45:$O45,8),0)*($R$5&gt;=8)+IFERROR(LARGE($F45:$O45,9),0)*($R$5&gt;=9)+IFERROR(LARGE($F45:$O45,10),0)*($R$5&gt;=10),1))</f>
        <v/>
      </c>
      <c r="Q45" s="21">
        <f>IF(N($P45)=0,"",$P45/MIN($R$5,COUNT($F45:$O45)))</f>
        <v/>
      </c>
      <c r="R45">
        <f>IFERROR(LARGE(Resultaten!$AC$7:$AC$66,20),"")</f>
        <v/>
      </c>
      <c r="S45">
        <f>IF($R45="","",MATCH($R45,Resultaten!$AC$7:$AC$66,0))</f>
        <v/>
      </c>
    </row>
    <row r="46">
      <c r="A46" s="17" t="n"/>
      <c r="B46" s="18" t="n"/>
      <c r="C46" s="19" t="n"/>
      <c r="D46" s="19" t="n"/>
      <c r="E46" s="20">
        <f>IF($S45="","","Op 100 schutters")</f>
        <v/>
      </c>
      <c r="F46" s="21">
        <f>IF($S45="","",INDEX(Resultaten!$O$7:$X$66,$S45,1))</f>
        <v/>
      </c>
      <c r="G46" s="21">
        <f>IF($S45="","",INDEX(Resultaten!$O$7:$X$66,$S45,2))</f>
        <v/>
      </c>
      <c r="H46" s="21">
        <f>IF($S45="","",INDEX(Resultaten!$O$7:$X$66,$S45,3))</f>
        <v/>
      </c>
      <c r="I46" s="21">
        <f>IF($S45="","",INDEX(Resultaten!$O$7:$X$66,$S45,4))</f>
        <v/>
      </c>
      <c r="J46" s="21">
        <f>IF($S45="","",INDEX(Resultaten!$O$7:$X$66,$S45,5))</f>
        <v/>
      </c>
      <c r="K46" s="21">
        <f>IF($S45="","",INDEX(Resultaten!$O$7:$X$66,$S45,6))</f>
        <v/>
      </c>
      <c r="L46" s="21">
        <f>IF($S45="","",INDEX(Resultaten!$O$7:$X$66,$S45,7))</f>
        <v/>
      </c>
      <c r="M46" s="21">
        <f>IF($S45="","",INDEX(Resultaten!$O$7:$X$66,$S45,8))</f>
        <v/>
      </c>
      <c r="N46" s="21">
        <f>IF($S45="","",INDEX(Resultaten!$O$7:$X$66,$S45,9))</f>
        <v/>
      </c>
      <c r="O46" s="21">
        <f>IF($S45="","",INDEX(Resultaten!$O$7:$X$66,$S45,10))</f>
        <v/>
      </c>
      <c r="P46" s="22">
        <f>IF($S45="","",INDEX(Resultaten!$Y$7:$Y$66,$S45))</f>
        <v/>
      </c>
      <c r="Q46" s="21">
        <f>IF($S45="","",INDEX(Resultaten!$Z$7:$Z$66,$S45))</f>
        <v/>
      </c>
      <c r="S46">
        <f>$S45</f>
        <v/>
      </c>
    </row>
    <row r="47">
      <c r="A47" s="17">
        <f>IF($S47="","",INDEX(Resultaten!$AA$7:$AA$66,$S47))</f>
        <v/>
      </c>
      <c r="B47" s="18">
        <f>IF($S47="","",INDEX(Resultaten!$B$7:$B$66,$S47))</f>
        <v/>
      </c>
      <c r="C47" s="19">
        <f>IF($S47="","",INDEX(Resultaten!$C$7:$C$66,$S47))</f>
        <v/>
      </c>
      <c r="D47" s="19">
        <f>IF($S47="","",INDEX(Resultaten!$D$7:$D$66,$S47))</f>
        <v/>
      </c>
      <c r="E47" s="20">
        <f>IF($S47="","","Geschoten")</f>
        <v/>
      </c>
      <c r="F47" s="19">
        <f>IF($S47="","",IF(INDEX(Resultaten!$E$7:$N$66,$S47,1)="","",INDEX(Resultaten!$E$7:$N$66,$S47,1)))</f>
        <v/>
      </c>
      <c r="G47" s="19">
        <f>IF($S47="","",IF(INDEX(Resultaten!$E$7:$N$66,$S47,2)="","",INDEX(Resultaten!$E$7:$N$66,$S47,2)))</f>
        <v/>
      </c>
      <c r="H47" s="19">
        <f>IF($S47="","",IF(INDEX(Resultaten!$E$7:$N$66,$S47,3)="","",INDEX(Resultaten!$E$7:$N$66,$S47,3)))</f>
        <v/>
      </c>
      <c r="I47" s="19">
        <f>IF($S47="","",IF(INDEX(Resultaten!$E$7:$N$66,$S47,4)="","",INDEX(Resultaten!$E$7:$N$66,$S47,4)))</f>
        <v/>
      </c>
      <c r="J47" s="19">
        <f>IF($S47="","",IF(INDEX(Resultaten!$E$7:$N$66,$S47,5)="","",INDEX(Resultaten!$E$7:$N$66,$S47,5)))</f>
        <v/>
      </c>
      <c r="K47" s="19">
        <f>IF($S47="","",IF(INDEX(Resultaten!$E$7:$N$66,$S47,6)="","",INDEX(Resultaten!$E$7:$N$66,$S47,6)))</f>
        <v/>
      </c>
      <c r="L47" s="19">
        <f>IF($S47="","",IF(INDEX(Resultaten!$E$7:$N$66,$S47,7)="","",INDEX(Resultaten!$E$7:$N$66,$S47,7)))</f>
        <v/>
      </c>
      <c r="M47" s="19">
        <f>IF($S47="","",IF(INDEX(Resultaten!$E$7:$N$66,$S47,8)="","",INDEX(Resultaten!$E$7:$N$66,$S47,8)))</f>
        <v/>
      </c>
      <c r="N47" s="19">
        <f>IF($S47="","",IF(INDEX(Resultaten!$E$7:$N$66,$S47,9)="","",INDEX(Resultaten!$E$7:$N$66,$S47,9)))</f>
        <v/>
      </c>
      <c r="O47" s="19">
        <f>IF($S47="","",IF(INDEX(Resultaten!$E$7:$N$66,$S47,10)="","",INDEX(Resultaten!$E$7:$N$66,$S47,10)))</f>
        <v/>
      </c>
      <c r="P47" s="19">
        <f>IF(OR($S47="",COUNT($F47:$O47)=0),"",ROUND(IFERROR(LARGE($F47:$O47,1),0)*($R$5&gt;=1)+IFERROR(LARGE($F47:$O47,2),0)*($R$5&gt;=2)+IFERROR(LARGE($F47:$O47,3),0)*($R$5&gt;=3)+IFERROR(LARGE($F47:$O47,4),0)*($R$5&gt;=4)+IFERROR(LARGE($F47:$O47,5),0)*($R$5&gt;=5)+IFERROR(LARGE($F47:$O47,6),0)*($R$5&gt;=6)+IFERROR(LARGE($F47:$O47,7),0)*($R$5&gt;=7)+IFERROR(LARGE($F47:$O47,8),0)*($R$5&gt;=8)+IFERROR(LARGE($F47:$O47,9),0)*($R$5&gt;=9)+IFERROR(LARGE($F47:$O47,10),0)*($R$5&gt;=10),1))</f>
        <v/>
      </c>
      <c r="Q47" s="21">
        <f>IF(N($P47)=0,"",$P47/MIN($R$5,COUNT($F47:$O47)))</f>
        <v/>
      </c>
      <c r="R47">
        <f>IFERROR(LARGE(Resultaten!$AC$7:$AC$66,21),"")</f>
        <v/>
      </c>
      <c r="S47">
        <f>IF($R47="","",MATCH($R47,Resultaten!$AC$7:$AC$66,0))</f>
        <v/>
      </c>
    </row>
    <row r="48">
      <c r="A48" s="17" t="n"/>
      <c r="B48" s="18" t="n"/>
      <c r="C48" s="19" t="n"/>
      <c r="D48" s="19" t="n"/>
      <c r="E48" s="20">
        <f>IF($S47="","","Op 100 schutters")</f>
        <v/>
      </c>
      <c r="F48" s="21">
        <f>IF($S47="","",INDEX(Resultaten!$O$7:$X$66,$S47,1))</f>
        <v/>
      </c>
      <c r="G48" s="21">
        <f>IF($S47="","",INDEX(Resultaten!$O$7:$X$66,$S47,2))</f>
        <v/>
      </c>
      <c r="H48" s="21">
        <f>IF($S47="","",INDEX(Resultaten!$O$7:$X$66,$S47,3))</f>
        <v/>
      </c>
      <c r="I48" s="21">
        <f>IF($S47="","",INDEX(Resultaten!$O$7:$X$66,$S47,4))</f>
        <v/>
      </c>
      <c r="J48" s="21">
        <f>IF($S47="","",INDEX(Resultaten!$O$7:$X$66,$S47,5))</f>
        <v/>
      </c>
      <c r="K48" s="21">
        <f>IF($S47="","",INDEX(Resultaten!$O$7:$X$66,$S47,6))</f>
        <v/>
      </c>
      <c r="L48" s="21">
        <f>IF($S47="","",INDEX(Resultaten!$O$7:$X$66,$S47,7))</f>
        <v/>
      </c>
      <c r="M48" s="21">
        <f>IF($S47="","",INDEX(Resultaten!$O$7:$X$66,$S47,8))</f>
        <v/>
      </c>
      <c r="N48" s="21">
        <f>IF($S47="","",INDEX(Resultaten!$O$7:$X$66,$S47,9))</f>
        <v/>
      </c>
      <c r="O48" s="21">
        <f>IF($S47="","",INDEX(Resultaten!$O$7:$X$66,$S47,10))</f>
        <v/>
      </c>
      <c r="P48" s="22">
        <f>IF($S47="","",INDEX(Resultaten!$Y$7:$Y$66,$S47))</f>
        <v/>
      </c>
      <c r="Q48" s="21">
        <f>IF($S47="","",INDEX(Resultaten!$Z$7:$Z$66,$S47))</f>
        <v/>
      </c>
      <c r="S48">
        <f>$S47</f>
        <v/>
      </c>
    </row>
    <row r="49">
      <c r="A49" s="17">
        <f>IF($S49="","",INDEX(Resultaten!$AA$7:$AA$66,$S49))</f>
        <v/>
      </c>
      <c r="B49" s="18">
        <f>IF($S49="","",INDEX(Resultaten!$B$7:$B$66,$S49))</f>
        <v/>
      </c>
      <c r="C49" s="19">
        <f>IF($S49="","",INDEX(Resultaten!$C$7:$C$66,$S49))</f>
        <v/>
      </c>
      <c r="D49" s="19">
        <f>IF($S49="","",INDEX(Resultaten!$D$7:$D$66,$S49))</f>
        <v/>
      </c>
      <c r="E49" s="20">
        <f>IF($S49="","","Geschoten")</f>
        <v/>
      </c>
      <c r="F49" s="19">
        <f>IF($S49="","",IF(INDEX(Resultaten!$E$7:$N$66,$S49,1)="","",INDEX(Resultaten!$E$7:$N$66,$S49,1)))</f>
        <v/>
      </c>
      <c r="G49" s="19">
        <f>IF($S49="","",IF(INDEX(Resultaten!$E$7:$N$66,$S49,2)="","",INDEX(Resultaten!$E$7:$N$66,$S49,2)))</f>
        <v/>
      </c>
      <c r="H49" s="19">
        <f>IF($S49="","",IF(INDEX(Resultaten!$E$7:$N$66,$S49,3)="","",INDEX(Resultaten!$E$7:$N$66,$S49,3)))</f>
        <v/>
      </c>
      <c r="I49" s="19">
        <f>IF($S49="","",IF(INDEX(Resultaten!$E$7:$N$66,$S49,4)="","",INDEX(Resultaten!$E$7:$N$66,$S49,4)))</f>
        <v/>
      </c>
      <c r="J49" s="19">
        <f>IF($S49="","",IF(INDEX(Resultaten!$E$7:$N$66,$S49,5)="","",INDEX(Resultaten!$E$7:$N$66,$S49,5)))</f>
        <v/>
      </c>
      <c r="K49" s="19">
        <f>IF($S49="","",IF(INDEX(Resultaten!$E$7:$N$66,$S49,6)="","",INDEX(Resultaten!$E$7:$N$66,$S49,6)))</f>
        <v/>
      </c>
      <c r="L49" s="19">
        <f>IF($S49="","",IF(INDEX(Resultaten!$E$7:$N$66,$S49,7)="","",INDEX(Resultaten!$E$7:$N$66,$S49,7)))</f>
        <v/>
      </c>
      <c r="M49" s="19">
        <f>IF($S49="","",IF(INDEX(Resultaten!$E$7:$N$66,$S49,8)="","",INDEX(Resultaten!$E$7:$N$66,$S49,8)))</f>
        <v/>
      </c>
      <c r="N49" s="19">
        <f>IF($S49="","",IF(INDEX(Resultaten!$E$7:$N$66,$S49,9)="","",INDEX(Resultaten!$E$7:$N$66,$S49,9)))</f>
        <v/>
      </c>
      <c r="O49" s="19">
        <f>IF($S49="","",IF(INDEX(Resultaten!$E$7:$N$66,$S49,10)="","",INDEX(Resultaten!$E$7:$N$66,$S49,10)))</f>
        <v/>
      </c>
      <c r="P49" s="19">
        <f>IF(OR($S49="",COUNT($F49:$O49)=0),"",ROUND(IFERROR(LARGE($F49:$O49,1),0)*($R$5&gt;=1)+IFERROR(LARGE($F49:$O49,2),0)*($R$5&gt;=2)+IFERROR(LARGE($F49:$O49,3),0)*($R$5&gt;=3)+IFERROR(LARGE($F49:$O49,4),0)*($R$5&gt;=4)+IFERROR(LARGE($F49:$O49,5),0)*($R$5&gt;=5)+IFERROR(LARGE($F49:$O49,6),0)*($R$5&gt;=6)+IFERROR(LARGE($F49:$O49,7),0)*($R$5&gt;=7)+IFERROR(LARGE($F49:$O49,8),0)*($R$5&gt;=8)+IFERROR(LARGE($F49:$O49,9),0)*($R$5&gt;=9)+IFERROR(LARGE($F49:$O49,10),0)*($R$5&gt;=10),1))</f>
        <v/>
      </c>
      <c r="Q49" s="21">
        <f>IF(N($P49)=0,"",$P49/MIN($R$5,COUNT($F49:$O49)))</f>
        <v/>
      </c>
      <c r="R49">
        <f>IFERROR(LARGE(Resultaten!$AC$7:$AC$66,22),"")</f>
        <v/>
      </c>
      <c r="S49">
        <f>IF($R49="","",MATCH($R49,Resultaten!$AC$7:$AC$66,0))</f>
        <v/>
      </c>
    </row>
    <row r="50">
      <c r="A50" s="17" t="n"/>
      <c r="B50" s="18" t="n"/>
      <c r="C50" s="19" t="n"/>
      <c r="D50" s="19" t="n"/>
      <c r="E50" s="20">
        <f>IF($S49="","","Op 100 schutters")</f>
        <v/>
      </c>
      <c r="F50" s="21">
        <f>IF($S49="","",INDEX(Resultaten!$O$7:$X$66,$S49,1))</f>
        <v/>
      </c>
      <c r="G50" s="21">
        <f>IF($S49="","",INDEX(Resultaten!$O$7:$X$66,$S49,2))</f>
        <v/>
      </c>
      <c r="H50" s="21">
        <f>IF($S49="","",INDEX(Resultaten!$O$7:$X$66,$S49,3))</f>
        <v/>
      </c>
      <c r="I50" s="21">
        <f>IF($S49="","",INDEX(Resultaten!$O$7:$X$66,$S49,4))</f>
        <v/>
      </c>
      <c r="J50" s="21">
        <f>IF($S49="","",INDEX(Resultaten!$O$7:$X$66,$S49,5))</f>
        <v/>
      </c>
      <c r="K50" s="21">
        <f>IF($S49="","",INDEX(Resultaten!$O$7:$X$66,$S49,6))</f>
        <v/>
      </c>
      <c r="L50" s="21">
        <f>IF($S49="","",INDEX(Resultaten!$O$7:$X$66,$S49,7))</f>
        <v/>
      </c>
      <c r="M50" s="21">
        <f>IF($S49="","",INDEX(Resultaten!$O$7:$X$66,$S49,8))</f>
        <v/>
      </c>
      <c r="N50" s="21">
        <f>IF($S49="","",INDEX(Resultaten!$O$7:$X$66,$S49,9))</f>
        <v/>
      </c>
      <c r="O50" s="21">
        <f>IF($S49="","",INDEX(Resultaten!$O$7:$X$66,$S49,10))</f>
        <v/>
      </c>
      <c r="P50" s="22">
        <f>IF($S49="","",INDEX(Resultaten!$Y$7:$Y$66,$S49))</f>
        <v/>
      </c>
      <c r="Q50" s="21">
        <f>IF($S49="","",INDEX(Resultaten!$Z$7:$Z$66,$S49))</f>
        <v/>
      </c>
      <c r="S50">
        <f>$S49</f>
        <v/>
      </c>
    </row>
    <row r="51">
      <c r="A51" s="17">
        <f>IF($S51="","",INDEX(Resultaten!$AA$7:$AA$66,$S51))</f>
        <v/>
      </c>
      <c r="B51" s="18">
        <f>IF($S51="","",INDEX(Resultaten!$B$7:$B$66,$S51))</f>
        <v/>
      </c>
      <c r="C51" s="19">
        <f>IF($S51="","",INDEX(Resultaten!$C$7:$C$66,$S51))</f>
        <v/>
      </c>
      <c r="D51" s="19">
        <f>IF($S51="","",INDEX(Resultaten!$D$7:$D$66,$S51))</f>
        <v/>
      </c>
      <c r="E51" s="20">
        <f>IF($S51="","","Geschoten")</f>
        <v/>
      </c>
      <c r="F51" s="19">
        <f>IF($S51="","",IF(INDEX(Resultaten!$E$7:$N$66,$S51,1)="","",INDEX(Resultaten!$E$7:$N$66,$S51,1)))</f>
        <v/>
      </c>
      <c r="G51" s="19">
        <f>IF($S51="","",IF(INDEX(Resultaten!$E$7:$N$66,$S51,2)="","",INDEX(Resultaten!$E$7:$N$66,$S51,2)))</f>
        <v/>
      </c>
      <c r="H51" s="19">
        <f>IF($S51="","",IF(INDEX(Resultaten!$E$7:$N$66,$S51,3)="","",INDEX(Resultaten!$E$7:$N$66,$S51,3)))</f>
        <v/>
      </c>
      <c r="I51" s="19">
        <f>IF($S51="","",IF(INDEX(Resultaten!$E$7:$N$66,$S51,4)="","",INDEX(Resultaten!$E$7:$N$66,$S51,4)))</f>
        <v/>
      </c>
      <c r="J51" s="19">
        <f>IF($S51="","",IF(INDEX(Resultaten!$E$7:$N$66,$S51,5)="","",INDEX(Resultaten!$E$7:$N$66,$S51,5)))</f>
        <v/>
      </c>
      <c r="K51" s="19">
        <f>IF($S51="","",IF(INDEX(Resultaten!$E$7:$N$66,$S51,6)="","",INDEX(Resultaten!$E$7:$N$66,$S51,6)))</f>
        <v/>
      </c>
      <c r="L51" s="19">
        <f>IF($S51="","",IF(INDEX(Resultaten!$E$7:$N$66,$S51,7)="","",INDEX(Resultaten!$E$7:$N$66,$S51,7)))</f>
        <v/>
      </c>
      <c r="M51" s="19">
        <f>IF($S51="","",IF(INDEX(Resultaten!$E$7:$N$66,$S51,8)="","",INDEX(Resultaten!$E$7:$N$66,$S51,8)))</f>
        <v/>
      </c>
      <c r="N51" s="19">
        <f>IF($S51="","",IF(INDEX(Resultaten!$E$7:$N$66,$S51,9)="","",INDEX(Resultaten!$E$7:$N$66,$S51,9)))</f>
        <v/>
      </c>
      <c r="O51" s="19">
        <f>IF($S51="","",IF(INDEX(Resultaten!$E$7:$N$66,$S51,10)="","",INDEX(Resultaten!$E$7:$N$66,$S51,10)))</f>
        <v/>
      </c>
      <c r="P51" s="19">
        <f>IF(OR($S51="",COUNT($F51:$O51)=0),"",ROUND(IFERROR(LARGE($F51:$O51,1),0)*($R$5&gt;=1)+IFERROR(LARGE($F51:$O51,2),0)*($R$5&gt;=2)+IFERROR(LARGE($F51:$O51,3),0)*($R$5&gt;=3)+IFERROR(LARGE($F51:$O51,4),0)*($R$5&gt;=4)+IFERROR(LARGE($F51:$O51,5),0)*($R$5&gt;=5)+IFERROR(LARGE($F51:$O51,6),0)*($R$5&gt;=6)+IFERROR(LARGE($F51:$O51,7),0)*($R$5&gt;=7)+IFERROR(LARGE($F51:$O51,8),0)*($R$5&gt;=8)+IFERROR(LARGE($F51:$O51,9),0)*($R$5&gt;=9)+IFERROR(LARGE($F51:$O51,10),0)*($R$5&gt;=10),1))</f>
        <v/>
      </c>
      <c r="Q51" s="21">
        <f>IF(N($P51)=0,"",$P51/MIN($R$5,COUNT($F51:$O51)))</f>
        <v/>
      </c>
      <c r="R51">
        <f>IFERROR(LARGE(Resultaten!$AC$7:$AC$66,23),"")</f>
        <v/>
      </c>
      <c r="S51">
        <f>IF($R51="","",MATCH($R51,Resultaten!$AC$7:$AC$66,0))</f>
        <v/>
      </c>
    </row>
    <row r="52">
      <c r="A52" s="17" t="n"/>
      <c r="B52" s="18" t="n"/>
      <c r="C52" s="19" t="n"/>
      <c r="D52" s="19" t="n"/>
      <c r="E52" s="20">
        <f>IF($S51="","","Op 100 schutters")</f>
        <v/>
      </c>
      <c r="F52" s="21">
        <f>IF($S51="","",INDEX(Resultaten!$O$7:$X$66,$S51,1))</f>
        <v/>
      </c>
      <c r="G52" s="21">
        <f>IF($S51="","",INDEX(Resultaten!$O$7:$X$66,$S51,2))</f>
        <v/>
      </c>
      <c r="H52" s="21">
        <f>IF($S51="","",INDEX(Resultaten!$O$7:$X$66,$S51,3))</f>
        <v/>
      </c>
      <c r="I52" s="21">
        <f>IF($S51="","",INDEX(Resultaten!$O$7:$X$66,$S51,4))</f>
        <v/>
      </c>
      <c r="J52" s="21">
        <f>IF($S51="","",INDEX(Resultaten!$O$7:$X$66,$S51,5))</f>
        <v/>
      </c>
      <c r="K52" s="21">
        <f>IF($S51="","",INDEX(Resultaten!$O$7:$X$66,$S51,6))</f>
        <v/>
      </c>
      <c r="L52" s="21">
        <f>IF($S51="","",INDEX(Resultaten!$O$7:$X$66,$S51,7))</f>
        <v/>
      </c>
      <c r="M52" s="21">
        <f>IF($S51="","",INDEX(Resultaten!$O$7:$X$66,$S51,8))</f>
        <v/>
      </c>
      <c r="N52" s="21">
        <f>IF($S51="","",INDEX(Resultaten!$O$7:$X$66,$S51,9))</f>
        <v/>
      </c>
      <c r="O52" s="21">
        <f>IF($S51="","",INDEX(Resultaten!$O$7:$X$66,$S51,10))</f>
        <v/>
      </c>
      <c r="P52" s="22">
        <f>IF($S51="","",INDEX(Resultaten!$Y$7:$Y$66,$S51))</f>
        <v/>
      </c>
      <c r="Q52" s="21">
        <f>IF($S51="","",INDEX(Resultaten!$Z$7:$Z$66,$S51))</f>
        <v/>
      </c>
      <c r="S52">
        <f>$S51</f>
        <v/>
      </c>
    </row>
    <row r="53">
      <c r="A53" s="17">
        <f>IF($S53="","",INDEX(Resultaten!$AA$7:$AA$66,$S53))</f>
        <v/>
      </c>
      <c r="B53" s="18">
        <f>IF($S53="","",INDEX(Resultaten!$B$7:$B$66,$S53))</f>
        <v/>
      </c>
      <c r="C53" s="19">
        <f>IF($S53="","",INDEX(Resultaten!$C$7:$C$66,$S53))</f>
        <v/>
      </c>
      <c r="D53" s="19">
        <f>IF($S53="","",INDEX(Resultaten!$D$7:$D$66,$S53))</f>
        <v/>
      </c>
      <c r="E53" s="20">
        <f>IF($S53="","","Geschoten")</f>
        <v/>
      </c>
      <c r="F53" s="19">
        <f>IF($S53="","",IF(INDEX(Resultaten!$E$7:$N$66,$S53,1)="","",INDEX(Resultaten!$E$7:$N$66,$S53,1)))</f>
        <v/>
      </c>
      <c r="G53" s="19">
        <f>IF($S53="","",IF(INDEX(Resultaten!$E$7:$N$66,$S53,2)="","",INDEX(Resultaten!$E$7:$N$66,$S53,2)))</f>
        <v/>
      </c>
      <c r="H53" s="19">
        <f>IF($S53="","",IF(INDEX(Resultaten!$E$7:$N$66,$S53,3)="","",INDEX(Resultaten!$E$7:$N$66,$S53,3)))</f>
        <v/>
      </c>
      <c r="I53" s="19">
        <f>IF($S53="","",IF(INDEX(Resultaten!$E$7:$N$66,$S53,4)="","",INDEX(Resultaten!$E$7:$N$66,$S53,4)))</f>
        <v/>
      </c>
      <c r="J53" s="19">
        <f>IF($S53="","",IF(INDEX(Resultaten!$E$7:$N$66,$S53,5)="","",INDEX(Resultaten!$E$7:$N$66,$S53,5)))</f>
        <v/>
      </c>
      <c r="K53" s="19">
        <f>IF($S53="","",IF(INDEX(Resultaten!$E$7:$N$66,$S53,6)="","",INDEX(Resultaten!$E$7:$N$66,$S53,6)))</f>
        <v/>
      </c>
      <c r="L53" s="19">
        <f>IF($S53="","",IF(INDEX(Resultaten!$E$7:$N$66,$S53,7)="","",INDEX(Resultaten!$E$7:$N$66,$S53,7)))</f>
        <v/>
      </c>
      <c r="M53" s="19">
        <f>IF($S53="","",IF(INDEX(Resultaten!$E$7:$N$66,$S53,8)="","",INDEX(Resultaten!$E$7:$N$66,$S53,8)))</f>
        <v/>
      </c>
      <c r="N53" s="19">
        <f>IF($S53="","",IF(INDEX(Resultaten!$E$7:$N$66,$S53,9)="","",INDEX(Resultaten!$E$7:$N$66,$S53,9)))</f>
        <v/>
      </c>
      <c r="O53" s="19">
        <f>IF($S53="","",IF(INDEX(Resultaten!$E$7:$N$66,$S53,10)="","",INDEX(Resultaten!$E$7:$N$66,$S53,10)))</f>
        <v/>
      </c>
      <c r="P53" s="19">
        <f>IF(OR($S53="",COUNT($F53:$O53)=0),"",ROUND(IFERROR(LARGE($F53:$O53,1),0)*($R$5&gt;=1)+IFERROR(LARGE($F53:$O53,2),0)*($R$5&gt;=2)+IFERROR(LARGE($F53:$O53,3),0)*($R$5&gt;=3)+IFERROR(LARGE($F53:$O53,4),0)*($R$5&gt;=4)+IFERROR(LARGE($F53:$O53,5),0)*($R$5&gt;=5)+IFERROR(LARGE($F53:$O53,6),0)*($R$5&gt;=6)+IFERROR(LARGE($F53:$O53,7),0)*($R$5&gt;=7)+IFERROR(LARGE($F53:$O53,8),0)*($R$5&gt;=8)+IFERROR(LARGE($F53:$O53,9),0)*($R$5&gt;=9)+IFERROR(LARGE($F53:$O53,10),0)*($R$5&gt;=10),1))</f>
        <v/>
      </c>
      <c r="Q53" s="21">
        <f>IF(N($P53)=0,"",$P53/MIN($R$5,COUNT($F53:$O53)))</f>
        <v/>
      </c>
      <c r="R53">
        <f>IFERROR(LARGE(Resultaten!$AC$7:$AC$66,24),"")</f>
        <v/>
      </c>
      <c r="S53">
        <f>IF($R53="","",MATCH($R53,Resultaten!$AC$7:$AC$66,0))</f>
        <v/>
      </c>
    </row>
    <row r="54">
      <c r="A54" s="17" t="n"/>
      <c r="B54" s="18" t="n"/>
      <c r="C54" s="19" t="n"/>
      <c r="D54" s="19" t="n"/>
      <c r="E54" s="20">
        <f>IF($S53="","","Op 100 schutters")</f>
        <v/>
      </c>
      <c r="F54" s="21">
        <f>IF($S53="","",INDEX(Resultaten!$O$7:$X$66,$S53,1))</f>
        <v/>
      </c>
      <c r="G54" s="21">
        <f>IF($S53="","",INDEX(Resultaten!$O$7:$X$66,$S53,2))</f>
        <v/>
      </c>
      <c r="H54" s="21">
        <f>IF($S53="","",INDEX(Resultaten!$O$7:$X$66,$S53,3))</f>
        <v/>
      </c>
      <c r="I54" s="21">
        <f>IF($S53="","",INDEX(Resultaten!$O$7:$X$66,$S53,4))</f>
        <v/>
      </c>
      <c r="J54" s="21">
        <f>IF($S53="","",INDEX(Resultaten!$O$7:$X$66,$S53,5))</f>
        <v/>
      </c>
      <c r="K54" s="21">
        <f>IF($S53="","",INDEX(Resultaten!$O$7:$X$66,$S53,6))</f>
        <v/>
      </c>
      <c r="L54" s="21">
        <f>IF($S53="","",INDEX(Resultaten!$O$7:$X$66,$S53,7))</f>
        <v/>
      </c>
      <c r="M54" s="21">
        <f>IF($S53="","",INDEX(Resultaten!$O$7:$X$66,$S53,8))</f>
        <v/>
      </c>
      <c r="N54" s="21">
        <f>IF($S53="","",INDEX(Resultaten!$O$7:$X$66,$S53,9))</f>
        <v/>
      </c>
      <c r="O54" s="21">
        <f>IF($S53="","",INDEX(Resultaten!$O$7:$X$66,$S53,10))</f>
        <v/>
      </c>
      <c r="P54" s="22">
        <f>IF($S53="","",INDEX(Resultaten!$Y$7:$Y$66,$S53))</f>
        <v/>
      </c>
      <c r="Q54" s="21">
        <f>IF($S53="","",INDEX(Resultaten!$Z$7:$Z$66,$S53))</f>
        <v/>
      </c>
      <c r="S54">
        <f>$S53</f>
        <v/>
      </c>
    </row>
    <row r="55">
      <c r="A55" s="17">
        <f>IF($S55="","",INDEX(Resultaten!$AA$7:$AA$66,$S55))</f>
        <v/>
      </c>
      <c r="B55" s="18">
        <f>IF($S55="","",INDEX(Resultaten!$B$7:$B$66,$S55))</f>
        <v/>
      </c>
      <c r="C55" s="19">
        <f>IF($S55="","",INDEX(Resultaten!$C$7:$C$66,$S55))</f>
        <v/>
      </c>
      <c r="D55" s="19">
        <f>IF($S55="","",INDEX(Resultaten!$D$7:$D$66,$S55))</f>
        <v/>
      </c>
      <c r="E55" s="20">
        <f>IF($S55="","","Geschoten")</f>
        <v/>
      </c>
      <c r="F55" s="19">
        <f>IF($S55="","",IF(INDEX(Resultaten!$E$7:$N$66,$S55,1)="","",INDEX(Resultaten!$E$7:$N$66,$S55,1)))</f>
        <v/>
      </c>
      <c r="G55" s="19">
        <f>IF($S55="","",IF(INDEX(Resultaten!$E$7:$N$66,$S55,2)="","",INDEX(Resultaten!$E$7:$N$66,$S55,2)))</f>
        <v/>
      </c>
      <c r="H55" s="19">
        <f>IF($S55="","",IF(INDEX(Resultaten!$E$7:$N$66,$S55,3)="","",INDEX(Resultaten!$E$7:$N$66,$S55,3)))</f>
        <v/>
      </c>
      <c r="I55" s="19">
        <f>IF($S55="","",IF(INDEX(Resultaten!$E$7:$N$66,$S55,4)="","",INDEX(Resultaten!$E$7:$N$66,$S55,4)))</f>
        <v/>
      </c>
      <c r="J55" s="19">
        <f>IF($S55="","",IF(INDEX(Resultaten!$E$7:$N$66,$S55,5)="","",INDEX(Resultaten!$E$7:$N$66,$S55,5)))</f>
        <v/>
      </c>
      <c r="K55" s="19">
        <f>IF($S55="","",IF(INDEX(Resultaten!$E$7:$N$66,$S55,6)="","",INDEX(Resultaten!$E$7:$N$66,$S55,6)))</f>
        <v/>
      </c>
      <c r="L55" s="19">
        <f>IF($S55="","",IF(INDEX(Resultaten!$E$7:$N$66,$S55,7)="","",INDEX(Resultaten!$E$7:$N$66,$S55,7)))</f>
        <v/>
      </c>
      <c r="M55" s="19">
        <f>IF($S55="","",IF(INDEX(Resultaten!$E$7:$N$66,$S55,8)="","",INDEX(Resultaten!$E$7:$N$66,$S55,8)))</f>
        <v/>
      </c>
      <c r="N55" s="19">
        <f>IF($S55="","",IF(INDEX(Resultaten!$E$7:$N$66,$S55,9)="","",INDEX(Resultaten!$E$7:$N$66,$S55,9)))</f>
        <v/>
      </c>
      <c r="O55" s="19">
        <f>IF($S55="","",IF(INDEX(Resultaten!$E$7:$N$66,$S55,10)="","",INDEX(Resultaten!$E$7:$N$66,$S55,10)))</f>
        <v/>
      </c>
      <c r="P55" s="19">
        <f>IF(OR($S55="",COUNT($F55:$O55)=0),"",ROUND(IFERROR(LARGE($F55:$O55,1),0)*($R$5&gt;=1)+IFERROR(LARGE($F55:$O55,2),0)*($R$5&gt;=2)+IFERROR(LARGE($F55:$O55,3),0)*($R$5&gt;=3)+IFERROR(LARGE($F55:$O55,4),0)*($R$5&gt;=4)+IFERROR(LARGE($F55:$O55,5),0)*($R$5&gt;=5)+IFERROR(LARGE($F55:$O55,6),0)*($R$5&gt;=6)+IFERROR(LARGE($F55:$O55,7),0)*($R$5&gt;=7)+IFERROR(LARGE($F55:$O55,8),0)*($R$5&gt;=8)+IFERROR(LARGE($F55:$O55,9),0)*($R$5&gt;=9)+IFERROR(LARGE($F55:$O55,10),0)*($R$5&gt;=10),1))</f>
        <v/>
      </c>
      <c r="Q55" s="21">
        <f>IF(N($P55)=0,"",$P55/MIN($R$5,COUNT($F55:$O55)))</f>
        <v/>
      </c>
      <c r="R55">
        <f>IFERROR(LARGE(Resultaten!$AC$7:$AC$66,25),"")</f>
        <v/>
      </c>
      <c r="S55">
        <f>IF($R55="","",MATCH($R55,Resultaten!$AC$7:$AC$66,0))</f>
        <v/>
      </c>
    </row>
    <row r="56">
      <c r="A56" s="17" t="n"/>
      <c r="B56" s="18" t="n"/>
      <c r="C56" s="19" t="n"/>
      <c r="D56" s="19" t="n"/>
      <c r="E56" s="20">
        <f>IF($S55="","","Op 100 schutters")</f>
        <v/>
      </c>
      <c r="F56" s="21">
        <f>IF($S55="","",INDEX(Resultaten!$O$7:$X$66,$S55,1))</f>
        <v/>
      </c>
      <c r="G56" s="21">
        <f>IF($S55="","",INDEX(Resultaten!$O$7:$X$66,$S55,2))</f>
        <v/>
      </c>
      <c r="H56" s="21">
        <f>IF($S55="","",INDEX(Resultaten!$O$7:$X$66,$S55,3))</f>
        <v/>
      </c>
      <c r="I56" s="21">
        <f>IF($S55="","",INDEX(Resultaten!$O$7:$X$66,$S55,4))</f>
        <v/>
      </c>
      <c r="J56" s="21">
        <f>IF($S55="","",INDEX(Resultaten!$O$7:$X$66,$S55,5))</f>
        <v/>
      </c>
      <c r="K56" s="21">
        <f>IF($S55="","",INDEX(Resultaten!$O$7:$X$66,$S55,6))</f>
        <v/>
      </c>
      <c r="L56" s="21">
        <f>IF($S55="","",INDEX(Resultaten!$O$7:$X$66,$S55,7))</f>
        <v/>
      </c>
      <c r="M56" s="21">
        <f>IF($S55="","",INDEX(Resultaten!$O$7:$X$66,$S55,8))</f>
        <v/>
      </c>
      <c r="N56" s="21">
        <f>IF($S55="","",INDEX(Resultaten!$O$7:$X$66,$S55,9))</f>
        <v/>
      </c>
      <c r="O56" s="21">
        <f>IF($S55="","",INDEX(Resultaten!$O$7:$X$66,$S55,10))</f>
        <v/>
      </c>
      <c r="P56" s="22">
        <f>IF($S55="","",INDEX(Resultaten!$Y$7:$Y$66,$S55))</f>
        <v/>
      </c>
      <c r="Q56" s="21">
        <f>IF($S55="","",INDEX(Resultaten!$Z$7:$Z$66,$S55))</f>
        <v/>
      </c>
      <c r="S56">
        <f>$S55</f>
        <v/>
      </c>
    </row>
    <row r="57">
      <c r="A57" s="17">
        <f>IF($S57="","",INDEX(Resultaten!$AA$7:$AA$66,$S57))</f>
        <v/>
      </c>
      <c r="B57" s="18">
        <f>IF($S57="","",INDEX(Resultaten!$B$7:$B$66,$S57))</f>
        <v/>
      </c>
      <c r="C57" s="19">
        <f>IF($S57="","",INDEX(Resultaten!$C$7:$C$66,$S57))</f>
        <v/>
      </c>
      <c r="D57" s="19">
        <f>IF($S57="","",INDEX(Resultaten!$D$7:$D$66,$S57))</f>
        <v/>
      </c>
      <c r="E57" s="20">
        <f>IF($S57="","","Geschoten")</f>
        <v/>
      </c>
      <c r="F57" s="19">
        <f>IF($S57="","",IF(INDEX(Resultaten!$E$7:$N$66,$S57,1)="","",INDEX(Resultaten!$E$7:$N$66,$S57,1)))</f>
        <v/>
      </c>
      <c r="G57" s="19">
        <f>IF($S57="","",IF(INDEX(Resultaten!$E$7:$N$66,$S57,2)="","",INDEX(Resultaten!$E$7:$N$66,$S57,2)))</f>
        <v/>
      </c>
      <c r="H57" s="19">
        <f>IF($S57="","",IF(INDEX(Resultaten!$E$7:$N$66,$S57,3)="","",INDEX(Resultaten!$E$7:$N$66,$S57,3)))</f>
        <v/>
      </c>
      <c r="I57" s="19">
        <f>IF($S57="","",IF(INDEX(Resultaten!$E$7:$N$66,$S57,4)="","",INDEX(Resultaten!$E$7:$N$66,$S57,4)))</f>
        <v/>
      </c>
      <c r="J57" s="19">
        <f>IF($S57="","",IF(INDEX(Resultaten!$E$7:$N$66,$S57,5)="","",INDEX(Resultaten!$E$7:$N$66,$S57,5)))</f>
        <v/>
      </c>
      <c r="K57" s="19">
        <f>IF($S57="","",IF(INDEX(Resultaten!$E$7:$N$66,$S57,6)="","",INDEX(Resultaten!$E$7:$N$66,$S57,6)))</f>
        <v/>
      </c>
      <c r="L57" s="19">
        <f>IF($S57="","",IF(INDEX(Resultaten!$E$7:$N$66,$S57,7)="","",INDEX(Resultaten!$E$7:$N$66,$S57,7)))</f>
        <v/>
      </c>
      <c r="M57" s="19">
        <f>IF($S57="","",IF(INDEX(Resultaten!$E$7:$N$66,$S57,8)="","",INDEX(Resultaten!$E$7:$N$66,$S57,8)))</f>
        <v/>
      </c>
      <c r="N57" s="19">
        <f>IF($S57="","",IF(INDEX(Resultaten!$E$7:$N$66,$S57,9)="","",INDEX(Resultaten!$E$7:$N$66,$S57,9)))</f>
        <v/>
      </c>
      <c r="O57" s="19">
        <f>IF($S57="","",IF(INDEX(Resultaten!$E$7:$N$66,$S57,10)="","",INDEX(Resultaten!$E$7:$N$66,$S57,10)))</f>
        <v/>
      </c>
      <c r="P57" s="19">
        <f>IF(OR($S57="",COUNT($F57:$O57)=0),"",ROUND(IFERROR(LARGE($F57:$O57,1),0)*($R$5&gt;=1)+IFERROR(LARGE($F57:$O57,2),0)*($R$5&gt;=2)+IFERROR(LARGE($F57:$O57,3),0)*($R$5&gt;=3)+IFERROR(LARGE($F57:$O57,4),0)*($R$5&gt;=4)+IFERROR(LARGE($F57:$O57,5),0)*($R$5&gt;=5)+IFERROR(LARGE($F57:$O57,6),0)*($R$5&gt;=6)+IFERROR(LARGE($F57:$O57,7),0)*($R$5&gt;=7)+IFERROR(LARGE($F57:$O57,8),0)*($R$5&gt;=8)+IFERROR(LARGE($F57:$O57,9),0)*($R$5&gt;=9)+IFERROR(LARGE($F57:$O57,10),0)*($R$5&gt;=10),1))</f>
        <v/>
      </c>
      <c r="Q57" s="21">
        <f>IF(N($P57)=0,"",$P57/MIN($R$5,COUNT($F57:$O57)))</f>
        <v/>
      </c>
      <c r="R57">
        <f>IFERROR(LARGE(Resultaten!$AC$7:$AC$66,26),"")</f>
        <v/>
      </c>
      <c r="S57">
        <f>IF($R57="","",MATCH($R57,Resultaten!$AC$7:$AC$66,0))</f>
        <v/>
      </c>
    </row>
    <row r="58">
      <c r="A58" s="17" t="n"/>
      <c r="B58" s="18" t="n"/>
      <c r="C58" s="19" t="n"/>
      <c r="D58" s="19" t="n"/>
      <c r="E58" s="20">
        <f>IF($S57="","","Op 100 schutters")</f>
        <v/>
      </c>
      <c r="F58" s="21">
        <f>IF($S57="","",INDEX(Resultaten!$O$7:$X$66,$S57,1))</f>
        <v/>
      </c>
      <c r="G58" s="21">
        <f>IF($S57="","",INDEX(Resultaten!$O$7:$X$66,$S57,2))</f>
        <v/>
      </c>
      <c r="H58" s="21">
        <f>IF($S57="","",INDEX(Resultaten!$O$7:$X$66,$S57,3))</f>
        <v/>
      </c>
      <c r="I58" s="21">
        <f>IF($S57="","",INDEX(Resultaten!$O$7:$X$66,$S57,4))</f>
        <v/>
      </c>
      <c r="J58" s="21">
        <f>IF($S57="","",INDEX(Resultaten!$O$7:$X$66,$S57,5))</f>
        <v/>
      </c>
      <c r="K58" s="21">
        <f>IF($S57="","",INDEX(Resultaten!$O$7:$X$66,$S57,6))</f>
        <v/>
      </c>
      <c r="L58" s="21">
        <f>IF($S57="","",INDEX(Resultaten!$O$7:$X$66,$S57,7))</f>
        <v/>
      </c>
      <c r="M58" s="21">
        <f>IF($S57="","",INDEX(Resultaten!$O$7:$X$66,$S57,8))</f>
        <v/>
      </c>
      <c r="N58" s="21">
        <f>IF($S57="","",INDEX(Resultaten!$O$7:$X$66,$S57,9))</f>
        <v/>
      </c>
      <c r="O58" s="21">
        <f>IF($S57="","",INDEX(Resultaten!$O$7:$X$66,$S57,10))</f>
        <v/>
      </c>
      <c r="P58" s="22">
        <f>IF($S57="","",INDEX(Resultaten!$Y$7:$Y$66,$S57))</f>
        <v/>
      </c>
      <c r="Q58" s="21">
        <f>IF($S57="","",INDEX(Resultaten!$Z$7:$Z$66,$S57))</f>
        <v/>
      </c>
      <c r="S58">
        <f>$S57</f>
        <v/>
      </c>
    </row>
    <row r="59">
      <c r="A59" s="17">
        <f>IF($S59="","",INDEX(Resultaten!$AA$7:$AA$66,$S59))</f>
        <v/>
      </c>
      <c r="B59" s="18">
        <f>IF($S59="","",INDEX(Resultaten!$B$7:$B$66,$S59))</f>
        <v/>
      </c>
      <c r="C59" s="19">
        <f>IF($S59="","",INDEX(Resultaten!$C$7:$C$66,$S59))</f>
        <v/>
      </c>
      <c r="D59" s="19">
        <f>IF($S59="","",INDEX(Resultaten!$D$7:$D$66,$S59))</f>
        <v/>
      </c>
      <c r="E59" s="20">
        <f>IF($S59="","","Geschoten")</f>
        <v/>
      </c>
      <c r="F59" s="19">
        <f>IF($S59="","",IF(INDEX(Resultaten!$E$7:$N$66,$S59,1)="","",INDEX(Resultaten!$E$7:$N$66,$S59,1)))</f>
        <v/>
      </c>
      <c r="G59" s="19">
        <f>IF($S59="","",IF(INDEX(Resultaten!$E$7:$N$66,$S59,2)="","",INDEX(Resultaten!$E$7:$N$66,$S59,2)))</f>
        <v/>
      </c>
      <c r="H59" s="19">
        <f>IF($S59="","",IF(INDEX(Resultaten!$E$7:$N$66,$S59,3)="","",INDEX(Resultaten!$E$7:$N$66,$S59,3)))</f>
        <v/>
      </c>
      <c r="I59" s="19">
        <f>IF($S59="","",IF(INDEX(Resultaten!$E$7:$N$66,$S59,4)="","",INDEX(Resultaten!$E$7:$N$66,$S59,4)))</f>
        <v/>
      </c>
      <c r="J59" s="19">
        <f>IF($S59="","",IF(INDEX(Resultaten!$E$7:$N$66,$S59,5)="","",INDEX(Resultaten!$E$7:$N$66,$S59,5)))</f>
        <v/>
      </c>
      <c r="K59" s="19">
        <f>IF($S59="","",IF(INDEX(Resultaten!$E$7:$N$66,$S59,6)="","",INDEX(Resultaten!$E$7:$N$66,$S59,6)))</f>
        <v/>
      </c>
      <c r="L59" s="19">
        <f>IF($S59="","",IF(INDEX(Resultaten!$E$7:$N$66,$S59,7)="","",INDEX(Resultaten!$E$7:$N$66,$S59,7)))</f>
        <v/>
      </c>
      <c r="M59" s="19">
        <f>IF($S59="","",IF(INDEX(Resultaten!$E$7:$N$66,$S59,8)="","",INDEX(Resultaten!$E$7:$N$66,$S59,8)))</f>
        <v/>
      </c>
      <c r="N59" s="19">
        <f>IF($S59="","",IF(INDEX(Resultaten!$E$7:$N$66,$S59,9)="","",INDEX(Resultaten!$E$7:$N$66,$S59,9)))</f>
        <v/>
      </c>
      <c r="O59" s="19">
        <f>IF($S59="","",IF(INDEX(Resultaten!$E$7:$N$66,$S59,10)="","",INDEX(Resultaten!$E$7:$N$66,$S59,10)))</f>
        <v/>
      </c>
      <c r="P59" s="19">
        <f>IF(OR($S59="",COUNT($F59:$O59)=0),"",ROUND(IFERROR(LARGE($F59:$O59,1),0)*($R$5&gt;=1)+IFERROR(LARGE($F59:$O59,2),0)*($R$5&gt;=2)+IFERROR(LARGE($F59:$O59,3),0)*($R$5&gt;=3)+IFERROR(LARGE($F59:$O59,4),0)*($R$5&gt;=4)+IFERROR(LARGE($F59:$O59,5),0)*($R$5&gt;=5)+IFERROR(LARGE($F59:$O59,6),0)*($R$5&gt;=6)+IFERROR(LARGE($F59:$O59,7),0)*($R$5&gt;=7)+IFERROR(LARGE($F59:$O59,8),0)*($R$5&gt;=8)+IFERROR(LARGE($F59:$O59,9),0)*($R$5&gt;=9)+IFERROR(LARGE($F59:$O59,10),0)*($R$5&gt;=10),1))</f>
        <v/>
      </c>
      <c r="Q59" s="21">
        <f>IF(N($P59)=0,"",$P59/MIN($R$5,COUNT($F59:$O59)))</f>
        <v/>
      </c>
      <c r="R59">
        <f>IFERROR(LARGE(Resultaten!$AC$7:$AC$66,27),"")</f>
        <v/>
      </c>
      <c r="S59">
        <f>IF($R59="","",MATCH($R59,Resultaten!$AC$7:$AC$66,0))</f>
        <v/>
      </c>
    </row>
    <row r="60">
      <c r="A60" s="17" t="n"/>
      <c r="B60" s="18" t="n"/>
      <c r="C60" s="19" t="n"/>
      <c r="D60" s="19" t="n"/>
      <c r="E60" s="20">
        <f>IF($S59="","","Op 100 schutters")</f>
        <v/>
      </c>
      <c r="F60" s="21">
        <f>IF($S59="","",INDEX(Resultaten!$O$7:$X$66,$S59,1))</f>
        <v/>
      </c>
      <c r="G60" s="21">
        <f>IF($S59="","",INDEX(Resultaten!$O$7:$X$66,$S59,2))</f>
        <v/>
      </c>
      <c r="H60" s="21">
        <f>IF($S59="","",INDEX(Resultaten!$O$7:$X$66,$S59,3))</f>
        <v/>
      </c>
      <c r="I60" s="21">
        <f>IF($S59="","",INDEX(Resultaten!$O$7:$X$66,$S59,4))</f>
        <v/>
      </c>
      <c r="J60" s="21">
        <f>IF($S59="","",INDEX(Resultaten!$O$7:$X$66,$S59,5))</f>
        <v/>
      </c>
      <c r="K60" s="21">
        <f>IF($S59="","",INDEX(Resultaten!$O$7:$X$66,$S59,6))</f>
        <v/>
      </c>
      <c r="L60" s="21">
        <f>IF($S59="","",INDEX(Resultaten!$O$7:$X$66,$S59,7))</f>
        <v/>
      </c>
      <c r="M60" s="21">
        <f>IF($S59="","",INDEX(Resultaten!$O$7:$X$66,$S59,8))</f>
        <v/>
      </c>
      <c r="N60" s="21">
        <f>IF($S59="","",INDEX(Resultaten!$O$7:$X$66,$S59,9))</f>
        <v/>
      </c>
      <c r="O60" s="21">
        <f>IF($S59="","",INDEX(Resultaten!$O$7:$X$66,$S59,10))</f>
        <v/>
      </c>
      <c r="P60" s="22">
        <f>IF($S59="","",INDEX(Resultaten!$Y$7:$Y$66,$S59))</f>
        <v/>
      </c>
      <c r="Q60" s="21">
        <f>IF($S59="","",INDEX(Resultaten!$Z$7:$Z$66,$S59))</f>
        <v/>
      </c>
      <c r="S60">
        <f>$S59</f>
        <v/>
      </c>
    </row>
    <row r="61">
      <c r="A61" s="17">
        <f>IF($S61="","",INDEX(Resultaten!$AA$7:$AA$66,$S61))</f>
        <v/>
      </c>
      <c r="B61" s="18">
        <f>IF($S61="","",INDEX(Resultaten!$B$7:$B$66,$S61))</f>
        <v/>
      </c>
      <c r="C61" s="19">
        <f>IF($S61="","",INDEX(Resultaten!$C$7:$C$66,$S61))</f>
        <v/>
      </c>
      <c r="D61" s="19">
        <f>IF($S61="","",INDEX(Resultaten!$D$7:$D$66,$S61))</f>
        <v/>
      </c>
      <c r="E61" s="20">
        <f>IF($S61="","","Geschoten")</f>
        <v/>
      </c>
      <c r="F61" s="19">
        <f>IF($S61="","",IF(INDEX(Resultaten!$E$7:$N$66,$S61,1)="","",INDEX(Resultaten!$E$7:$N$66,$S61,1)))</f>
        <v/>
      </c>
      <c r="G61" s="19">
        <f>IF($S61="","",IF(INDEX(Resultaten!$E$7:$N$66,$S61,2)="","",INDEX(Resultaten!$E$7:$N$66,$S61,2)))</f>
        <v/>
      </c>
      <c r="H61" s="19">
        <f>IF($S61="","",IF(INDEX(Resultaten!$E$7:$N$66,$S61,3)="","",INDEX(Resultaten!$E$7:$N$66,$S61,3)))</f>
        <v/>
      </c>
      <c r="I61" s="19">
        <f>IF($S61="","",IF(INDEX(Resultaten!$E$7:$N$66,$S61,4)="","",INDEX(Resultaten!$E$7:$N$66,$S61,4)))</f>
        <v/>
      </c>
      <c r="J61" s="19">
        <f>IF($S61="","",IF(INDEX(Resultaten!$E$7:$N$66,$S61,5)="","",INDEX(Resultaten!$E$7:$N$66,$S61,5)))</f>
        <v/>
      </c>
      <c r="K61" s="19">
        <f>IF($S61="","",IF(INDEX(Resultaten!$E$7:$N$66,$S61,6)="","",INDEX(Resultaten!$E$7:$N$66,$S61,6)))</f>
        <v/>
      </c>
      <c r="L61" s="19">
        <f>IF($S61="","",IF(INDEX(Resultaten!$E$7:$N$66,$S61,7)="","",INDEX(Resultaten!$E$7:$N$66,$S61,7)))</f>
        <v/>
      </c>
      <c r="M61" s="19">
        <f>IF($S61="","",IF(INDEX(Resultaten!$E$7:$N$66,$S61,8)="","",INDEX(Resultaten!$E$7:$N$66,$S61,8)))</f>
        <v/>
      </c>
      <c r="N61" s="19">
        <f>IF($S61="","",IF(INDEX(Resultaten!$E$7:$N$66,$S61,9)="","",INDEX(Resultaten!$E$7:$N$66,$S61,9)))</f>
        <v/>
      </c>
      <c r="O61" s="19">
        <f>IF($S61="","",IF(INDEX(Resultaten!$E$7:$N$66,$S61,10)="","",INDEX(Resultaten!$E$7:$N$66,$S61,10)))</f>
        <v/>
      </c>
      <c r="P61" s="19">
        <f>IF(OR($S61="",COUNT($F61:$O61)=0),"",ROUND(IFERROR(LARGE($F61:$O61,1),0)*($R$5&gt;=1)+IFERROR(LARGE($F61:$O61,2),0)*($R$5&gt;=2)+IFERROR(LARGE($F61:$O61,3),0)*($R$5&gt;=3)+IFERROR(LARGE($F61:$O61,4),0)*($R$5&gt;=4)+IFERROR(LARGE($F61:$O61,5),0)*($R$5&gt;=5)+IFERROR(LARGE($F61:$O61,6),0)*($R$5&gt;=6)+IFERROR(LARGE($F61:$O61,7),0)*($R$5&gt;=7)+IFERROR(LARGE($F61:$O61,8),0)*($R$5&gt;=8)+IFERROR(LARGE($F61:$O61,9),0)*($R$5&gt;=9)+IFERROR(LARGE($F61:$O61,10),0)*($R$5&gt;=10),1))</f>
        <v/>
      </c>
      <c r="Q61" s="21">
        <f>IF(N($P61)=0,"",$P61/MIN($R$5,COUNT($F61:$O61)))</f>
        <v/>
      </c>
      <c r="R61">
        <f>IFERROR(LARGE(Resultaten!$AC$7:$AC$66,28),"")</f>
        <v/>
      </c>
      <c r="S61">
        <f>IF($R61="","",MATCH($R61,Resultaten!$AC$7:$AC$66,0))</f>
        <v/>
      </c>
    </row>
    <row r="62">
      <c r="A62" s="17" t="n"/>
      <c r="B62" s="18" t="n"/>
      <c r="C62" s="19" t="n"/>
      <c r="D62" s="19" t="n"/>
      <c r="E62" s="20">
        <f>IF($S61="","","Op 100 schutters")</f>
        <v/>
      </c>
      <c r="F62" s="21">
        <f>IF($S61="","",INDEX(Resultaten!$O$7:$X$66,$S61,1))</f>
        <v/>
      </c>
      <c r="G62" s="21">
        <f>IF($S61="","",INDEX(Resultaten!$O$7:$X$66,$S61,2))</f>
        <v/>
      </c>
      <c r="H62" s="21">
        <f>IF($S61="","",INDEX(Resultaten!$O$7:$X$66,$S61,3))</f>
        <v/>
      </c>
      <c r="I62" s="21">
        <f>IF($S61="","",INDEX(Resultaten!$O$7:$X$66,$S61,4))</f>
        <v/>
      </c>
      <c r="J62" s="21">
        <f>IF($S61="","",INDEX(Resultaten!$O$7:$X$66,$S61,5))</f>
        <v/>
      </c>
      <c r="K62" s="21">
        <f>IF($S61="","",INDEX(Resultaten!$O$7:$X$66,$S61,6))</f>
        <v/>
      </c>
      <c r="L62" s="21">
        <f>IF($S61="","",INDEX(Resultaten!$O$7:$X$66,$S61,7))</f>
        <v/>
      </c>
      <c r="M62" s="21">
        <f>IF($S61="","",INDEX(Resultaten!$O$7:$X$66,$S61,8))</f>
        <v/>
      </c>
      <c r="N62" s="21">
        <f>IF($S61="","",INDEX(Resultaten!$O$7:$X$66,$S61,9))</f>
        <v/>
      </c>
      <c r="O62" s="21">
        <f>IF($S61="","",INDEX(Resultaten!$O$7:$X$66,$S61,10))</f>
        <v/>
      </c>
      <c r="P62" s="22">
        <f>IF($S61="","",INDEX(Resultaten!$Y$7:$Y$66,$S61))</f>
        <v/>
      </c>
      <c r="Q62" s="21">
        <f>IF($S61="","",INDEX(Resultaten!$Z$7:$Z$66,$S61))</f>
        <v/>
      </c>
      <c r="S62">
        <f>$S61</f>
        <v/>
      </c>
    </row>
    <row r="63">
      <c r="A63" s="17">
        <f>IF($S63="","",INDEX(Resultaten!$AA$7:$AA$66,$S63))</f>
        <v/>
      </c>
      <c r="B63" s="18">
        <f>IF($S63="","",INDEX(Resultaten!$B$7:$B$66,$S63))</f>
        <v/>
      </c>
      <c r="C63" s="19">
        <f>IF($S63="","",INDEX(Resultaten!$C$7:$C$66,$S63))</f>
        <v/>
      </c>
      <c r="D63" s="19">
        <f>IF($S63="","",INDEX(Resultaten!$D$7:$D$66,$S63))</f>
        <v/>
      </c>
      <c r="E63" s="20">
        <f>IF($S63="","","Geschoten")</f>
        <v/>
      </c>
      <c r="F63" s="19">
        <f>IF($S63="","",IF(INDEX(Resultaten!$E$7:$N$66,$S63,1)="","",INDEX(Resultaten!$E$7:$N$66,$S63,1)))</f>
        <v/>
      </c>
      <c r="G63" s="19">
        <f>IF($S63="","",IF(INDEX(Resultaten!$E$7:$N$66,$S63,2)="","",INDEX(Resultaten!$E$7:$N$66,$S63,2)))</f>
        <v/>
      </c>
      <c r="H63" s="19">
        <f>IF($S63="","",IF(INDEX(Resultaten!$E$7:$N$66,$S63,3)="","",INDEX(Resultaten!$E$7:$N$66,$S63,3)))</f>
        <v/>
      </c>
      <c r="I63" s="19">
        <f>IF($S63="","",IF(INDEX(Resultaten!$E$7:$N$66,$S63,4)="","",INDEX(Resultaten!$E$7:$N$66,$S63,4)))</f>
        <v/>
      </c>
      <c r="J63" s="19">
        <f>IF($S63="","",IF(INDEX(Resultaten!$E$7:$N$66,$S63,5)="","",INDEX(Resultaten!$E$7:$N$66,$S63,5)))</f>
        <v/>
      </c>
      <c r="K63" s="19">
        <f>IF($S63="","",IF(INDEX(Resultaten!$E$7:$N$66,$S63,6)="","",INDEX(Resultaten!$E$7:$N$66,$S63,6)))</f>
        <v/>
      </c>
      <c r="L63" s="19">
        <f>IF($S63="","",IF(INDEX(Resultaten!$E$7:$N$66,$S63,7)="","",INDEX(Resultaten!$E$7:$N$66,$S63,7)))</f>
        <v/>
      </c>
      <c r="M63" s="19">
        <f>IF($S63="","",IF(INDEX(Resultaten!$E$7:$N$66,$S63,8)="","",INDEX(Resultaten!$E$7:$N$66,$S63,8)))</f>
        <v/>
      </c>
      <c r="N63" s="19">
        <f>IF($S63="","",IF(INDEX(Resultaten!$E$7:$N$66,$S63,9)="","",INDEX(Resultaten!$E$7:$N$66,$S63,9)))</f>
        <v/>
      </c>
      <c r="O63" s="19">
        <f>IF($S63="","",IF(INDEX(Resultaten!$E$7:$N$66,$S63,10)="","",INDEX(Resultaten!$E$7:$N$66,$S63,10)))</f>
        <v/>
      </c>
      <c r="P63" s="19">
        <f>IF(OR($S63="",COUNT($F63:$O63)=0),"",ROUND(IFERROR(LARGE($F63:$O63,1),0)*($R$5&gt;=1)+IFERROR(LARGE($F63:$O63,2),0)*($R$5&gt;=2)+IFERROR(LARGE($F63:$O63,3),0)*($R$5&gt;=3)+IFERROR(LARGE($F63:$O63,4),0)*($R$5&gt;=4)+IFERROR(LARGE($F63:$O63,5),0)*($R$5&gt;=5)+IFERROR(LARGE($F63:$O63,6),0)*($R$5&gt;=6)+IFERROR(LARGE($F63:$O63,7),0)*($R$5&gt;=7)+IFERROR(LARGE($F63:$O63,8),0)*($R$5&gt;=8)+IFERROR(LARGE($F63:$O63,9),0)*($R$5&gt;=9)+IFERROR(LARGE($F63:$O63,10),0)*($R$5&gt;=10),1))</f>
        <v/>
      </c>
      <c r="Q63" s="21">
        <f>IF(N($P63)=0,"",$P63/MIN($R$5,COUNT($F63:$O63)))</f>
        <v/>
      </c>
      <c r="R63">
        <f>IFERROR(LARGE(Resultaten!$AC$7:$AC$66,29),"")</f>
        <v/>
      </c>
      <c r="S63">
        <f>IF($R63="","",MATCH($R63,Resultaten!$AC$7:$AC$66,0))</f>
        <v/>
      </c>
    </row>
    <row r="64">
      <c r="A64" s="17" t="n"/>
      <c r="B64" s="18" t="n"/>
      <c r="C64" s="19" t="n"/>
      <c r="D64" s="19" t="n"/>
      <c r="E64" s="20">
        <f>IF($S63="","","Op 100 schutters")</f>
        <v/>
      </c>
      <c r="F64" s="21">
        <f>IF($S63="","",INDEX(Resultaten!$O$7:$X$66,$S63,1))</f>
        <v/>
      </c>
      <c r="G64" s="21">
        <f>IF($S63="","",INDEX(Resultaten!$O$7:$X$66,$S63,2))</f>
        <v/>
      </c>
      <c r="H64" s="21">
        <f>IF($S63="","",INDEX(Resultaten!$O$7:$X$66,$S63,3))</f>
        <v/>
      </c>
      <c r="I64" s="21">
        <f>IF($S63="","",INDEX(Resultaten!$O$7:$X$66,$S63,4))</f>
        <v/>
      </c>
      <c r="J64" s="21">
        <f>IF($S63="","",INDEX(Resultaten!$O$7:$X$66,$S63,5))</f>
        <v/>
      </c>
      <c r="K64" s="21">
        <f>IF($S63="","",INDEX(Resultaten!$O$7:$X$66,$S63,6))</f>
        <v/>
      </c>
      <c r="L64" s="21">
        <f>IF($S63="","",INDEX(Resultaten!$O$7:$X$66,$S63,7))</f>
        <v/>
      </c>
      <c r="M64" s="21">
        <f>IF($S63="","",INDEX(Resultaten!$O$7:$X$66,$S63,8))</f>
        <v/>
      </c>
      <c r="N64" s="21">
        <f>IF($S63="","",INDEX(Resultaten!$O$7:$X$66,$S63,9))</f>
        <v/>
      </c>
      <c r="O64" s="21">
        <f>IF($S63="","",INDEX(Resultaten!$O$7:$X$66,$S63,10))</f>
        <v/>
      </c>
      <c r="P64" s="22">
        <f>IF($S63="","",INDEX(Resultaten!$Y$7:$Y$66,$S63))</f>
        <v/>
      </c>
      <c r="Q64" s="21">
        <f>IF($S63="","",INDEX(Resultaten!$Z$7:$Z$66,$S63))</f>
        <v/>
      </c>
      <c r="S64">
        <f>$S63</f>
        <v/>
      </c>
    </row>
    <row r="65">
      <c r="A65" s="17">
        <f>IF($S65="","",INDEX(Resultaten!$AA$7:$AA$66,$S65))</f>
        <v/>
      </c>
      <c r="B65" s="18">
        <f>IF($S65="","",INDEX(Resultaten!$B$7:$B$66,$S65))</f>
        <v/>
      </c>
      <c r="C65" s="19">
        <f>IF($S65="","",INDEX(Resultaten!$C$7:$C$66,$S65))</f>
        <v/>
      </c>
      <c r="D65" s="19">
        <f>IF($S65="","",INDEX(Resultaten!$D$7:$D$66,$S65))</f>
        <v/>
      </c>
      <c r="E65" s="20">
        <f>IF($S65="","","Geschoten")</f>
        <v/>
      </c>
      <c r="F65" s="19">
        <f>IF($S65="","",IF(INDEX(Resultaten!$E$7:$N$66,$S65,1)="","",INDEX(Resultaten!$E$7:$N$66,$S65,1)))</f>
        <v/>
      </c>
      <c r="G65" s="19">
        <f>IF($S65="","",IF(INDEX(Resultaten!$E$7:$N$66,$S65,2)="","",INDEX(Resultaten!$E$7:$N$66,$S65,2)))</f>
        <v/>
      </c>
      <c r="H65" s="19">
        <f>IF($S65="","",IF(INDEX(Resultaten!$E$7:$N$66,$S65,3)="","",INDEX(Resultaten!$E$7:$N$66,$S65,3)))</f>
        <v/>
      </c>
      <c r="I65" s="19">
        <f>IF($S65="","",IF(INDEX(Resultaten!$E$7:$N$66,$S65,4)="","",INDEX(Resultaten!$E$7:$N$66,$S65,4)))</f>
        <v/>
      </c>
      <c r="J65" s="19">
        <f>IF($S65="","",IF(INDEX(Resultaten!$E$7:$N$66,$S65,5)="","",INDEX(Resultaten!$E$7:$N$66,$S65,5)))</f>
        <v/>
      </c>
      <c r="K65" s="19">
        <f>IF($S65="","",IF(INDEX(Resultaten!$E$7:$N$66,$S65,6)="","",INDEX(Resultaten!$E$7:$N$66,$S65,6)))</f>
        <v/>
      </c>
      <c r="L65" s="19">
        <f>IF($S65="","",IF(INDEX(Resultaten!$E$7:$N$66,$S65,7)="","",INDEX(Resultaten!$E$7:$N$66,$S65,7)))</f>
        <v/>
      </c>
      <c r="M65" s="19">
        <f>IF($S65="","",IF(INDEX(Resultaten!$E$7:$N$66,$S65,8)="","",INDEX(Resultaten!$E$7:$N$66,$S65,8)))</f>
        <v/>
      </c>
      <c r="N65" s="19">
        <f>IF($S65="","",IF(INDEX(Resultaten!$E$7:$N$66,$S65,9)="","",INDEX(Resultaten!$E$7:$N$66,$S65,9)))</f>
        <v/>
      </c>
      <c r="O65" s="19">
        <f>IF($S65="","",IF(INDEX(Resultaten!$E$7:$N$66,$S65,10)="","",INDEX(Resultaten!$E$7:$N$66,$S65,10)))</f>
        <v/>
      </c>
      <c r="P65" s="19">
        <f>IF(OR($S65="",COUNT($F65:$O65)=0),"",ROUND(IFERROR(LARGE($F65:$O65,1),0)*($R$5&gt;=1)+IFERROR(LARGE($F65:$O65,2),0)*($R$5&gt;=2)+IFERROR(LARGE($F65:$O65,3),0)*($R$5&gt;=3)+IFERROR(LARGE($F65:$O65,4),0)*($R$5&gt;=4)+IFERROR(LARGE($F65:$O65,5),0)*($R$5&gt;=5)+IFERROR(LARGE($F65:$O65,6),0)*($R$5&gt;=6)+IFERROR(LARGE($F65:$O65,7),0)*($R$5&gt;=7)+IFERROR(LARGE($F65:$O65,8),0)*($R$5&gt;=8)+IFERROR(LARGE($F65:$O65,9),0)*($R$5&gt;=9)+IFERROR(LARGE($F65:$O65,10),0)*($R$5&gt;=10),1))</f>
        <v/>
      </c>
      <c r="Q65" s="21">
        <f>IF(N($P65)=0,"",$P65/MIN($R$5,COUNT($F65:$O65)))</f>
        <v/>
      </c>
      <c r="R65">
        <f>IFERROR(LARGE(Resultaten!$AC$7:$AC$66,30),"")</f>
        <v/>
      </c>
      <c r="S65">
        <f>IF($R65="","",MATCH($R65,Resultaten!$AC$7:$AC$66,0))</f>
        <v/>
      </c>
    </row>
    <row r="66">
      <c r="A66" s="17" t="n"/>
      <c r="B66" s="18" t="n"/>
      <c r="C66" s="19" t="n"/>
      <c r="D66" s="19" t="n"/>
      <c r="E66" s="20">
        <f>IF($S65="","","Op 100 schutters")</f>
        <v/>
      </c>
      <c r="F66" s="21">
        <f>IF($S65="","",INDEX(Resultaten!$O$7:$X$66,$S65,1))</f>
        <v/>
      </c>
      <c r="G66" s="21">
        <f>IF($S65="","",INDEX(Resultaten!$O$7:$X$66,$S65,2))</f>
        <v/>
      </c>
      <c r="H66" s="21">
        <f>IF($S65="","",INDEX(Resultaten!$O$7:$X$66,$S65,3))</f>
        <v/>
      </c>
      <c r="I66" s="21">
        <f>IF($S65="","",INDEX(Resultaten!$O$7:$X$66,$S65,4))</f>
        <v/>
      </c>
      <c r="J66" s="21">
        <f>IF($S65="","",INDEX(Resultaten!$O$7:$X$66,$S65,5))</f>
        <v/>
      </c>
      <c r="K66" s="21">
        <f>IF($S65="","",INDEX(Resultaten!$O$7:$X$66,$S65,6))</f>
        <v/>
      </c>
      <c r="L66" s="21">
        <f>IF($S65="","",INDEX(Resultaten!$O$7:$X$66,$S65,7))</f>
        <v/>
      </c>
      <c r="M66" s="21">
        <f>IF($S65="","",INDEX(Resultaten!$O$7:$X$66,$S65,8))</f>
        <v/>
      </c>
      <c r="N66" s="21">
        <f>IF($S65="","",INDEX(Resultaten!$O$7:$X$66,$S65,9))</f>
        <v/>
      </c>
      <c r="O66" s="21">
        <f>IF($S65="","",INDEX(Resultaten!$O$7:$X$66,$S65,10))</f>
        <v/>
      </c>
      <c r="P66" s="22">
        <f>IF($S65="","",INDEX(Resultaten!$Y$7:$Y$66,$S65))</f>
        <v/>
      </c>
      <c r="Q66" s="21">
        <f>IF($S65="","",INDEX(Resultaten!$Z$7:$Z$66,$S65))</f>
        <v/>
      </c>
      <c r="S66">
        <f>$S65</f>
        <v/>
      </c>
    </row>
    <row r="67">
      <c r="A67" s="17">
        <f>IF($S67="","",INDEX(Resultaten!$AA$7:$AA$66,$S67))</f>
        <v/>
      </c>
      <c r="B67" s="18">
        <f>IF($S67="","",INDEX(Resultaten!$B$7:$B$66,$S67))</f>
        <v/>
      </c>
      <c r="C67" s="19">
        <f>IF($S67="","",INDEX(Resultaten!$C$7:$C$66,$S67))</f>
        <v/>
      </c>
      <c r="D67" s="19">
        <f>IF($S67="","",INDEX(Resultaten!$D$7:$D$66,$S67))</f>
        <v/>
      </c>
      <c r="E67" s="20">
        <f>IF($S67="","","Geschoten")</f>
        <v/>
      </c>
      <c r="F67" s="19">
        <f>IF($S67="","",IF(INDEX(Resultaten!$E$7:$N$66,$S67,1)="","",INDEX(Resultaten!$E$7:$N$66,$S67,1)))</f>
        <v/>
      </c>
      <c r="G67" s="19">
        <f>IF($S67="","",IF(INDEX(Resultaten!$E$7:$N$66,$S67,2)="","",INDEX(Resultaten!$E$7:$N$66,$S67,2)))</f>
        <v/>
      </c>
      <c r="H67" s="19">
        <f>IF($S67="","",IF(INDEX(Resultaten!$E$7:$N$66,$S67,3)="","",INDEX(Resultaten!$E$7:$N$66,$S67,3)))</f>
        <v/>
      </c>
      <c r="I67" s="19">
        <f>IF($S67="","",IF(INDEX(Resultaten!$E$7:$N$66,$S67,4)="","",INDEX(Resultaten!$E$7:$N$66,$S67,4)))</f>
        <v/>
      </c>
      <c r="J67" s="19">
        <f>IF($S67="","",IF(INDEX(Resultaten!$E$7:$N$66,$S67,5)="","",INDEX(Resultaten!$E$7:$N$66,$S67,5)))</f>
        <v/>
      </c>
      <c r="K67" s="19">
        <f>IF($S67="","",IF(INDEX(Resultaten!$E$7:$N$66,$S67,6)="","",INDEX(Resultaten!$E$7:$N$66,$S67,6)))</f>
        <v/>
      </c>
      <c r="L67" s="19">
        <f>IF($S67="","",IF(INDEX(Resultaten!$E$7:$N$66,$S67,7)="","",INDEX(Resultaten!$E$7:$N$66,$S67,7)))</f>
        <v/>
      </c>
      <c r="M67" s="19">
        <f>IF($S67="","",IF(INDEX(Resultaten!$E$7:$N$66,$S67,8)="","",INDEX(Resultaten!$E$7:$N$66,$S67,8)))</f>
        <v/>
      </c>
      <c r="N67" s="19">
        <f>IF($S67="","",IF(INDEX(Resultaten!$E$7:$N$66,$S67,9)="","",INDEX(Resultaten!$E$7:$N$66,$S67,9)))</f>
        <v/>
      </c>
      <c r="O67" s="19">
        <f>IF($S67="","",IF(INDEX(Resultaten!$E$7:$N$66,$S67,10)="","",INDEX(Resultaten!$E$7:$N$66,$S67,10)))</f>
        <v/>
      </c>
      <c r="P67" s="19">
        <f>IF(OR($S67="",COUNT($F67:$O67)=0),"",ROUND(IFERROR(LARGE($F67:$O67,1),0)*($R$5&gt;=1)+IFERROR(LARGE($F67:$O67,2),0)*($R$5&gt;=2)+IFERROR(LARGE($F67:$O67,3),0)*($R$5&gt;=3)+IFERROR(LARGE($F67:$O67,4),0)*($R$5&gt;=4)+IFERROR(LARGE($F67:$O67,5),0)*($R$5&gt;=5)+IFERROR(LARGE($F67:$O67,6),0)*($R$5&gt;=6)+IFERROR(LARGE($F67:$O67,7),0)*($R$5&gt;=7)+IFERROR(LARGE($F67:$O67,8),0)*($R$5&gt;=8)+IFERROR(LARGE($F67:$O67,9),0)*($R$5&gt;=9)+IFERROR(LARGE($F67:$O67,10),0)*($R$5&gt;=10),1))</f>
        <v/>
      </c>
      <c r="Q67" s="21">
        <f>IF(N($P67)=0,"",$P67/MIN($R$5,COUNT($F67:$O67)))</f>
        <v/>
      </c>
      <c r="R67">
        <f>IFERROR(LARGE(Resultaten!$AC$7:$AC$66,31),"")</f>
        <v/>
      </c>
      <c r="S67">
        <f>IF($R67="","",MATCH($R67,Resultaten!$AC$7:$AC$66,0))</f>
        <v/>
      </c>
    </row>
    <row r="68">
      <c r="A68" s="17" t="n"/>
      <c r="B68" s="18" t="n"/>
      <c r="C68" s="19" t="n"/>
      <c r="D68" s="19" t="n"/>
      <c r="E68" s="20">
        <f>IF($S67="","","Op 100 schutters")</f>
        <v/>
      </c>
      <c r="F68" s="21">
        <f>IF($S67="","",INDEX(Resultaten!$O$7:$X$66,$S67,1))</f>
        <v/>
      </c>
      <c r="G68" s="21">
        <f>IF($S67="","",INDEX(Resultaten!$O$7:$X$66,$S67,2))</f>
        <v/>
      </c>
      <c r="H68" s="21">
        <f>IF($S67="","",INDEX(Resultaten!$O$7:$X$66,$S67,3))</f>
        <v/>
      </c>
      <c r="I68" s="21">
        <f>IF($S67="","",INDEX(Resultaten!$O$7:$X$66,$S67,4))</f>
        <v/>
      </c>
      <c r="J68" s="21">
        <f>IF($S67="","",INDEX(Resultaten!$O$7:$X$66,$S67,5))</f>
        <v/>
      </c>
      <c r="K68" s="21">
        <f>IF($S67="","",INDEX(Resultaten!$O$7:$X$66,$S67,6))</f>
        <v/>
      </c>
      <c r="L68" s="21">
        <f>IF($S67="","",INDEX(Resultaten!$O$7:$X$66,$S67,7))</f>
        <v/>
      </c>
      <c r="M68" s="21">
        <f>IF($S67="","",INDEX(Resultaten!$O$7:$X$66,$S67,8))</f>
        <v/>
      </c>
      <c r="N68" s="21">
        <f>IF($S67="","",INDEX(Resultaten!$O$7:$X$66,$S67,9))</f>
        <v/>
      </c>
      <c r="O68" s="21">
        <f>IF($S67="","",INDEX(Resultaten!$O$7:$X$66,$S67,10))</f>
        <v/>
      </c>
      <c r="P68" s="22">
        <f>IF($S67="","",INDEX(Resultaten!$Y$7:$Y$66,$S67))</f>
        <v/>
      </c>
      <c r="Q68" s="21">
        <f>IF($S67="","",INDEX(Resultaten!$Z$7:$Z$66,$S67))</f>
        <v/>
      </c>
      <c r="S68">
        <f>$S67</f>
        <v/>
      </c>
    </row>
    <row r="69">
      <c r="A69" s="17">
        <f>IF($S69="","",INDEX(Resultaten!$AA$7:$AA$66,$S69))</f>
        <v/>
      </c>
      <c r="B69" s="18">
        <f>IF($S69="","",INDEX(Resultaten!$B$7:$B$66,$S69))</f>
        <v/>
      </c>
      <c r="C69" s="19">
        <f>IF($S69="","",INDEX(Resultaten!$C$7:$C$66,$S69))</f>
        <v/>
      </c>
      <c r="D69" s="19">
        <f>IF($S69="","",INDEX(Resultaten!$D$7:$D$66,$S69))</f>
        <v/>
      </c>
      <c r="E69" s="20">
        <f>IF($S69="","","Geschoten")</f>
        <v/>
      </c>
      <c r="F69" s="19">
        <f>IF($S69="","",IF(INDEX(Resultaten!$E$7:$N$66,$S69,1)="","",INDEX(Resultaten!$E$7:$N$66,$S69,1)))</f>
        <v/>
      </c>
      <c r="G69" s="19">
        <f>IF($S69="","",IF(INDEX(Resultaten!$E$7:$N$66,$S69,2)="","",INDEX(Resultaten!$E$7:$N$66,$S69,2)))</f>
        <v/>
      </c>
      <c r="H69" s="19">
        <f>IF($S69="","",IF(INDEX(Resultaten!$E$7:$N$66,$S69,3)="","",INDEX(Resultaten!$E$7:$N$66,$S69,3)))</f>
        <v/>
      </c>
      <c r="I69" s="19">
        <f>IF($S69="","",IF(INDEX(Resultaten!$E$7:$N$66,$S69,4)="","",INDEX(Resultaten!$E$7:$N$66,$S69,4)))</f>
        <v/>
      </c>
      <c r="J69" s="19">
        <f>IF($S69="","",IF(INDEX(Resultaten!$E$7:$N$66,$S69,5)="","",INDEX(Resultaten!$E$7:$N$66,$S69,5)))</f>
        <v/>
      </c>
      <c r="K69" s="19">
        <f>IF($S69="","",IF(INDEX(Resultaten!$E$7:$N$66,$S69,6)="","",INDEX(Resultaten!$E$7:$N$66,$S69,6)))</f>
        <v/>
      </c>
      <c r="L69" s="19">
        <f>IF($S69="","",IF(INDEX(Resultaten!$E$7:$N$66,$S69,7)="","",INDEX(Resultaten!$E$7:$N$66,$S69,7)))</f>
        <v/>
      </c>
      <c r="M69" s="19">
        <f>IF($S69="","",IF(INDEX(Resultaten!$E$7:$N$66,$S69,8)="","",INDEX(Resultaten!$E$7:$N$66,$S69,8)))</f>
        <v/>
      </c>
      <c r="N69" s="19">
        <f>IF($S69="","",IF(INDEX(Resultaten!$E$7:$N$66,$S69,9)="","",INDEX(Resultaten!$E$7:$N$66,$S69,9)))</f>
        <v/>
      </c>
      <c r="O69" s="19">
        <f>IF($S69="","",IF(INDEX(Resultaten!$E$7:$N$66,$S69,10)="","",INDEX(Resultaten!$E$7:$N$66,$S69,10)))</f>
        <v/>
      </c>
      <c r="P69" s="19">
        <f>IF(OR($S69="",COUNT($F69:$O69)=0),"",ROUND(IFERROR(LARGE($F69:$O69,1),0)*($R$5&gt;=1)+IFERROR(LARGE($F69:$O69,2),0)*($R$5&gt;=2)+IFERROR(LARGE($F69:$O69,3),0)*($R$5&gt;=3)+IFERROR(LARGE($F69:$O69,4),0)*($R$5&gt;=4)+IFERROR(LARGE($F69:$O69,5),0)*($R$5&gt;=5)+IFERROR(LARGE($F69:$O69,6),0)*($R$5&gt;=6)+IFERROR(LARGE($F69:$O69,7),0)*($R$5&gt;=7)+IFERROR(LARGE($F69:$O69,8),0)*($R$5&gt;=8)+IFERROR(LARGE($F69:$O69,9),0)*($R$5&gt;=9)+IFERROR(LARGE($F69:$O69,10),0)*($R$5&gt;=10),1))</f>
        <v/>
      </c>
      <c r="Q69" s="21">
        <f>IF(N($P69)=0,"",$P69/MIN($R$5,COUNT($F69:$O69)))</f>
        <v/>
      </c>
      <c r="R69">
        <f>IFERROR(LARGE(Resultaten!$AC$7:$AC$66,32),"")</f>
        <v/>
      </c>
      <c r="S69">
        <f>IF($R69="","",MATCH($R69,Resultaten!$AC$7:$AC$66,0))</f>
        <v/>
      </c>
    </row>
    <row r="70">
      <c r="A70" s="17" t="n"/>
      <c r="B70" s="18" t="n"/>
      <c r="C70" s="19" t="n"/>
      <c r="D70" s="19" t="n"/>
      <c r="E70" s="20">
        <f>IF($S69="","","Op 100 schutters")</f>
        <v/>
      </c>
      <c r="F70" s="21">
        <f>IF($S69="","",INDEX(Resultaten!$O$7:$X$66,$S69,1))</f>
        <v/>
      </c>
      <c r="G70" s="21">
        <f>IF($S69="","",INDEX(Resultaten!$O$7:$X$66,$S69,2))</f>
        <v/>
      </c>
      <c r="H70" s="21">
        <f>IF($S69="","",INDEX(Resultaten!$O$7:$X$66,$S69,3))</f>
        <v/>
      </c>
      <c r="I70" s="21">
        <f>IF($S69="","",INDEX(Resultaten!$O$7:$X$66,$S69,4))</f>
        <v/>
      </c>
      <c r="J70" s="21">
        <f>IF($S69="","",INDEX(Resultaten!$O$7:$X$66,$S69,5))</f>
        <v/>
      </c>
      <c r="K70" s="21">
        <f>IF($S69="","",INDEX(Resultaten!$O$7:$X$66,$S69,6))</f>
        <v/>
      </c>
      <c r="L70" s="21">
        <f>IF($S69="","",INDEX(Resultaten!$O$7:$X$66,$S69,7))</f>
        <v/>
      </c>
      <c r="M70" s="21">
        <f>IF($S69="","",INDEX(Resultaten!$O$7:$X$66,$S69,8))</f>
        <v/>
      </c>
      <c r="N70" s="21">
        <f>IF($S69="","",INDEX(Resultaten!$O$7:$X$66,$S69,9))</f>
        <v/>
      </c>
      <c r="O70" s="21">
        <f>IF($S69="","",INDEX(Resultaten!$O$7:$X$66,$S69,10))</f>
        <v/>
      </c>
      <c r="P70" s="22">
        <f>IF($S69="","",INDEX(Resultaten!$Y$7:$Y$66,$S69))</f>
        <v/>
      </c>
      <c r="Q70" s="21">
        <f>IF($S69="","",INDEX(Resultaten!$Z$7:$Z$66,$S69))</f>
        <v/>
      </c>
      <c r="S70">
        <f>$S69</f>
        <v/>
      </c>
    </row>
    <row r="71">
      <c r="A71" s="17">
        <f>IF($S71="","",INDEX(Resultaten!$AA$7:$AA$66,$S71))</f>
        <v/>
      </c>
      <c r="B71" s="18">
        <f>IF($S71="","",INDEX(Resultaten!$B$7:$B$66,$S71))</f>
        <v/>
      </c>
      <c r="C71" s="19">
        <f>IF($S71="","",INDEX(Resultaten!$C$7:$C$66,$S71))</f>
        <v/>
      </c>
      <c r="D71" s="19">
        <f>IF($S71="","",INDEX(Resultaten!$D$7:$D$66,$S71))</f>
        <v/>
      </c>
      <c r="E71" s="20">
        <f>IF($S71="","","Geschoten")</f>
        <v/>
      </c>
      <c r="F71" s="19">
        <f>IF($S71="","",IF(INDEX(Resultaten!$E$7:$N$66,$S71,1)="","",INDEX(Resultaten!$E$7:$N$66,$S71,1)))</f>
        <v/>
      </c>
      <c r="G71" s="19">
        <f>IF($S71="","",IF(INDEX(Resultaten!$E$7:$N$66,$S71,2)="","",INDEX(Resultaten!$E$7:$N$66,$S71,2)))</f>
        <v/>
      </c>
      <c r="H71" s="19">
        <f>IF($S71="","",IF(INDEX(Resultaten!$E$7:$N$66,$S71,3)="","",INDEX(Resultaten!$E$7:$N$66,$S71,3)))</f>
        <v/>
      </c>
      <c r="I71" s="19">
        <f>IF($S71="","",IF(INDEX(Resultaten!$E$7:$N$66,$S71,4)="","",INDEX(Resultaten!$E$7:$N$66,$S71,4)))</f>
        <v/>
      </c>
      <c r="J71" s="19">
        <f>IF($S71="","",IF(INDEX(Resultaten!$E$7:$N$66,$S71,5)="","",INDEX(Resultaten!$E$7:$N$66,$S71,5)))</f>
        <v/>
      </c>
      <c r="K71" s="19">
        <f>IF($S71="","",IF(INDEX(Resultaten!$E$7:$N$66,$S71,6)="","",INDEX(Resultaten!$E$7:$N$66,$S71,6)))</f>
        <v/>
      </c>
      <c r="L71" s="19">
        <f>IF($S71="","",IF(INDEX(Resultaten!$E$7:$N$66,$S71,7)="","",INDEX(Resultaten!$E$7:$N$66,$S71,7)))</f>
        <v/>
      </c>
      <c r="M71" s="19">
        <f>IF($S71="","",IF(INDEX(Resultaten!$E$7:$N$66,$S71,8)="","",INDEX(Resultaten!$E$7:$N$66,$S71,8)))</f>
        <v/>
      </c>
      <c r="N71" s="19">
        <f>IF($S71="","",IF(INDEX(Resultaten!$E$7:$N$66,$S71,9)="","",INDEX(Resultaten!$E$7:$N$66,$S71,9)))</f>
        <v/>
      </c>
      <c r="O71" s="19">
        <f>IF($S71="","",IF(INDEX(Resultaten!$E$7:$N$66,$S71,10)="","",INDEX(Resultaten!$E$7:$N$66,$S71,10)))</f>
        <v/>
      </c>
      <c r="P71" s="19">
        <f>IF(OR($S71="",COUNT($F71:$O71)=0),"",ROUND(IFERROR(LARGE($F71:$O71,1),0)*($R$5&gt;=1)+IFERROR(LARGE($F71:$O71,2),0)*($R$5&gt;=2)+IFERROR(LARGE($F71:$O71,3),0)*($R$5&gt;=3)+IFERROR(LARGE($F71:$O71,4),0)*($R$5&gt;=4)+IFERROR(LARGE($F71:$O71,5),0)*($R$5&gt;=5)+IFERROR(LARGE($F71:$O71,6),0)*($R$5&gt;=6)+IFERROR(LARGE($F71:$O71,7),0)*($R$5&gt;=7)+IFERROR(LARGE($F71:$O71,8),0)*($R$5&gt;=8)+IFERROR(LARGE($F71:$O71,9),0)*($R$5&gt;=9)+IFERROR(LARGE($F71:$O71,10),0)*($R$5&gt;=10),1))</f>
        <v/>
      </c>
      <c r="Q71" s="21">
        <f>IF(N($P71)=0,"",$P71/MIN($R$5,COUNT($F71:$O71)))</f>
        <v/>
      </c>
      <c r="R71">
        <f>IFERROR(LARGE(Resultaten!$AC$7:$AC$66,33),"")</f>
        <v/>
      </c>
      <c r="S71">
        <f>IF($R71="","",MATCH($R71,Resultaten!$AC$7:$AC$66,0))</f>
        <v/>
      </c>
    </row>
    <row r="72">
      <c r="A72" s="17" t="n"/>
      <c r="B72" s="18" t="n"/>
      <c r="C72" s="19" t="n"/>
      <c r="D72" s="19" t="n"/>
      <c r="E72" s="20">
        <f>IF($S71="","","Op 100 schutters")</f>
        <v/>
      </c>
      <c r="F72" s="21">
        <f>IF($S71="","",INDEX(Resultaten!$O$7:$X$66,$S71,1))</f>
        <v/>
      </c>
      <c r="G72" s="21">
        <f>IF($S71="","",INDEX(Resultaten!$O$7:$X$66,$S71,2))</f>
        <v/>
      </c>
      <c r="H72" s="21">
        <f>IF($S71="","",INDEX(Resultaten!$O$7:$X$66,$S71,3))</f>
        <v/>
      </c>
      <c r="I72" s="21">
        <f>IF($S71="","",INDEX(Resultaten!$O$7:$X$66,$S71,4))</f>
        <v/>
      </c>
      <c r="J72" s="21">
        <f>IF($S71="","",INDEX(Resultaten!$O$7:$X$66,$S71,5))</f>
        <v/>
      </c>
      <c r="K72" s="21">
        <f>IF($S71="","",INDEX(Resultaten!$O$7:$X$66,$S71,6))</f>
        <v/>
      </c>
      <c r="L72" s="21">
        <f>IF($S71="","",INDEX(Resultaten!$O$7:$X$66,$S71,7))</f>
        <v/>
      </c>
      <c r="M72" s="21">
        <f>IF($S71="","",INDEX(Resultaten!$O$7:$X$66,$S71,8))</f>
        <v/>
      </c>
      <c r="N72" s="21">
        <f>IF($S71="","",INDEX(Resultaten!$O$7:$X$66,$S71,9))</f>
        <v/>
      </c>
      <c r="O72" s="21">
        <f>IF($S71="","",INDEX(Resultaten!$O$7:$X$66,$S71,10))</f>
        <v/>
      </c>
      <c r="P72" s="22">
        <f>IF($S71="","",INDEX(Resultaten!$Y$7:$Y$66,$S71))</f>
        <v/>
      </c>
      <c r="Q72" s="21">
        <f>IF($S71="","",INDEX(Resultaten!$Z$7:$Z$66,$S71))</f>
        <v/>
      </c>
      <c r="S72">
        <f>$S71</f>
        <v/>
      </c>
    </row>
    <row r="73">
      <c r="A73" s="17">
        <f>IF($S73="","",INDEX(Resultaten!$AA$7:$AA$66,$S73))</f>
        <v/>
      </c>
      <c r="B73" s="18">
        <f>IF($S73="","",INDEX(Resultaten!$B$7:$B$66,$S73))</f>
        <v/>
      </c>
      <c r="C73" s="19">
        <f>IF($S73="","",INDEX(Resultaten!$C$7:$C$66,$S73))</f>
        <v/>
      </c>
      <c r="D73" s="19">
        <f>IF($S73="","",INDEX(Resultaten!$D$7:$D$66,$S73))</f>
        <v/>
      </c>
      <c r="E73" s="20">
        <f>IF($S73="","","Geschoten")</f>
        <v/>
      </c>
      <c r="F73" s="19">
        <f>IF($S73="","",IF(INDEX(Resultaten!$E$7:$N$66,$S73,1)="","",INDEX(Resultaten!$E$7:$N$66,$S73,1)))</f>
        <v/>
      </c>
      <c r="G73" s="19">
        <f>IF($S73="","",IF(INDEX(Resultaten!$E$7:$N$66,$S73,2)="","",INDEX(Resultaten!$E$7:$N$66,$S73,2)))</f>
        <v/>
      </c>
      <c r="H73" s="19">
        <f>IF($S73="","",IF(INDEX(Resultaten!$E$7:$N$66,$S73,3)="","",INDEX(Resultaten!$E$7:$N$66,$S73,3)))</f>
        <v/>
      </c>
      <c r="I73" s="19">
        <f>IF($S73="","",IF(INDEX(Resultaten!$E$7:$N$66,$S73,4)="","",INDEX(Resultaten!$E$7:$N$66,$S73,4)))</f>
        <v/>
      </c>
      <c r="J73" s="19">
        <f>IF($S73="","",IF(INDEX(Resultaten!$E$7:$N$66,$S73,5)="","",INDEX(Resultaten!$E$7:$N$66,$S73,5)))</f>
        <v/>
      </c>
      <c r="K73" s="19">
        <f>IF($S73="","",IF(INDEX(Resultaten!$E$7:$N$66,$S73,6)="","",INDEX(Resultaten!$E$7:$N$66,$S73,6)))</f>
        <v/>
      </c>
      <c r="L73" s="19">
        <f>IF($S73="","",IF(INDEX(Resultaten!$E$7:$N$66,$S73,7)="","",INDEX(Resultaten!$E$7:$N$66,$S73,7)))</f>
        <v/>
      </c>
      <c r="M73" s="19">
        <f>IF($S73="","",IF(INDEX(Resultaten!$E$7:$N$66,$S73,8)="","",INDEX(Resultaten!$E$7:$N$66,$S73,8)))</f>
        <v/>
      </c>
      <c r="N73" s="19">
        <f>IF($S73="","",IF(INDEX(Resultaten!$E$7:$N$66,$S73,9)="","",INDEX(Resultaten!$E$7:$N$66,$S73,9)))</f>
        <v/>
      </c>
      <c r="O73" s="19">
        <f>IF($S73="","",IF(INDEX(Resultaten!$E$7:$N$66,$S73,10)="","",INDEX(Resultaten!$E$7:$N$66,$S73,10)))</f>
        <v/>
      </c>
      <c r="P73" s="19">
        <f>IF(OR($S73="",COUNT($F73:$O73)=0),"",ROUND(IFERROR(LARGE($F73:$O73,1),0)*($R$5&gt;=1)+IFERROR(LARGE($F73:$O73,2),0)*($R$5&gt;=2)+IFERROR(LARGE($F73:$O73,3),0)*($R$5&gt;=3)+IFERROR(LARGE($F73:$O73,4),0)*($R$5&gt;=4)+IFERROR(LARGE($F73:$O73,5),0)*($R$5&gt;=5)+IFERROR(LARGE($F73:$O73,6),0)*($R$5&gt;=6)+IFERROR(LARGE($F73:$O73,7),0)*($R$5&gt;=7)+IFERROR(LARGE($F73:$O73,8),0)*($R$5&gt;=8)+IFERROR(LARGE($F73:$O73,9),0)*($R$5&gt;=9)+IFERROR(LARGE($F73:$O73,10),0)*($R$5&gt;=10),1))</f>
        <v/>
      </c>
      <c r="Q73" s="21">
        <f>IF(N($P73)=0,"",$P73/MIN($R$5,COUNT($F73:$O73)))</f>
        <v/>
      </c>
      <c r="R73">
        <f>IFERROR(LARGE(Resultaten!$AC$7:$AC$66,34),"")</f>
        <v/>
      </c>
      <c r="S73">
        <f>IF($R73="","",MATCH($R73,Resultaten!$AC$7:$AC$66,0))</f>
        <v/>
      </c>
    </row>
    <row r="74">
      <c r="A74" s="17" t="n"/>
      <c r="B74" s="18" t="n"/>
      <c r="C74" s="19" t="n"/>
      <c r="D74" s="19" t="n"/>
      <c r="E74" s="20">
        <f>IF($S73="","","Op 100 schutters")</f>
        <v/>
      </c>
      <c r="F74" s="21">
        <f>IF($S73="","",INDEX(Resultaten!$O$7:$X$66,$S73,1))</f>
        <v/>
      </c>
      <c r="G74" s="21">
        <f>IF($S73="","",INDEX(Resultaten!$O$7:$X$66,$S73,2))</f>
        <v/>
      </c>
      <c r="H74" s="21">
        <f>IF($S73="","",INDEX(Resultaten!$O$7:$X$66,$S73,3))</f>
        <v/>
      </c>
      <c r="I74" s="21">
        <f>IF($S73="","",INDEX(Resultaten!$O$7:$X$66,$S73,4))</f>
        <v/>
      </c>
      <c r="J74" s="21">
        <f>IF($S73="","",INDEX(Resultaten!$O$7:$X$66,$S73,5))</f>
        <v/>
      </c>
      <c r="K74" s="21">
        <f>IF($S73="","",INDEX(Resultaten!$O$7:$X$66,$S73,6))</f>
        <v/>
      </c>
      <c r="L74" s="21">
        <f>IF($S73="","",INDEX(Resultaten!$O$7:$X$66,$S73,7))</f>
        <v/>
      </c>
      <c r="M74" s="21">
        <f>IF($S73="","",INDEX(Resultaten!$O$7:$X$66,$S73,8))</f>
        <v/>
      </c>
      <c r="N74" s="21">
        <f>IF($S73="","",INDEX(Resultaten!$O$7:$X$66,$S73,9))</f>
        <v/>
      </c>
      <c r="O74" s="21">
        <f>IF($S73="","",INDEX(Resultaten!$O$7:$X$66,$S73,10))</f>
        <v/>
      </c>
      <c r="P74" s="22">
        <f>IF($S73="","",INDEX(Resultaten!$Y$7:$Y$66,$S73))</f>
        <v/>
      </c>
      <c r="Q74" s="21">
        <f>IF($S73="","",INDEX(Resultaten!$Z$7:$Z$66,$S73))</f>
        <v/>
      </c>
      <c r="S74">
        <f>$S73</f>
        <v/>
      </c>
    </row>
    <row r="75">
      <c r="A75" s="17">
        <f>IF($S75="","",INDEX(Resultaten!$AA$7:$AA$66,$S75))</f>
        <v/>
      </c>
      <c r="B75" s="18">
        <f>IF($S75="","",INDEX(Resultaten!$B$7:$B$66,$S75))</f>
        <v/>
      </c>
      <c r="C75" s="19">
        <f>IF($S75="","",INDEX(Resultaten!$C$7:$C$66,$S75))</f>
        <v/>
      </c>
      <c r="D75" s="19">
        <f>IF($S75="","",INDEX(Resultaten!$D$7:$D$66,$S75))</f>
        <v/>
      </c>
      <c r="E75" s="20">
        <f>IF($S75="","","Geschoten")</f>
        <v/>
      </c>
      <c r="F75" s="19">
        <f>IF($S75="","",IF(INDEX(Resultaten!$E$7:$N$66,$S75,1)="","",INDEX(Resultaten!$E$7:$N$66,$S75,1)))</f>
        <v/>
      </c>
      <c r="G75" s="19">
        <f>IF($S75="","",IF(INDEX(Resultaten!$E$7:$N$66,$S75,2)="","",INDEX(Resultaten!$E$7:$N$66,$S75,2)))</f>
        <v/>
      </c>
      <c r="H75" s="19">
        <f>IF($S75="","",IF(INDEX(Resultaten!$E$7:$N$66,$S75,3)="","",INDEX(Resultaten!$E$7:$N$66,$S75,3)))</f>
        <v/>
      </c>
      <c r="I75" s="19">
        <f>IF($S75="","",IF(INDEX(Resultaten!$E$7:$N$66,$S75,4)="","",INDEX(Resultaten!$E$7:$N$66,$S75,4)))</f>
        <v/>
      </c>
      <c r="J75" s="19">
        <f>IF($S75="","",IF(INDEX(Resultaten!$E$7:$N$66,$S75,5)="","",INDEX(Resultaten!$E$7:$N$66,$S75,5)))</f>
        <v/>
      </c>
      <c r="K75" s="19">
        <f>IF($S75="","",IF(INDEX(Resultaten!$E$7:$N$66,$S75,6)="","",INDEX(Resultaten!$E$7:$N$66,$S75,6)))</f>
        <v/>
      </c>
      <c r="L75" s="19">
        <f>IF($S75="","",IF(INDEX(Resultaten!$E$7:$N$66,$S75,7)="","",INDEX(Resultaten!$E$7:$N$66,$S75,7)))</f>
        <v/>
      </c>
      <c r="M75" s="19">
        <f>IF($S75="","",IF(INDEX(Resultaten!$E$7:$N$66,$S75,8)="","",INDEX(Resultaten!$E$7:$N$66,$S75,8)))</f>
        <v/>
      </c>
      <c r="N75" s="19">
        <f>IF($S75="","",IF(INDEX(Resultaten!$E$7:$N$66,$S75,9)="","",INDEX(Resultaten!$E$7:$N$66,$S75,9)))</f>
        <v/>
      </c>
      <c r="O75" s="19">
        <f>IF($S75="","",IF(INDEX(Resultaten!$E$7:$N$66,$S75,10)="","",INDEX(Resultaten!$E$7:$N$66,$S75,10)))</f>
        <v/>
      </c>
      <c r="P75" s="19">
        <f>IF(OR($S75="",COUNT($F75:$O75)=0),"",ROUND(IFERROR(LARGE($F75:$O75,1),0)*($R$5&gt;=1)+IFERROR(LARGE($F75:$O75,2),0)*($R$5&gt;=2)+IFERROR(LARGE($F75:$O75,3),0)*($R$5&gt;=3)+IFERROR(LARGE($F75:$O75,4),0)*($R$5&gt;=4)+IFERROR(LARGE($F75:$O75,5),0)*($R$5&gt;=5)+IFERROR(LARGE($F75:$O75,6),0)*($R$5&gt;=6)+IFERROR(LARGE($F75:$O75,7),0)*($R$5&gt;=7)+IFERROR(LARGE($F75:$O75,8),0)*($R$5&gt;=8)+IFERROR(LARGE($F75:$O75,9),0)*($R$5&gt;=9)+IFERROR(LARGE($F75:$O75,10),0)*($R$5&gt;=10),1))</f>
        <v/>
      </c>
      <c r="Q75" s="21">
        <f>IF(N($P75)=0,"",$P75/MIN($R$5,COUNT($F75:$O75)))</f>
        <v/>
      </c>
      <c r="R75">
        <f>IFERROR(LARGE(Resultaten!$AC$7:$AC$66,35),"")</f>
        <v/>
      </c>
      <c r="S75">
        <f>IF($R75="","",MATCH($R75,Resultaten!$AC$7:$AC$66,0))</f>
        <v/>
      </c>
    </row>
    <row r="76">
      <c r="A76" s="17" t="n"/>
      <c r="B76" s="18" t="n"/>
      <c r="C76" s="19" t="n"/>
      <c r="D76" s="19" t="n"/>
      <c r="E76" s="20">
        <f>IF($S75="","","Op 100 schutters")</f>
        <v/>
      </c>
      <c r="F76" s="21">
        <f>IF($S75="","",INDEX(Resultaten!$O$7:$X$66,$S75,1))</f>
        <v/>
      </c>
      <c r="G76" s="21">
        <f>IF($S75="","",INDEX(Resultaten!$O$7:$X$66,$S75,2))</f>
        <v/>
      </c>
      <c r="H76" s="21">
        <f>IF($S75="","",INDEX(Resultaten!$O$7:$X$66,$S75,3))</f>
        <v/>
      </c>
      <c r="I76" s="21">
        <f>IF($S75="","",INDEX(Resultaten!$O$7:$X$66,$S75,4))</f>
        <v/>
      </c>
      <c r="J76" s="21">
        <f>IF($S75="","",INDEX(Resultaten!$O$7:$X$66,$S75,5))</f>
        <v/>
      </c>
      <c r="K76" s="21">
        <f>IF($S75="","",INDEX(Resultaten!$O$7:$X$66,$S75,6))</f>
        <v/>
      </c>
      <c r="L76" s="21">
        <f>IF($S75="","",INDEX(Resultaten!$O$7:$X$66,$S75,7))</f>
        <v/>
      </c>
      <c r="M76" s="21">
        <f>IF($S75="","",INDEX(Resultaten!$O$7:$X$66,$S75,8))</f>
        <v/>
      </c>
      <c r="N76" s="21">
        <f>IF($S75="","",INDEX(Resultaten!$O$7:$X$66,$S75,9))</f>
        <v/>
      </c>
      <c r="O76" s="21">
        <f>IF($S75="","",INDEX(Resultaten!$O$7:$X$66,$S75,10))</f>
        <v/>
      </c>
      <c r="P76" s="22">
        <f>IF($S75="","",INDEX(Resultaten!$Y$7:$Y$66,$S75))</f>
        <v/>
      </c>
      <c r="Q76" s="21">
        <f>IF($S75="","",INDEX(Resultaten!$Z$7:$Z$66,$S75))</f>
        <v/>
      </c>
      <c r="S76">
        <f>$S75</f>
        <v/>
      </c>
    </row>
    <row r="77">
      <c r="A77" s="17">
        <f>IF($S77="","",INDEX(Resultaten!$AA$7:$AA$66,$S77))</f>
        <v/>
      </c>
      <c r="B77" s="18">
        <f>IF($S77="","",INDEX(Resultaten!$B$7:$B$66,$S77))</f>
        <v/>
      </c>
      <c r="C77" s="19">
        <f>IF($S77="","",INDEX(Resultaten!$C$7:$C$66,$S77))</f>
        <v/>
      </c>
      <c r="D77" s="19">
        <f>IF($S77="","",INDEX(Resultaten!$D$7:$D$66,$S77))</f>
        <v/>
      </c>
      <c r="E77" s="20">
        <f>IF($S77="","","Geschoten")</f>
        <v/>
      </c>
      <c r="F77" s="19">
        <f>IF($S77="","",IF(INDEX(Resultaten!$E$7:$N$66,$S77,1)="","",INDEX(Resultaten!$E$7:$N$66,$S77,1)))</f>
        <v/>
      </c>
      <c r="G77" s="19">
        <f>IF($S77="","",IF(INDEX(Resultaten!$E$7:$N$66,$S77,2)="","",INDEX(Resultaten!$E$7:$N$66,$S77,2)))</f>
        <v/>
      </c>
      <c r="H77" s="19">
        <f>IF($S77="","",IF(INDEX(Resultaten!$E$7:$N$66,$S77,3)="","",INDEX(Resultaten!$E$7:$N$66,$S77,3)))</f>
        <v/>
      </c>
      <c r="I77" s="19">
        <f>IF($S77="","",IF(INDEX(Resultaten!$E$7:$N$66,$S77,4)="","",INDEX(Resultaten!$E$7:$N$66,$S77,4)))</f>
        <v/>
      </c>
      <c r="J77" s="19">
        <f>IF($S77="","",IF(INDEX(Resultaten!$E$7:$N$66,$S77,5)="","",INDEX(Resultaten!$E$7:$N$66,$S77,5)))</f>
        <v/>
      </c>
      <c r="K77" s="19">
        <f>IF($S77="","",IF(INDEX(Resultaten!$E$7:$N$66,$S77,6)="","",INDEX(Resultaten!$E$7:$N$66,$S77,6)))</f>
        <v/>
      </c>
      <c r="L77" s="19">
        <f>IF($S77="","",IF(INDEX(Resultaten!$E$7:$N$66,$S77,7)="","",INDEX(Resultaten!$E$7:$N$66,$S77,7)))</f>
        <v/>
      </c>
      <c r="M77" s="19">
        <f>IF($S77="","",IF(INDEX(Resultaten!$E$7:$N$66,$S77,8)="","",INDEX(Resultaten!$E$7:$N$66,$S77,8)))</f>
        <v/>
      </c>
      <c r="N77" s="19">
        <f>IF($S77="","",IF(INDEX(Resultaten!$E$7:$N$66,$S77,9)="","",INDEX(Resultaten!$E$7:$N$66,$S77,9)))</f>
        <v/>
      </c>
      <c r="O77" s="19">
        <f>IF($S77="","",IF(INDEX(Resultaten!$E$7:$N$66,$S77,10)="","",INDEX(Resultaten!$E$7:$N$66,$S77,10)))</f>
        <v/>
      </c>
      <c r="P77" s="19">
        <f>IF(OR($S77="",COUNT($F77:$O77)=0),"",ROUND(IFERROR(LARGE($F77:$O77,1),0)*($R$5&gt;=1)+IFERROR(LARGE($F77:$O77,2),0)*($R$5&gt;=2)+IFERROR(LARGE($F77:$O77,3),0)*($R$5&gt;=3)+IFERROR(LARGE($F77:$O77,4),0)*($R$5&gt;=4)+IFERROR(LARGE($F77:$O77,5),0)*($R$5&gt;=5)+IFERROR(LARGE($F77:$O77,6),0)*($R$5&gt;=6)+IFERROR(LARGE($F77:$O77,7),0)*($R$5&gt;=7)+IFERROR(LARGE($F77:$O77,8),0)*($R$5&gt;=8)+IFERROR(LARGE($F77:$O77,9),0)*($R$5&gt;=9)+IFERROR(LARGE($F77:$O77,10),0)*($R$5&gt;=10),1))</f>
        <v/>
      </c>
      <c r="Q77" s="21">
        <f>IF(N($P77)=0,"",$P77/MIN($R$5,COUNT($F77:$O77)))</f>
        <v/>
      </c>
      <c r="R77">
        <f>IFERROR(LARGE(Resultaten!$AC$7:$AC$66,36),"")</f>
        <v/>
      </c>
      <c r="S77">
        <f>IF($R77="","",MATCH($R77,Resultaten!$AC$7:$AC$66,0))</f>
        <v/>
      </c>
    </row>
    <row r="78">
      <c r="A78" s="17" t="n"/>
      <c r="B78" s="18" t="n"/>
      <c r="C78" s="19" t="n"/>
      <c r="D78" s="19" t="n"/>
      <c r="E78" s="20">
        <f>IF($S77="","","Op 100 schutters")</f>
        <v/>
      </c>
      <c r="F78" s="21">
        <f>IF($S77="","",INDEX(Resultaten!$O$7:$X$66,$S77,1))</f>
        <v/>
      </c>
      <c r="G78" s="21">
        <f>IF($S77="","",INDEX(Resultaten!$O$7:$X$66,$S77,2))</f>
        <v/>
      </c>
      <c r="H78" s="21">
        <f>IF($S77="","",INDEX(Resultaten!$O$7:$X$66,$S77,3))</f>
        <v/>
      </c>
      <c r="I78" s="21">
        <f>IF($S77="","",INDEX(Resultaten!$O$7:$X$66,$S77,4))</f>
        <v/>
      </c>
      <c r="J78" s="21">
        <f>IF($S77="","",INDEX(Resultaten!$O$7:$X$66,$S77,5))</f>
        <v/>
      </c>
      <c r="K78" s="21">
        <f>IF($S77="","",INDEX(Resultaten!$O$7:$X$66,$S77,6))</f>
        <v/>
      </c>
      <c r="L78" s="21">
        <f>IF($S77="","",INDEX(Resultaten!$O$7:$X$66,$S77,7))</f>
        <v/>
      </c>
      <c r="M78" s="21">
        <f>IF($S77="","",INDEX(Resultaten!$O$7:$X$66,$S77,8))</f>
        <v/>
      </c>
      <c r="N78" s="21">
        <f>IF($S77="","",INDEX(Resultaten!$O$7:$X$66,$S77,9))</f>
        <v/>
      </c>
      <c r="O78" s="21">
        <f>IF($S77="","",INDEX(Resultaten!$O$7:$X$66,$S77,10))</f>
        <v/>
      </c>
      <c r="P78" s="22">
        <f>IF($S77="","",INDEX(Resultaten!$Y$7:$Y$66,$S77))</f>
        <v/>
      </c>
      <c r="Q78" s="21">
        <f>IF($S77="","",INDEX(Resultaten!$Z$7:$Z$66,$S77))</f>
        <v/>
      </c>
      <c r="S78">
        <f>$S77</f>
        <v/>
      </c>
    </row>
    <row r="79">
      <c r="A79" s="17">
        <f>IF($S79="","",INDEX(Resultaten!$AA$7:$AA$66,$S79))</f>
        <v/>
      </c>
      <c r="B79" s="18">
        <f>IF($S79="","",INDEX(Resultaten!$B$7:$B$66,$S79))</f>
        <v/>
      </c>
      <c r="C79" s="19">
        <f>IF($S79="","",INDEX(Resultaten!$C$7:$C$66,$S79))</f>
        <v/>
      </c>
      <c r="D79" s="19">
        <f>IF($S79="","",INDEX(Resultaten!$D$7:$D$66,$S79))</f>
        <v/>
      </c>
      <c r="E79" s="20">
        <f>IF($S79="","","Geschoten")</f>
        <v/>
      </c>
      <c r="F79" s="19">
        <f>IF($S79="","",IF(INDEX(Resultaten!$E$7:$N$66,$S79,1)="","",INDEX(Resultaten!$E$7:$N$66,$S79,1)))</f>
        <v/>
      </c>
      <c r="G79" s="19">
        <f>IF($S79="","",IF(INDEX(Resultaten!$E$7:$N$66,$S79,2)="","",INDEX(Resultaten!$E$7:$N$66,$S79,2)))</f>
        <v/>
      </c>
      <c r="H79" s="19">
        <f>IF($S79="","",IF(INDEX(Resultaten!$E$7:$N$66,$S79,3)="","",INDEX(Resultaten!$E$7:$N$66,$S79,3)))</f>
        <v/>
      </c>
      <c r="I79" s="19">
        <f>IF($S79="","",IF(INDEX(Resultaten!$E$7:$N$66,$S79,4)="","",INDEX(Resultaten!$E$7:$N$66,$S79,4)))</f>
        <v/>
      </c>
      <c r="J79" s="19">
        <f>IF($S79="","",IF(INDEX(Resultaten!$E$7:$N$66,$S79,5)="","",INDEX(Resultaten!$E$7:$N$66,$S79,5)))</f>
        <v/>
      </c>
      <c r="K79" s="19">
        <f>IF($S79="","",IF(INDEX(Resultaten!$E$7:$N$66,$S79,6)="","",INDEX(Resultaten!$E$7:$N$66,$S79,6)))</f>
        <v/>
      </c>
      <c r="L79" s="19">
        <f>IF($S79="","",IF(INDEX(Resultaten!$E$7:$N$66,$S79,7)="","",INDEX(Resultaten!$E$7:$N$66,$S79,7)))</f>
        <v/>
      </c>
      <c r="M79" s="19">
        <f>IF($S79="","",IF(INDEX(Resultaten!$E$7:$N$66,$S79,8)="","",INDEX(Resultaten!$E$7:$N$66,$S79,8)))</f>
        <v/>
      </c>
      <c r="N79" s="19">
        <f>IF($S79="","",IF(INDEX(Resultaten!$E$7:$N$66,$S79,9)="","",INDEX(Resultaten!$E$7:$N$66,$S79,9)))</f>
        <v/>
      </c>
      <c r="O79" s="19">
        <f>IF($S79="","",IF(INDEX(Resultaten!$E$7:$N$66,$S79,10)="","",INDEX(Resultaten!$E$7:$N$66,$S79,10)))</f>
        <v/>
      </c>
      <c r="P79" s="19">
        <f>IF(OR($S79="",COUNT($F79:$O79)=0),"",ROUND(IFERROR(LARGE($F79:$O79,1),0)*($R$5&gt;=1)+IFERROR(LARGE($F79:$O79,2),0)*($R$5&gt;=2)+IFERROR(LARGE($F79:$O79,3),0)*($R$5&gt;=3)+IFERROR(LARGE($F79:$O79,4),0)*($R$5&gt;=4)+IFERROR(LARGE($F79:$O79,5),0)*($R$5&gt;=5)+IFERROR(LARGE($F79:$O79,6),0)*($R$5&gt;=6)+IFERROR(LARGE($F79:$O79,7),0)*($R$5&gt;=7)+IFERROR(LARGE($F79:$O79,8),0)*($R$5&gt;=8)+IFERROR(LARGE($F79:$O79,9),0)*($R$5&gt;=9)+IFERROR(LARGE($F79:$O79,10),0)*($R$5&gt;=10),1))</f>
        <v/>
      </c>
      <c r="Q79" s="21">
        <f>IF(N($P79)=0,"",$P79/MIN($R$5,COUNT($F79:$O79)))</f>
        <v/>
      </c>
      <c r="R79">
        <f>IFERROR(LARGE(Resultaten!$AC$7:$AC$66,37),"")</f>
        <v/>
      </c>
      <c r="S79">
        <f>IF($R79="","",MATCH($R79,Resultaten!$AC$7:$AC$66,0))</f>
        <v/>
      </c>
    </row>
    <row r="80">
      <c r="A80" s="17" t="n"/>
      <c r="B80" s="18" t="n"/>
      <c r="C80" s="19" t="n"/>
      <c r="D80" s="19" t="n"/>
      <c r="E80" s="20">
        <f>IF($S79="","","Op 100 schutters")</f>
        <v/>
      </c>
      <c r="F80" s="21">
        <f>IF($S79="","",INDEX(Resultaten!$O$7:$X$66,$S79,1))</f>
        <v/>
      </c>
      <c r="G80" s="21">
        <f>IF($S79="","",INDEX(Resultaten!$O$7:$X$66,$S79,2))</f>
        <v/>
      </c>
      <c r="H80" s="21">
        <f>IF($S79="","",INDEX(Resultaten!$O$7:$X$66,$S79,3))</f>
        <v/>
      </c>
      <c r="I80" s="21">
        <f>IF($S79="","",INDEX(Resultaten!$O$7:$X$66,$S79,4))</f>
        <v/>
      </c>
      <c r="J80" s="21">
        <f>IF($S79="","",INDEX(Resultaten!$O$7:$X$66,$S79,5))</f>
        <v/>
      </c>
      <c r="K80" s="21">
        <f>IF($S79="","",INDEX(Resultaten!$O$7:$X$66,$S79,6))</f>
        <v/>
      </c>
      <c r="L80" s="21">
        <f>IF($S79="","",INDEX(Resultaten!$O$7:$X$66,$S79,7))</f>
        <v/>
      </c>
      <c r="M80" s="21">
        <f>IF($S79="","",INDEX(Resultaten!$O$7:$X$66,$S79,8))</f>
        <v/>
      </c>
      <c r="N80" s="21">
        <f>IF($S79="","",INDEX(Resultaten!$O$7:$X$66,$S79,9))</f>
        <v/>
      </c>
      <c r="O80" s="21">
        <f>IF($S79="","",INDEX(Resultaten!$O$7:$X$66,$S79,10))</f>
        <v/>
      </c>
      <c r="P80" s="22">
        <f>IF($S79="","",INDEX(Resultaten!$Y$7:$Y$66,$S79))</f>
        <v/>
      </c>
      <c r="Q80" s="21">
        <f>IF($S79="","",INDEX(Resultaten!$Z$7:$Z$66,$S79))</f>
        <v/>
      </c>
      <c r="S80">
        <f>$S79</f>
        <v/>
      </c>
    </row>
    <row r="81">
      <c r="A81" s="17">
        <f>IF($S81="","",INDEX(Resultaten!$AA$7:$AA$66,$S81))</f>
        <v/>
      </c>
      <c r="B81" s="18">
        <f>IF($S81="","",INDEX(Resultaten!$B$7:$B$66,$S81))</f>
        <v/>
      </c>
      <c r="C81" s="19">
        <f>IF($S81="","",INDEX(Resultaten!$C$7:$C$66,$S81))</f>
        <v/>
      </c>
      <c r="D81" s="19">
        <f>IF($S81="","",INDEX(Resultaten!$D$7:$D$66,$S81))</f>
        <v/>
      </c>
      <c r="E81" s="20">
        <f>IF($S81="","","Geschoten")</f>
        <v/>
      </c>
      <c r="F81" s="19">
        <f>IF($S81="","",IF(INDEX(Resultaten!$E$7:$N$66,$S81,1)="","",INDEX(Resultaten!$E$7:$N$66,$S81,1)))</f>
        <v/>
      </c>
      <c r="G81" s="19">
        <f>IF($S81="","",IF(INDEX(Resultaten!$E$7:$N$66,$S81,2)="","",INDEX(Resultaten!$E$7:$N$66,$S81,2)))</f>
        <v/>
      </c>
      <c r="H81" s="19">
        <f>IF($S81="","",IF(INDEX(Resultaten!$E$7:$N$66,$S81,3)="","",INDEX(Resultaten!$E$7:$N$66,$S81,3)))</f>
        <v/>
      </c>
      <c r="I81" s="19">
        <f>IF($S81="","",IF(INDEX(Resultaten!$E$7:$N$66,$S81,4)="","",INDEX(Resultaten!$E$7:$N$66,$S81,4)))</f>
        <v/>
      </c>
      <c r="J81" s="19">
        <f>IF($S81="","",IF(INDEX(Resultaten!$E$7:$N$66,$S81,5)="","",INDEX(Resultaten!$E$7:$N$66,$S81,5)))</f>
        <v/>
      </c>
      <c r="K81" s="19">
        <f>IF($S81="","",IF(INDEX(Resultaten!$E$7:$N$66,$S81,6)="","",INDEX(Resultaten!$E$7:$N$66,$S81,6)))</f>
        <v/>
      </c>
      <c r="L81" s="19">
        <f>IF($S81="","",IF(INDEX(Resultaten!$E$7:$N$66,$S81,7)="","",INDEX(Resultaten!$E$7:$N$66,$S81,7)))</f>
        <v/>
      </c>
      <c r="M81" s="19">
        <f>IF($S81="","",IF(INDEX(Resultaten!$E$7:$N$66,$S81,8)="","",INDEX(Resultaten!$E$7:$N$66,$S81,8)))</f>
        <v/>
      </c>
      <c r="N81" s="19">
        <f>IF($S81="","",IF(INDEX(Resultaten!$E$7:$N$66,$S81,9)="","",INDEX(Resultaten!$E$7:$N$66,$S81,9)))</f>
        <v/>
      </c>
      <c r="O81" s="19">
        <f>IF($S81="","",IF(INDEX(Resultaten!$E$7:$N$66,$S81,10)="","",INDEX(Resultaten!$E$7:$N$66,$S81,10)))</f>
        <v/>
      </c>
      <c r="P81" s="19">
        <f>IF(OR($S81="",COUNT($F81:$O81)=0),"",ROUND(IFERROR(LARGE($F81:$O81,1),0)*($R$5&gt;=1)+IFERROR(LARGE($F81:$O81,2),0)*($R$5&gt;=2)+IFERROR(LARGE($F81:$O81,3),0)*($R$5&gt;=3)+IFERROR(LARGE($F81:$O81,4),0)*($R$5&gt;=4)+IFERROR(LARGE($F81:$O81,5),0)*($R$5&gt;=5)+IFERROR(LARGE($F81:$O81,6),0)*($R$5&gt;=6)+IFERROR(LARGE($F81:$O81,7),0)*($R$5&gt;=7)+IFERROR(LARGE($F81:$O81,8),0)*($R$5&gt;=8)+IFERROR(LARGE($F81:$O81,9),0)*($R$5&gt;=9)+IFERROR(LARGE($F81:$O81,10),0)*($R$5&gt;=10),1))</f>
        <v/>
      </c>
      <c r="Q81" s="21">
        <f>IF(N($P81)=0,"",$P81/MIN($R$5,COUNT($F81:$O81)))</f>
        <v/>
      </c>
      <c r="R81">
        <f>IFERROR(LARGE(Resultaten!$AC$7:$AC$66,38),"")</f>
        <v/>
      </c>
      <c r="S81">
        <f>IF($R81="","",MATCH($R81,Resultaten!$AC$7:$AC$66,0))</f>
        <v/>
      </c>
    </row>
    <row r="82">
      <c r="A82" s="17" t="n"/>
      <c r="B82" s="18" t="n"/>
      <c r="C82" s="19" t="n"/>
      <c r="D82" s="19" t="n"/>
      <c r="E82" s="20">
        <f>IF($S81="","","Op 100 schutters")</f>
        <v/>
      </c>
      <c r="F82" s="21">
        <f>IF($S81="","",INDEX(Resultaten!$O$7:$X$66,$S81,1))</f>
        <v/>
      </c>
      <c r="G82" s="21">
        <f>IF($S81="","",INDEX(Resultaten!$O$7:$X$66,$S81,2))</f>
        <v/>
      </c>
      <c r="H82" s="21">
        <f>IF($S81="","",INDEX(Resultaten!$O$7:$X$66,$S81,3))</f>
        <v/>
      </c>
      <c r="I82" s="21">
        <f>IF($S81="","",INDEX(Resultaten!$O$7:$X$66,$S81,4))</f>
        <v/>
      </c>
      <c r="J82" s="21">
        <f>IF($S81="","",INDEX(Resultaten!$O$7:$X$66,$S81,5))</f>
        <v/>
      </c>
      <c r="K82" s="21">
        <f>IF($S81="","",INDEX(Resultaten!$O$7:$X$66,$S81,6))</f>
        <v/>
      </c>
      <c r="L82" s="21">
        <f>IF($S81="","",INDEX(Resultaten!$O$7:$X$66,$S81,7))</f>
        <v/>
      </c>
      <c r="M82" s="21">
        <f>IF($S81="","",INDEX(Resultaten!$O$7:$X$66,$S81,8))</f>
        <v/>
      </c>
      <c r="N82" s="21">
        <f>IF($S81="","",INDEX(Resultaten!$O$7:$X$66,$S81,9))</f>
        <v/>
      </c>
      <c r="O82" s="21">
        <f>IF($S81="","",INDEX(Resultaten!$O$7:$X$66,$S81,10))</f>
        <v/>
      </c>
      <c r="P82" s="22">
        <f>IF($S81="","",INDEX(Resultaten!$Y$7:$Y$66,$S81))</f>
        <v/>
      </c>
      <c r="Q82" s="21">
        <f>IF($S81="","",INDEX(Resultaten!$Z$7:$Z$66,$S81))</f>
        <v/>
      </c>
      <c r="S82">
        <f>$S81</f>
        <v/>
      </c>
    </row>
    <row r="83">
      <c r="A83" s="17">
        <f>IF($S83="","",INDEX(Resultaten!$AA$7:$AA$66,$S83))</f>
        <v/>
      </c>
      <c r="B83" s="18">
        <f>IF($S83="","",INDEX(Resultaten!$B$7:$B$66,$S83))</f>
        <v/>
      </c>
      <c r="C83" s="19">
        <f>IF($S83="","",INDEX(Resultaten!$C$7:$C$66,$S83))</f>
        <v/>
      </c>
      <c r="D83" s="19">
        <f>IF($S83="","",INDEX(Resultaten!$D$7:$D$66,$S83))</f>
        <v/>
      </c>
      <c r="E83" s="20">
        <f>IF($S83="","","Geschoten")</f>
        <v/>
      </c>
      <c r="F83" s="19">
        <f>IF($S83="","",IF(INDEX(Resultaten!$E$7:$N$66,$S83,1)="","",INDEX(Resultaten!$E$7:$N$66,$S83,1)))</f>
        <v/>
      </c>
      <c r="G83" s="19">
        <f>IF($S83="","",IF(INDEX(Resultaten!$E$7:$N$66,$S83,2)="","",INDEX(Resultaten!$E$7:$N$66,$S83,2)))</f>
        <v/>
      </c>
      <c r="H83" s="19">
        <f>IF($S83="","",IF(INDEX(Resultaten!$E$7:$N$66,$S83,3)="","",INDEX(Resultaten!$E$7:$N$66,$S83,3)))</f>
        <v/>
      </c>
      <c r="I83" s="19">
        <f>IF($S83="","",IF(INDEX(Resultaten!$E$7:$N$66,$S83,4)="","",INDEX(Resultaten!$E$7:$N$66,$S83,4)))</f>
        <v/>
      </c>
      <c r="J83" s="19">
        <f>IF($S83="","",IF(INDEX(Resultaten!$E$7:$N$66,$S83,5)="","",INDEX(Resultaten!$E$7:$N$66,$S83,5)))</f>
        <v/>
      </c>
      <c r="K83" s="19">
        <f>IF($S83="","",IF(INDEX(Resultaten!$E$7:$N$66,$S83,6)="","",INDEX(Resultaten!$E$7:$N$66,$S83,6)))</f>
        <v/>
      </c>
      <c r="L83" s="19">
        <f>IF($S83="","",IF(INDEX(Resultaten!$E$7:$N$66,$S83,7)="","",INDEX(Resultaten!$E$7:$N$66,$S83,7)))</f>
        <v/>
      </c>
      <c r="M83" s="19">
        <f>IF($S83="","",IF(INDEX(Resultaten!$E$7:$N$66,$S83,8)="","",INDEX(Resultaten!$E$7:$N$66,$S83,8)))</f>
        <v/>
      </c>
      <c r="N83" s="19">
        <f>IF($S83="","",IF(INDEX(Resultaten!$E$7:$N$66,$S83,9)="","",INDEX(Resultaten!$E$7:$N$66,$S83,9)))</f>
        <v/>
      </c>
      <c r="O83" s="19">
        <f>IF($S83="","",IF(INDEX(Resultaten!$E$7:$N$66,$S83,10)="","",INDEX(Resultaten!$E$7:$N$66,$S83,10)))</f>
        <v/>
      </c>
      <c r="P83" s="19">
        <f>IF(OR($S83="",COUNT($F83:$O83)=0),"",ROUND(IFERROR(LARGE($F83:$O83,1),0)*($R$5&gt;=1)+IFERROR(LARGE($F83:$O83,2),0)*($R$5&gt;=2)+IFERROR(LARGE($F83:$O83,3),0)*($R$5&gt;=3)+IFERROR(LARGE($F83:$O83,4),0)*($R$5&gt;=4)+IFERROR(LARGE($F83:$O83,5),0)*($R$5&gt;=5)+IFERROR(LARGE($F83:$O83,6),0)*($R$5&gt;=6)+IFERROR(LARGE($F83:$O83,7),0)*($R$5&gt;=7)+IFERROR(LARGE($F83:$O83,8),0)*($R$5&gt;=8)+IFERROR(LARGE($F83:$O83,9),0)*($R$5&gt;=9)+IFERROR(LARGE($F83:$O83,10),0)*($R$5&gt;=10),1))</f>
        <v/>
      </c>
      <c r="Q83" s="21">
        <f>IF(N($P83)=0,"",$P83/MIN($R$5,COUNT($F83:$O83)))</f>
        <v/>
      </c>
      <c r="R83">
        <f>IFERROR(LARGE(Resultaten!$AC$7:$AC$66,39),"")</f>
        <v/>
      </c>
      <c r="S83">
        <f>IF($R83="","",MATCH($R83,Resultaten!$AC$7:$AC$66,0))</f>
        <v/>
      </c>
    </row>
    <row r="84">
      <c r="A84" s="17" t="n"/>
      <c r="B84" s="18" t="n"/>
      <c r="C84" s="19" t="n"/>
      <c r="D84" s="19" t="n"/>
      <c r="E84" s="20">
        <f>IF($S83="","","Op 100 schutters")</f>
        <v/>
      </c>
      <c r="F84" s="21">
        <f>IF($S83="","",INDEX(Resultaten!$O$7:$X$66,$S83,1))</f>
        <v/>
      </c>
      <c r="G84" s="21">
        <f>IF($S83="","",INDEX(Resultaten!$O$7:$X$66,$S83,2))</f>
        <v/>
      </c>
      <c r="H84" s="21">
        <f>IF($S83="","",INDEX(Resultaten!$O$7:$X$66,$S83,3))</f>
        <v/>
      </c>
      <c r="I84" s="21">
        <f>IF($S83="","",INDEX(Resultaten!$O$7:$X$66,$S83,4))</f>
        <v/>
      </c>
      <c r="J84" s="21">
        <f>IF($S83="","",INDEX(Resultaten!$O$7:$X$66,$S83,5))</f>
        <v/>
      </c>
      <c r="K84" s="21">
        <f>IF($S83="","",INDEX(Resultaten!$O$7:$X$66,$S83,6))</f>
        <v/>
      </c>
      <c r="L84" s="21">
        <f>IF($S83="","",INDEX(Resultaten!$O$7:$X$66,$S83,7))</f>
        <v/>
      </c>
      <c r="M84" s="21">
        <f>IF($S83="","",INDEX(Resultaten!$O$7:$X$66,$S83,8))</f>
        <v/>
      </c>
      <c r="N84" s="21">
        <f>IF($S83="","",INDEX(Resultaten!$O$7:$X$66,$S83,9))</f>
        <v/>
      </c>
      <c r="O84" s="21">
        <f>IF($S83="","",INDEX(Resultaten!$O$7:$X$66,$S83,10))</f>
        <v/>
      </c>
      <c r="P84" s="22">
        <f>IF($S83="","",INDEX(Resultaten!$Y$7:$Y$66,$S83))</f>
        <v/>
      </c>
      <c r="Q84" s="21">
        <f>IF($S83="","",INDEX(Resultaten!$Z$7:$Z$66,$S83))</f>
        <v/>
      </c>
      <c r="S84">
        <f>$S83</f>
        <v/>
      </c>
    </row>
    <row r="85">
      <c r="A85" s="17">
        <f>IF($S85="","",INDEX(Resultaten!$AA$7:$AA$66,$S85))</f>
        <v/>
      </c>
      <c r="B85" s="18">
        <f>IF($S85="","",INDEX(Resultaten!$B$7:$B$66,$S85))</f>
        <v/>
      </c>
      <c r="C85" s="19">
        <f>IF($S85="","",INDEX(Resultaten!$C$7:$C$66,$S85))</f>
        <v/>
      </c>
      <c r="D85" s="19">
        <f>IF($S85="","",INDEX(Resultaten!$D$7:$D$66,$S85))</f>
        <v/>
      </c>
      <c r="E85" s="20">
        <f>IF($S85="","","Geschoten")</f>
        <v/>
      </c>
      <c r="F85" s="19">
        <f>IF($S85="","",IF(INDEX(Resultaten!$E$7:$N$66,$S85,1)="","",INDEX(Resultaten!$E$7:$N$66,$S85,1)))</f>
        <v/>
      </c>
      <c r="G85" s="19">
        <f>IF($S85="","",IF(INDEX(Resultaten!$E$7:$N$66,$S85,2)="","",INDEX(Resultaten!$E$7:$N$66,$S85,2)))</f>
        <v/>
      </c>
      <c r="H85" s="19">
        <f>IF($S85="","",IF(INDEX(Resultaten!$E$7:$N$66,$S85,3)="","",INDEX(Resultaten!$E$7:$N$66,$S85,3)))</f>
        <v/>
      </c>
      <c r="I85" s="19">
        <f>IF($S85="","",IF(INDEX(Resultaten!$E$7:$N$66,$S85,4)="","",INDEX(Resultaten!$E$7:$N$66,$S85,4)))</f>
        <v/>
      </c>
      <c r="J85" s="19">
        <f>IF($S85="","",IF(INDEX(Resultaten!$E$7:$N$66,$S85,5)="","",INDEX(Resultaten!$E$7:$N$66,$S85,5)))</f>
        <v/>
      </c>
      <c r="K85" s="19">
        <f>IF($S85="","",IF(INDEX(Resultaten!$E$7:$N$66,$S85,6)="","",INDEX(Resultaten!$E$7:$N$66,$S85,6)))</f>
        <v/>
      </c>
      <c r="L85" s="19">
        <f>IF($S85="","",IF(INDEX(Resultaten!$E$7:$N$66,$S85,7)="","",INDEX(Resultaten!$E$7:$N$66,$S85,7)))</f>
        <v/>
      </c>
      <c r="M85" s="19">
        <f>IF($S85="","",IF(INDEX(Resultaten!$E$7:$N$66,$S85,8)="","",INDEX(Resultaten!$E$7:$N$66,$S85,8)))</f>
        <v/>
      </c>
      <c r="N85" s="19">
        <f>IF($S85="","",IF(INDEX(Resultaten!$E$7:$N$66,$S85,9)="","",INDEX(Resultaten!$E$7:$N$66,$S85,9)))</f>
        <v/>
      </c>
      <c r="O85" s="19">
        <f>IF($S85="","",IF(INDEX(Resultaten!$E$7:$N$66,$S85,10)="","",INDEX(Resultaten!$E$7:$N$66,$S85,10)))</f>
        <v/>
      </c>
      <c r="P85" s="19">
        <f>IF(OR($S85="",COUNT($F85:$O85)=0),"",ROUND(IFERROR(LARGE($F85:$O85,1),0)*($R$5&gt;=1)+IFERROR(LARGE($F85:$O85,2),0)*($R$5&gt;=2)+IFERROR(LARGE($F85:$O85,3),0)*($R$5&gt;=3)+IFERROR(LARGE($F85:$O85,4),0)*($R$5&gt;=4)+IFERROR(LARGE($F85:$O85,5),0)*($R$5&gt;=5)+IFERROR(LARGE($F85:$O85,6),0)*($R$5&gt;=6)+IFERROR(LARGE($F85:$O85,7),0)*($R$5&gt;=7)+IFERROR(LARGE($F85:$O85,8),0)*($R$5&gt;=8)+IFERROR(LARGE($F85:$O85,9),0)*($R$5&gt;=9)+IFERROR(LARGE($F85:$O85,10),0)*($R$5&gt;=10),1))</f>
        <v/>
      </c>
      <c r="Q85" s="21">
        <f>IF(N($P85)=0,"",$P85/MIN($R$5,COUNT($F85:$O85)))</f>
        <v/>
      </c>
      <c r="R85">
        <f>IFERROR(LARGE(Resultaten!$AC$7:$AC$66,40),"")</f>
        <v/>
      </c>
      <c r="S85">
        <f>IF($R85="","",MATCH($R85,Resultaten!$AC$7:$AC$66,0))</f>
        <v/>
      </c>
    </row>
    <row r="86">
      <c r="A86" s="17" t="n"/>
      <c r="B86" s="18" t="n"/>
      <c r="C86" s="19" t="n"/>
      <c r="D86" s="19" t="n"/>
      <c r="E86" s="20">
        <f>IF($S85="","","Op 100 schutters")</f>
        <v/>
      </c>
      <c r="F86" s="21">
        <f>IF($S85="","",INDEX(Resultaten!$O$7:$X$66,$S85,1))</f>
        <v/>
      </c>
      <c r="G86" s="21">
        <f>IF($S85="","",INDEX(Resultaten!$O$7:$X$66,$S85,2))</f>
        <v/>
      </c>
      <c r="H86" s="21">
        <f>IF($S85="","",INDEX(Resultaten!$O$7:$X$66,$S85,3))</f>
        <v/>
      </c>
      <c r="I86" s="21">
        <f>IF($S85="","",INDEX(Resultaten!$O$7:$X$66,$S85,4))</f>
        <v/>
      </c>
      <c r="J86" s="21">
        <f>IF($S85="","",INDEX(Resultaten!$O$7:$X$66,$S85,5))</f>
        <v/>
      </c>
      <c r="K86" s="21">
        <f>IF($S85="","",INDEX(Resultaten!$O$7:$X$66,$S85,6))</f>
        <v/>
      </c>
      <c r="L86" s="21">
        <f>IF($S85="","",INDEX(Resultaten!$O$7:$X$66,$S85,7))</f>
        <v/>
      </c>
      <c r="M86" s="21">
        <f>IF($S85="","",INDEX(Resultaten!$O$7:$X$66,$S85,8))</f>
        <v/>
      </c>
      <c r="N86" s="21">
        <f>IF($S85="","",INDEX(Resultaten!$O$7:$X$66,$S85,9))</f>
        <v/>
      </c>
      <c r="O86" s="21">
        <f>IF($S85="","",INDEX(Resultaten!$O$7:$X$66,$S85,10))</f>
        <v/>
      </c>
      <c r="P86" s="22">
        <f>IF($S85="","",INDEX(Resultaten!$Y$7:$Y$66,$S85))</f>
        <v/>
      </c>
      <c r="Q86" s="21">
        <f>IF($S85="","",INDEX(Resultaten!$Z$7:$Z$66,$S85))</f>
        <v/>
      </c>
      <c r="S86">
        <f>$S85</f>
        <v/>
      </c>
    </row>
    <row r="87">
      <c r="A87" s="17">
        <f>IF($S87="","",INDEX(Resultaten!$AA$7:$AA$66,$S87))</f>
        <v/>
      </c>
      <c r="B87" s="18">
        <f>IF($S87="","",INDEX(Resultaten!$B$7:$B$66,$S87))</f>
        <v/>
      </c>
      <c r="C87" s="19">
        <f>IF($S87="","",INDEX(Resultaten!$C$7:$C$66,$S87))</f>
        <v/>
      </c>
      <c r="D87" s="19">
        <f>IF($S87="","",INDEX(Resultaten!$D$7:$D$66,$S87))</f>
        <v/>
      </c>
      <c r="E87" s="20">
        <f>IF($S87="","","Geschoten")</f>
        <v/>
      </c>
      <c r="F87" s="19">
        <f>IF($S87="","",IF(INDEX(Resultaten!$E$7:$N$66,$S87,1)="","",INDEX(Resultaten!$E$7:$N$66,$S87,1)))</f>
        <v/>
      </c>
      <c r="G87" s="19">
        <f>IF($S87="","",IF(INDEX(Resultaten!$E$7:$N$66,$S87,2)="","",INDEX(Resultaten!$E$7:$N$66,$S87,2)))</f>
        <v/>
      </c>
      <c r="H87" s="19">
        <f>IF($S87="","",IF(INDEX(Resultaten!$E$7:$N$66,$S87,3)="","",INDEX(Resultaten!$E$7:$N$66,$S87,3)))</f>
        <v/>
      </c>
      <c r="I87" s="19">
        <f>IF($S87="","",IF(INDEX(Resultaten!$E$7:$N$66,$S87,4)="","",INDEX(Resultaten!$E$7:$N$66,$S87,4)))</f>
        <v/>
      </c>
      <c r="J87" s="19">
        <f>IF($S87="","",IF(INDEX(Resultaten!$E$7:$N$66,$S87,5)="","",INDEX(Resultaten!$E$7:$N$66,$S87,5)))</f>
        <v/>
      </c>
      <c r="K87" s="19">
        <f>IF($S87="","",IF(INDEX(Resultaten!$E$7:$N$66,$S87,6)="","",INDEX(Resultaten!$E$7:$N$66,$S87,6)))</f>
        <v/>
      </c>
      <c r="L87" s="19">
        <f>IF($S87="","",IF(INDEX(Resultaten!$E$7:$N$66,$S87,7)="","",INDEX(Resultaten!$E$7:$N$66,$S87,7)))</f>
        <v/>
      </c>
      <c r="M87" s="19">
        <f>IF($S87="","",IF(INDEX(Resultaten!$E$7:$N$66,$S87,8)="","",INDEX(Resultaten!$E$7:$N$66,$S87,8)))</f>
        <v/>
      </c>
      <c r="N87" s="19">
        <f>IF($S87="","",IF(INDEX(Resultaten!$E$7:$N$66,$S87,9)="","",INDEX(Resultaten!$E$7:$N$66,$S87,9)))</f>
        <v/>
      </c>
      <c r="O87" s="19">
        <f>IF($S87="","",IF(INDEX(Resultaten!$E$7:$N$66,$S87,10)="","",INDEX(Resultaten!$E$7:$N$66,$S87,10)))</f>
        <v/>
      </c>
      <c r="P87" s="19">
        <f>IF(OR($S87="",COUNT($F87:$O87)=0),"",ROUND(IFERROR(LARGE($F87:$O87,1),0)*($R$5&gt;=1)+IFERROR(LARGE($F87:$O87,2),0)*($R$5&gt;=2)+IFERROR(LARGE($F87:$O87,3),0)*($R$5&gt;=3)+IFERROR(LARGE($F87:$O87,4),0)*($R$5&gt;=4)+IFERROR(LARGE($F87:$O87,5),0)*($R$5&gt;=5)+IFERROR(LARGE($F87:$O87,6),0)*($R$5&gt;=6)+IFERROR(LARGE($F87:$O87,7),0)*($R$5&gt;=7)+IFERROR(LARGE($F87:$O87,8),0)*($R$5&gt;=8)+IFERROR(LARGE($F87:$O87,9),0)*($R$5&gt;=9)+IFERROR(LARGE($F87:$O87,10),0)*($R$5&gt;=10),1))</f>
        <v/>
      </c>
      <c r="Q87" s="21">
        <f>IF(N($P87)=0,"",$P87/MIN($R$5,COUNT($F87:$O87)))</f>
        <v/>
      </c>
      <c r="R87">
        <f>IFERROR(LARGE(Resultaten!$AC$7:$AC$66,41),"")</f>
        <v/>
      </c>
      <c r="S87">
        <f>IF($R87="","",MATCH($R87,Resultaten!$AC$7:$AC$66,0))</f>
        <v/>
      </c>
    </row>
    <row r="88">
      <c r="A88" s="17" t="n"/>
      <c r="B88" s="18" t="n"/>
      <c r="C88" s="19" t="n"/>
      <c r="D88" s="19" t="n"/>
      <c r="E88" s="20">
        <f>IF($S87="","","Op 100 schutters")</f>
        <v/>
      </c>
      <c r="F88" s="21">
        <f>IF($S87="","",INDEX(Resultaten!$O$7:$X$66,$S87,1))</f>
        <v/>
      </c>
      <c r="G88" s="21">
        <f>IF($S87="","",INDEX(Resultaten!$O$7:$X$66,$S87,2))</f>
        <v/>
      </c>
      <c r="H88" s="21">
        <f>IF($S87="","",INDEX(Resultaten!$O$7:$X$66,$S87,3))</f>
        <v/>
      </c>
      <c r="I88" s="21">
        <f>IF($S87="","",INDEX(Resultaten!$O$7:$X$66,$S87,4))</f>
        <v/>
      </c>
      <c r="J88" s="21">
        <f>IF($S87="","",INDEX(Resultaten!$O$7:$X$66,$S87,5))</f>
        <v/>
      </c>
      <c r="K88" s="21">
        <f>IF($S87="","",INDEX(Resultaten!$O$7:$X$66,$S87,6))</f>
        <v/>
      </c>
      <c r="L88" s="21">
        <f>IF($S87="","",INDEX(Resultaten!$O$7:$X$66,$S87,7))</f>
        <v/>
      </c>
      <c r="M88" s="21">
        <f>IF($S87="","",INDEX(Resultaten!$O$7:$X$66,$S87,8))</f>
        <v/>
      </c>
      <c r="N88" s="21">
        <f>IF($S87="","",INDEX(Resultaten!$O$7:$X$66,$S87,9))</f>
        <v/>
      </c>
      <c r="O88" s="21">
        <f>IF($S87="","",INDEX(Resultaten!$O$7:$X$66,$S87,10))</f>
        <v/>
      </c>
      <c r="P88" s="22">
        <f>IF($S87="","",INDEX(Resultaten!$Y$7:$Y$66,$S87))</f>
        <v/>
      </c>
      <c r="Q88" s="21">
        <f>IF($S87="","",INDEX(Resultaten!$Z$7:$Z$66,$S87))</f>
        <v/>
      </c>
      <c r="S88">
        <f>$S87</f>
        <v/>
      </c>
    </row>
    <row r="89">
      <c r="A89" s="17">
        <f>IF($S89="","",INDEX(Resultaten!$AA$7:$AA$66,$S89))</f>
        <v/>
      </c>
      <c r="B89" s="18">
        <f>IF($S89="","",INDEX(Resultaten!$B$7:$B$66,$S89))</f>
        <v/>
      </c>
      <c r="C89" s="19">
        <f>IF($S89="","",INDEX(Resultaten!$C$7:$C$66,$S89))</f>
        <v/>
      </c>
      <c r="D89" s="19">
        <f>IF($S89="","",INDEX(Resultaten!$D$7:$D$66,$S89))</f>
        <v/>
      </c>
      <c r="E89" s="20">
        <f>IF($S89="","","Geschoten")</f>
        <v/>
      </c>
      <c r="F89" s="19">
        <f>IF($S89="","",IF(INDEX(Resultaten!$E$7:$N$66,$S89,1)="","",INDEX(Resultaten!$E$7:$N$66,$S89,1)))</f>
        <v/>
      </c>
      <c r="G89" s="19">
        <f>IF($S89="","",IF(INDEX(Resultaten!$E$7:$N$66,$S89,2)="","",INDEX(Resultaten!$E$7:$N$66,$S89,2)))</f>
        <v/>
      </c>
      <c r="H89" s="19">
        <f>IF($S89="","",IF(INDEX(Resultaten!$E$7:$N$66,$S89,3)="","",INDEX(Resultaten!$E$7:$N$66,$S89,3)))</f>
        <v/>
      </c>
      <c r="I89" s="19">
        <f>IF($S89="","",IF(INDEX(Resultaten!$E$7:$N$66,$S89,4)="","",INDEX(Resultaten!$E$7:$N$66,$S89,4)))</f>
        <v/>
      </c>
      <c r="J89" s="19">
        <f>IF($S89="","",IF(INDEX(Resultaten!$E$7:$N$66,$S89,5)="","",INDEX(Resultaten!$E$7:$N$66,$S89,5)))</f>
        <v/>
      </c>
      <c r="K89" s="19">
        <f>IF($S89="","",IF(INDEX(Resultaten!$E$7:$N$66,$S89,6)="","",INDEX(Resultaten!$E$7:$N$66,$S89,6)))</f>
        <v/>
      </c>
      <c r="L89" s="19">
        <f>IF($S89="","",IF(INDEX(Resultaten!$E$7:$N$66,$S89,7)="","",INDEX(Resultaten!$E$7:$N$66,$S89,7)))</f>
        <v/>
      </c>
      <c r="M89" s="19">
        <f>IF($S89="","",IF(INDEX(Resultaten!$E$7:$N$66,$S89,8)="","",INDEX(Resultaten!$E$7:$N$66,$S89,8)))</f>
        <v/>
      </c>
      <c r="N89" s="19">
        <f>IF($S89="","",IF(INDEX(Resultaten!$E$7:$N$66,$S89,9)="","",INDEX(Resultaten!$E$7:$N$66,$S89,9)))</f>
        <v/>
      </c>
      <c r="O89" s="19">
        <f>IF($S89="","",IF(INDEX(Resultaten!$E$7:$N$66,$S89,10)="","",INDEX(Resultaten!$E$7:$N$66,$S89,10)))</f>
        <v/>
      </c>
      <c r="P89" s="19">
        <f>IF(OR($S89="",COUNT($F89:$O89)=0),"",ROUND(IFERROR(LARGE($F89:$O89,1),0)*($R$5&gt;=1)+IFERROR(LARGE($F89:$O89,2),0)*($R$5&gt;=2)+IFERROR(LARGE($F89:$O89,3),0)*($R$5&gt;=3)+IFERROR(LARGE($F89:$O89,4),0)*($R$5&gt;=4)+IFERROR(LARGE($F89:$O89,5),0)*($R$5&gt;=5)+IFERROR(LARGE($F89:$O89,6),0)*($R$5&gt;=6)+IFERROR(LARGE($F89:$O89,7),0)*($R$5&gt;=7)+IFERROR(LARGE($F89:$O89,8),0)*($R$5&gt;=8)+IFERROR(LARGE($F89:$O89,9),0)*($R$5&gt;=9)+IFERROR(LARGE($F89:$O89,10),0)*($R$5&gt;=10),1))</f>
        <v/>
      </c>
      <c r="Q89" s="21">
        <f>IF(N($P89)=0,"",$P89/MIN($R$5,COUNT($F89:$O89)))</f>
        <v/>
      </c>
      <c r="R89">
        <f>IFERROR(LARGE(Resultaten!$AC$7:$AC$66,42),"")</f>
        <v/>
      </c>
      <c r="S89">
        <f>IF($R89="","",MATCH($R89,Resultaten!$AC$7:$AC$66,0))</f>
        <v/>
      </c>
    </row>
    <row r="90">
      <c r="A90" s="17" t="n"/>
      <c r="B90" s="18" t="n"/>
      <c r="C90" s="19" t="n"/>
      <c r="D90" s="19" t="n"/>
      <c r="E90" s="20">
        <f>IF($S89="","","Op 100 schutters")</f>
        <v/>
      </c>
      <c r="F90" s="21">
        <f>IF($S89="","",INDEX(Resultaten!$O$7:$X$66,$S89,1))</f>
        <v/>
      </c>
      <c r="G90" s="21">
        <f>IF($S89="","",INDEX(Resultaten!$O$7:$X$66,$S89,2))</f>
        <v/>
      </c>
      <c r="H90" s="21">
        <f>IF($S89="","",INDEX(Resultaten!$O$7:$X$66,$S89,3))</f>
        <v/>
      </c>
      <c r="I90" s="21">
        <f>IF($S89="","",INDEX(Resultaten!$O$7:$X$66,$S89,4))</f>
        <v/>
      </c>
      <c r="J90" s="21">
        <f>IF($S89="","",INDEX(Resultaten!$O$7:$X$66,$S89,5))</f>
        <v/>
      </c>
      <c r="K90" s="21">
        <f>IF($S89="","",INDEX(Resultaten!$O$7:$X$66,$S89,6))</f>
        <v/>
      </c>
      <c r="L90" s="21">
        <f>IF($S89="","",INDEX(Resultaten!$O$7:$X$66,$S89,7))</f>
        <v/>
      </c>
      <c r="M90" s="21">
        <f>IF($S89="","",INDEX(Resultaten!$O$7:$X$66,$S89,8))</f>
        <v/>
      </c>
      <c r="N90" s="21">
        <f>IF($S89="","",INDEX(Resultaten!$O$7:$X$66,$S89,9))</f>
        <v/>
      </c>
      <c r="O90" s="21">
        <f>IF($S89="","",INDEX(Resultaten!$O$7:$X$66,$S89,10))</f>
        <v/>
      </c>
      <c r="P90" s="22">
        <f>IF($S89="","",INDEX(Resultaten!$Y$7:$Y$66,$S89))</f>
        <v/>
      </c>
      <c r="Q90" s="21">
        <f>IF($S89="","",INDEX(Resultaten!$Z$7:$Z$66,$S89))</f>
        <v/>
      </c>
      <c r="S90">
        <f>$S89</f>
        <v/>
      </c>
    </row>
    <row r="91">
      <c r="A91" s="17">
        <f>IF($S91="","",INDEX(Resultaten!$AA$7:$AA$66,$S91))</f>
        <v/>
      </c>
      <c r="B91" s="18">
        <f>IF($S91="","",INDEX(Resultaten!$B$7:$B$66,$S91))</f>
        <v/>
      </c>
      <c r="C91" s="19">
        <f>IF($S91="","",INDEX(Resultaten!$C$7:$C$66,$S91))</f>
        <v/>
      </c>
      <c r="D91" s="19">
        <f>IF($S91="","",INDEX(Resultaten!$D$7:$D$66,$S91))</f>
        <v/>
      </c>
      <c r="E91" s="20">
        <f>IF($S91="","","Geschoten")</f>
        <v/>
      </c>
      <c r="F91" s="19">
        <f>IF($S91="","",IF(INDEX(Resultaten!$E$7:$N$66,$S91,1)="","",INDEX(Resultaten!$E$7:$N$66,$S91,1)))</f>
        <v/>
      </c>
      <c r="G91" s="19">
        <f>IF($S91="","",IF(INDEX(Resultaten!$E$7:$N$66,$S91,2)="","",INDEX(Resultaten!$E$7:$N$66,$S91,2)))</f>
        <v/>
      </c>
      <c r="H91" s="19">
        <f>IF($S91="","",IF(INDEX(Resultaten!$E$7:$N$66,$S91,3)="","",INDEX(Resultaten!$E$7:$N$66,$S91,3)))</f>
        <v/>
      </c>
      <c r="I91" s="19">
        <f>IF($S91="","",IF(INDEX(Resultaten!$E$7:$N$66,$S91,4)="","",INDEX(Resultaten!$E$7:$N$66,$S91,4)))</f>
        <v/>
      </c>
      <c r="J91" s="19">
        <f>IF($S91="","",IF(INDEX(Resultaten!$E$7:$N$66,$S91,5)="","",INDEX(Resultaten!$E$7:$N$66,$S91,5)))</f>
        <v/>
      </c>
      <c r="K91" s="19">
        <f>IF($S91="","",IF(INDEX(Resultaten!$E$7:$N$66,$S91,6)="","",INDEX(Resultaten!$E$7:$N$66,$S91,6)))</f>
        <v/>
      </c>
      <c r="L91" s="19">
        <f>IF($S91="","",IF(INDEX(Resultaten!$E$7:$N$66,$S91,7)="","",INDEX(Resultaten!$E$7:$N$66,$S91,7)))</f>
        <v/>
      </c>
      <c r="M91" s="19">
        <f>IF($S91="","",IF(INDEX(Resultaten!$E$7:$N$66,$S91,8)="","",INDEX(Resultaten!$E$7:$N$66,$S91,8)))</f>
        <v/>
      </c>
      <c r="N91" s="19">
        <f>IF($S91="","",IF(INDEX(Resultaten!$E$7:$N$66,$S91,9)="","",INDEX(Resultaten!$E$7:$N$66,$S91,9)))</f>
        <v/>
      </c>
      <c r="O91" s="19">
        <f>IF($S91="","",IF(INDEX(Resultaten!$E$7:$N$66,$S91,10)="","",INDEX(Resultaten!$E$7:$N$66,$S91,10)))</f>
        <v/>
      </c>
      <c r="P91" s="19">
        <f>IF(OR($S91="",COUNT($F91:$O91)=0),"",ROUND(IFERROR(LARGE($F91:$O91,1),0)*($R$5&gt;=1)+IFERROR(LARGE($F91:$O91,2),0)*($R$5&gt;=2)+IFERROR(LARGE($F91:$O91,3),0)*($R$5&gt;=3)+IFERROR(LARGE($F91:$O91,4),0)*($R$5&gt;=4)+IFERROR(LARGE($F91:$O91,5),0)*($R$5&gt;=5)+IFERROR(LARGE($F91:$O91,6),0)*($R$5&gt;=6)+IFERROR(LARGE($F91:$O91,7),0)*($R$5&gt;=7)+IFERROR(LARGE($F91:$O91,8),0)*($R$5&gt;=8)+IFERROR(LARGE($F91:$O91,9),0)*($R$5&gt;=9)+IFERROR(LARGE($F91:$O91,10),0)*($R$5&gt;=10),1))</f>
        <v/>
      </c>
      <c r="Q91" s="21">
        <f>IF(N($P91)=0,"",$P91/MIN($R$5,COUNT($F91:$O91)))</f>
        <v/>
      </c>
      <c r="R91">
        <f>IFERROR(LARGE(Resultaten!$AC$7:$AC$66,43),"")</f>
        <v/>
      </c>
      <c r="S91">
        <f>IF($R91="","",MATCH($R91,Resultaten!$AC$7:$AC$66,0))</f>
        <v/>
      </c>
    </row>
    <row r="92">
      <c r="A92" s="17" t="n"/>
      <c r="B92" s="18" t="n"/>
      <c r="C92" s="19" t="n"/>
      <c r="D92" s="19" t="n"/>
      <c r="E92" s="20">
        <f>IF($S91="","","Op 100 schutters")</f>
        <v/>
      </c>
      <c r="F92" s="21">
        <f>IF($S91="","",INDEX(Resultaten!$O$7:$X$66,$S91,1))</f>
        <v/>
      </c>
      <c r="G92" s="21">
        <f>IF($S91="","",INDEX(Resultaten!$O$7:$X$66,$S91,2))</f>
        <v/>
      </c>
      <c r="H92" s="21">
        <f>IF($S91="","",INDEX(Resultaten!$O$7:$X$66,$S91,3))</f>
        <v/>
      </c>
      <c r="I92" s="21">
        <f>IF($S91="","",INDEX(Resultaten!$O$7:$X$66,$S91,4))</f>
        <v/>
      </c>
      <c r="J92" s="21">
        <f>IF($S91="","",INDEX(Resultaten!$O$7:$X$66,$S91,5))</f>
        <v/>
      </c>
      <c r="K92" s="21">
        <f>IF($S91="","",INDEX(Resultaten!$O$7:$X$66,$S91,6))</f>
        <v/>
      </c>
      <c r="L92" s="21">
        <f>IF($S91="","",INDEX(Resultaten!$O$7:$X$66,$S91,7))</f>
        <v/>
      </c>
      <c r="M92" s="21">
        <f>IF($S91="","",INDEX(Resultaten!$O$7:$X$66,$S91,8))</f>
        <v/>
      </c>
      <c r="N92" s="21">
        <f>IF($S91="","",INDEX(Resultaten!$O$7:$X$66,$S91,9))</f>
        <v/>
      </c>
      <c r="O92" s="21">
        <f>IF($S91="","",INDEX(Resultaten!$O$7:$X$66,$S91,10))</f>
        <v/>
      </c>
      <c r="P92" s="22">
        <f>IF($S91="","",INDEX(Resultaten!$Y$7:$Y$66,$S91))</f>
        <v/>
      </c>
      <c r="Q92" s="21">
        <f>IF($S91="","",INDEX(Resultaten!$Z$7:$Z$66,$S91))</f>
        <v/>
      </c>
      <c r="S92">
        <f>$S91</f>
        <v/>
      </c>
    </row>
    <row r="93">
      <c r="A93" s="17">
        <f>IF($S93="","",INDEX(Resultaten!$AA$7:$AA$66,$S93))</f>
        <v/>
      </c>
      <c r="B93" s="18">
        <f>IF($S93="","",INDEX(Resultaten!$B$7:$B$66,$S93))</f>
        <v/>
      </c>
      <c r="C93" s="19">
        <f>IF($S93="","",INDEX(Resultaten!$C$7:$C$66,$S93))</f>
        <v/>
      </c>
      <c r="D93" s="19">
        <f>IF($S93="","",INDEX(Resultaten!$D$7:$D$66,$S93))</f>
        <v/>
      </c>
      <c r="E93" s="20">
        <f>IF($S93="","","Geschoten")</f>
        <v/>
      </c>
      <c r="F93" s="19">
        <f>IF($S93="","",IF(INDEX(Resultaten!$E$7:$N$66,$S93,1)="","",INDEX(Resultaten!$E$7:$N$66,$S93,1)))</f>
        <v/>
      </c>
      <c r="G93" s="19">
        <f>IF($S93="","",IF(INDEX(Resultaten!$E$7:$N$66,$S93,2)="","",INDEX(Resultaten!$E$7:$N$66,$S93,2)))</f>
        <v/>
      </c>
      <c r="H93" s="19">
        <f>IF($S93="","",IF(INDEX(Resultaten!$E$7:$N$66,$S93,3)="","",INDEX(Resultaten!$E$7:$N$66,$S93,3)))</f>
        <v/>
      </c>
      <c r="I93" s="19">
        <f>IF($S93="","",IF(INDEX(Resultaten!$E$7:$N$66,$S93,4)="","",INDEX(Resultaten!$E$7:$N$66,$S93,4)))</f>
        <v/>
      </c>
      <c r="J93" s="19">
        <f>IF($S93="","",IF(INDEX(Resultaten!$E$7:$N$66,$S93,5)="","",INDEX(Resultaten!$E$7:$N$66,$S93,5)))</f>
        <v/>
      </c>
      <c r="K93" s="19">
        <f>IF($S93="","",IF(INDEX(Resultaten!$E$7:$N$66,$S93,6)="","",INDEX(Resultaten!$E$7:$N$66,$S93,6)))</f>
        <v/>
      </c>
      <c r="L93" s="19">
        <f>IF($S93="","",IF(INDEX(Resultaten!$E$7:$N$66,$S93,7)="","",INDEX(Resultaten!$E$7:$N$66,$S93,7)))</f>
        <v/>
      </c>
      <c r="M93" s="19">
        <f>IF($S93="","",IF(INDEX(Resultaten!$E$7:$N$66,$S93,8)="","",INDEX(Resultaten!$E$7:$N$66,$S93,8)))</f>
        <v/>
      </c>
      <c r="N93" s="19">
        <f>IF($S93="","",IF(INDEX(Resultaten!$E$7:$N$66,$S93,9)="","",INDEX(Resultaten!$E$7:$N$66,$S93,9)))</f>
        <v/>
      </c>
      <c r="O93" s="19">
        <f>IF($S93="","",IF(INDEX(Resultaten!$E$7:$N$66,$S93,10)="","",INDEX(Resultaten!$E$7:$N$66,$S93,10)))</f>
        <v/>
      </c>
      <c r="P93" s="19">
        <f>IF(OR($S93="",COUNT($F93:$O93)=0),"",ROUND(IFERROR(LARGE($F93:$O93,1),0)*($R$5&gt;=1)+IFERROR(LARGE($F93:$O93,2),0)*($R$5&gt;=2)+IFERROR(LARGE($F93:$O93,3),0)*($R$5&gt;=3)+IFERROR(LARGE($F93:$O93,4),0)*($R$5&gt;=4)+IFERROR(LARGE($F93:$O93,5),0)*($R$5&gt;=5)+IFERROR(LARGE($F93:$O93,6),0)*($R$5&gt;=6)+IFERROR(LARGE($F93:$O93,7),0)*($R$5&gt;=7)+IFERROR(LARGE($F93:$O93,8),0)*($R$5&gt;=8)+IFERROR(LARGE($F93:$O93,9),0)*($R$5&gt;=9)+IFERROR(LARGE($F93:$O93,10),0)*($R$5&gt;=10),1))</f>
        <v/>
      </c>
      <c r="Q93" s="21">
        <f>IF(N($P93)=0,"",$P93/MIN($R$5,COUNT($F93:$O93)))</f>
        <v/>
      </c>
      <c r="R93">
        <f>IFERROR(LARGE(Resultaten!$AC$7:$AC$66,44),"")</f>
        <v/>
      </c>
      <c r="S93">
        <f>IF($R93="","",MATCH($R93,Resultaten!$AC$7:$AC$66,0))</f>
        <v/>
      </c>
    </row>
    <row r="94">
      <c r="A94" s="17" t="n"/>
      <c r="B94" s="18" t="n"/>
      <c r="C94" s="19" t="n"/>
      <c r="D94" s="19" t="n"/>
      <c r="E94" s="20">
        <f>IF($S93="","","Op 100 schutters")</f>
        <v/>
      </c>
      <c r="F94" s="21">
        <f>IF($S93="","",INDEX(Resultaten!$O$7:$X$66,$S93,1))</f>
        <v/>
      </c>
      <c r="G94" s="21">
        <f>IF($S93="","",INDEX(Resultaten!$O$7:$X$66,$S93,2))</f>
        <v/>
      </c>
      <c r="H94" s="21">
        <f>IF($S93="","",INDEX(Resultaten!$O$7:$X$66,$S93,3))</f>
        <v/>
      </c>
      <c r="I94" s="21">
        <f>IF($S93="","",INDEX(Resultaten!$O$7:$X$66,$S93,4))</f>
        <v/>
      </c>
      <c r="J94" s="21">
        <f>IF($S93="","",INDEX(Resultaten!$O$7:$X$66,$S93,5))</f>
        <v/>
      </c>
      <c r="K94" s="21">
        <f>IF($S93="","",INDEX(Resultaten!$O$7:$X$66,$S93,6))</f>
        <v/>
      </c>
      <c r="L94" s="21">
        <f>IF($S93="","",INDEX(Resultaten!$O$7:$X$66,$S93,7))</f>
        <v/>
      </c>
      <c r="M94" s="21">
        <f>IF($S93="","",INDEX(Resultaten!$O$7:$X$66,$S93,8))</f>
        <v/>
      </c>
      <c r="N94" s="21">
        <f>IF($S93="","",INDEX(Resultaten!$O$7:$X$66,$S93,9))</f>
        <v/>
      </c>
      <c r="O94" s="21">
        <f>IF($S93="","",INDEX(Resultaten!$O$7:$X$66,$S93,10))</f>
        <v/>
      </c>
      <c r="P94" s="22">
        <f>IF($S93="","",INDEX(Resultaten!$Y$7:$Y$66,$S93))</f>
        <v/>
      </c>
      <c r="Q94" s="21">
        <f>IF($S93="","",INDEX(Resultaten!$Z$7:$Z$66,$S93))</f>
        <v/>
      </c>
      <c r="S94">
        <f>$S93</f>
        <v/>
      </c>
    </row>
    <row r="95">
      <c r="A95" s="17">
        <f>IF($S95="","",INDEX(Resultaten!$AA$7:$AA$66,$S95))</f>
        <v/>
      </c>
      <c r="B95" s="18">
        <f>IF($S95="","",INDEX(Resultaten!$B$7:$B$66,$S95))</f>
        <v/>
      </c>
      <c r="C95" s="19">
        <f>IF($S95="","",INDEX(Resultaten!$C$7:$C$66,$S95))</f>
        <v/>
      </c>
      <c r="D95" s="19">
        <f>IF($S95="","",INDEX(Resultaten!$D$7:$D$66,$S95))</f>
        <v/>
      </c>
      <c r="E95" s="20">
        <f>IF($S95="","","Geschoten")</f>
        <v/>
      </c>
      <c r="F95" s="19">
        <f>IF($S95="","",IF(INDEX(Resultaten!$E$7:$N$66,$S95,1)="","",INDEX(Resultaten!$E$7:$N$66,$S95,1)))</f>
        <v/>
      </c>
      <c r="G95" s="19">
        <f>IF($S95="","",IF(INDEX(Resultaten!$E$7:$N$66,$S95,2)="","",INDEX(Resultaten!$E$7:$N$66,$S95,2)))</f>
        <v/>
      </c>
      <c r="H95" s="19">
        <f>IF($S95="","",IF(INDEX(Resultaten!$E$7:$N$66,$S95,3)="","",INDEX(Resultaten!$E$7:$N$66,$S95,3)))</f>
        <v/>
      </c>
      <c r="I95" s="19">
        <f>IF($S95="","",IF(INDEX(Resultaten!$E$7:$N$66,$S95,4)="","",INDEX(Resultaten!$E$7:$N$66,$S95,4)))</f>
        <v/>
      </c>
      <c r="J95" s="19">
        <f>IF($S95="","",IF(INDEX(Resultaten!$E$7:$N$66,$S95,5)="","",INDEX(Resultaten!$E$7:$N$66,$S95,5)))</f>
        <v/>
      </c>
      <c r="K95" s="19">
        <f>IF($S95="","",IF(INDEX(Resultaten!$E$7:$N$66,$S95,6)="","",INDEX(Resultaten!$E$7:$N$66,$S95,6)))</f>
        <v/>
      </c>
      <c r="L95" s="19">
        <f>IF($S95="","",IF(INDEX(Resultaten!$E$7:$N$66,$S95,7)="","",INDEX(Resultaten!$E$7:$N$66,$S95,7)))</f>
        <v/>
      </c>
      <c r="M95" s="19">
        <f>IF($S95="","",IF(INDEX(Resultaten!$E$7:$N$66,$S95,8)="","",INDEX(Resultaten!$E$7:$N$66,$S95,8)))</f>
        <v/>
      </c>
      <c r="N95" s="19">
        <f>IF($S95="","",IF(INDEX(Resultaten!$E$7:$N$66,$S95,9)="","",INDEX(Resultaten!$E$7:$N$66,$S95,9)))</f>
        <v/>
      </c>
      <c r="O95" s="19">
        <f>IF($S95="","",IF(INDEX(Resultaten!$E$7:$N$66,$S95,10)="","",INDEX(Resultaten!$E$7:$N$66,$S95,10)))</f>
        <v/>
      </c>
      <c r="P95" s="19">
        <f>IF(OR($S95="",COUNT($F95:$O95)=0),"",ROUND(IFERROR(LARGE($F95:$O95,1),0)*($R$5&gt;=1)+IFERROR(LARGE($F95:$O95,2),0)*($R$5&gt;=2)+IFERROR(LARGE($F95:$O95,3),0)*($R$5&gt;=3)+IFERROR(LARGE($F95:$O95,4),0)*($R$5&gt;=4)+IFERROR(LARGE($F95:$O95,5),0)*($R$5&gt;=5)+IFERROR(LARGE($F95:$O95,6),0)*($R$5&gt;=6)+IFERROR(LARGE($F95:$O95,7),0)*($R$5&gt;=7)+IFERROR(LARGE($F95:$O95,8),0)*($R$5&gt;=8)+IFERROR(LARGE($F95:$O95,9),0)*($R$5&gt;=9)+IFERROR(LARGE($F95:$O95,10),0)*($R$5&gt;=10),1))</f>
        <v/>
      </c>
      <c r="Q95" s="21">
        <f>IF(N($P95)=0,"",$P95/MIN($R$5,COUNT($F95:$O95)))</f>
        <v/>
      </c>
      <c r="R95">
        <f>IFERROR(LARGE(Resultaten!$AC$7:$AC$66,45),"")</f>
        <v/>
      </c>
      <c r="S95">
        <f>IF($R95="","",MATCH($R95,Resultaten!$AC$7:$AC$66,0))</f>
        <v/>
      </c>
    </row>
    <row r="96">
      <c r="A96" s="17" t="n"/>
      <c r="B96" s="18" t="n"/>
      <c r="C96" s="19" t="n"/>
      <c r="D96" s="19" t="n"/>
      <c r="E96" s="20">
        <f>IF($S95="","","Op 100 schutters")</f>
        <v/>
      </c>
      <c r="F96" s="21">
        <f>IF($S95="","",INDEX(Resultaten!$O$7:$X$66,$S95,1))</f>
        <v/>
      </c>
      <c r="G96" s="21">
        <f>IF($S95="","",INDEX(Resultaten!$O$7:$X$66,$S95,2))</f>
        <v/>
      </c>
      <c r="H96" s="21">
        <f>IF($S95="","",INDEX(Resultaten!$O$7:$X$66,$S95,3))</f>
        <v/>
      </c>
      <c r="I96" s="21">
        <f>IF($S95="","",INDEX(Resultaten!$O$7:$X$66,$S95,4))</f>
        <v/>
      </c>
      <c r="J96" s="21">
        <f>IF($S95="","",INDEX(Resultaten!$O$7:$X$66,$S95,5))</f>
        <v/>
      </c>
      <c r="K96" s="21">
        <f>IF($S95="","",INDEX(Resultaten!$O$7:$X$66,$S95,6))</f>
        <v/>
      </c>
      <c r="L96" s="21">
        <f>IF($S95="","",INDEX(Resultaten!$O$7:$X$66,$S95,7))</f>
        <v/>
      </c>
      <c r="M96" s="21">
        <f>IF($S95="","",INDEX(Resultaten!$O$7:$X$66,$S95,8))</f>
        <v/>
      </c>
      <c r="N96" s="21">
        <f>IF($S95="","",INDEX(Resultaten!$O$7:$X$66,$S95,9))</f>
        <v/>
      </c>
      <c r="O96" s="21">
        <f>IF($S95="","",INDEX(Resultaten!$O$7:$X$66,$S95,10))</f>
        <v/>
      </c>
      <c r="P96" s="22">
        <f>IF($S95="","",INDEX(Resultaten!$Y$7:$Y$66,$S95))</f>
        <v/>
      </c>
      <c r="Q96" s="21">
        <f>IF($S95="","",INDEX(Resultaten!$Z$7:$Z$66,$S95))</f>
        <v/>
      </c>
      <c r="S96">
        <f>$S95</f>
        <v/>
      </c>
    </row>
    <row r="97">
      <c r="A97" s="17">
        <f>IF($S97="","",INDEX(Resultaten!$AA$7:$AA$66,$S97))</f>
        <v/>
      </c>
      <c r="B97" s="18">
        <f>IF($S97="","",INDEX(Resultaten!$B$7:$B$66,$S97))</f>
        <v/>
      </c>
      <c r="C97" s="19">
        <f>IF($S97="","",INDEX(Resultaten!$C$7:$C$66,$S97))</f>
        <v/>
      </c>
      <c r="D97" s="19">
        <f>IF($S97="","",INDEX(Resultaten!$D$7:$D$66,$S97))</f>
        <v/>
      </c>
      <c r="E97" s="20">
        <f>IF($S97="","","Geschoten")</f>
        <v/>
      </c>
      <c r="F97" s="19">
        <f>IF($S97="","",IF(INDEX(Resultaten!$E$7:$N$66,$S97,1)="","",INDEX(Resultaten!$E$7:$N$66,$S97,1)))</f>
        <v/>
      </c>
      <c r="G97" s="19">
        <f>IF($S97="","",IF(INDEX(Resultaten!$E$7:$N$66,$S97,2)="","",INDEX(Resultaten!$E$7:$N$66,$S97,2)))</f>
        <v/>
      </c>
      <c r="H97" s="19">
        <f>IF($S97="","",IF(INDEX(Resultaten!$E$7:$N$66,$S97,3)="","",INDEX(Resultaten!$E$7:$N$66,$S97,3)))</f>
        <v/>
      </c>
      <c r="I97" s="19">
        <f>IF($S97="","",IF(INDEX(Resultaten!$E$7:$N$66,$S97,4)="","",INDEX(Resultaten!$E$7:$N$66,$S97,4)))</f>
        <v/>
      </c>
      <c r="J97" s="19">
        <f>IF($S97="","",IF(INDEX(Resultaten!$E$7:$N$66,$S97,5)="","",INDEX(Resultaten!$E$7:$N$66,$S97,5)))</f>
        <v/>
      </c>
      <c r="K97" s="19">
        <f>IF($S97="","",IF(INDEX(Resultaten!$E$7:$N$66,$S97,6)="","",INDEX(Resultaten!$E$7:$N$66,$S97,6)))</f>
        <v/>
      </c>
      <c r="L97" s="19">
        <f>IF($S97="","",IF(INDEX(Resultaten!$E$7:$N$66,$S97,7)="","",INDEX(Resultaten!$E$7:$N$66,$S97,7)))</f>
        <v/>
      </c>
      <c r="M97" s="19">
        <f>IF($S97="","",IF(INDEX(Resultaten!$E$7:$N$66,$S97,8)="","",INDEX(Resultaten!$E$7:$N$66,$S97,8)))</f>
        <v/>
      </c>
      <c r="N97" s="19">
        <f>IF($S97="","",IF(INDEX(Resultaten!$E$7:$N$66,$S97,9)="","",INDEX(Resultaten!$E$7:$N$66,$S97,9)))</f>
        <v/>
      </c>
      <c r="O97" s="19">
        <f>IF($S97="","",IF(INDEX(Resultaten!$E$7:$N$66,$S97,10)="","",INDEX(Resultaten!$E$7:$N$66,$S97,10)))</f>
        <v/>
      </c>
      <c r="P97" s="19">
        <f>IF(OR($S97="",COUNT($F97:$O97)=0),"",ROUND(IFERROR(LARGE($F97:$O97,1),0)*($R$5&gt;=1)+IFERROR(LARGE($F97:$O97,2),0)*($R$5&gt;=2)+IFERROR(LARGE($F97:$O97,3),0)*($R$5&gt;=3)+IFERROR(LARGE($F97:$O97,4),0)*($R$5&gt;=4)+IFERROR(LARGE($F97:$O97,5),0)*($R$5&gt;=5)+IFERROR(LARGE($F97:$O97,6),0)*($R$5&gt;=6)+IFERROR(LARGE($F97:$O97,7),0)*($R$5&gt;=7)+IFERROR(LARGE($F97:$O97,8),0)*($R$5&gt;=8)+IFERROR(LARGE($F97:$O97,9),0)*($R$5&gt;=9)+IFERROR(LARGE($F97:$O97,10),0)*($R$5&gt;=10),1))</f>
        <v/>
      </c>
      <c r="Q97" s="21">
        <f>IF(N($P97)=0,"",$P97/MIN($R$5,COUNT($F97:$O97)))</f>
        <v/>
      </c>
      <c r="R97">
        <f>IFERROR(LARGE(Resultaten!$AC$7:$AC$66,46),"")</f>
        <v/>
      </c>
      <c r="S97">
        <f>IF($R97="","",MATCH($R97,Resultaten!$AC$7:$AC$66,0))</f>
        <v/>
      </c>
    </row>
    <row r="98">
      <c r="A98" s="17" t="n"/>
      <c r="B98" s="18" t="n"/>
      <c r="C98" s="19" t="n"/>
      <c r="D98" s="19" t="n"/>
      <c r="E98" s="20">
        <f>IF($S97="","","Op 100 schutters")</f>
        <v/>
      </c>
      <c r="F98" s="21">
        <f>IF($S97="","",INDEX(Resultaten!$O$7:$X$66,$S97,1))</f>
        <v/>
      </c>
      <c r="G98" s="21">
        <f>IF($S97="","",INDEX(Resultaten!$O$7:$X$66,$S97,2))</f>
        <v/>
      </c>
      <c r="H98" s="21">
        <f>IF($S97="","",INDEX(Resultaten!$O$7:$X$66,$S97,3))</f>
        <v/>
      </c>
      <c r="I98" s="21">
        <f>IF($S97="","",INDEX(Resultaten!$O$7:$X$66,$S97,4))</f>
        <v/>
      </c>
      <c r="J98" s="21">
        <f>IF($S97="","",INDEX(Resultaten!$O$7:$X$66,$S97,5))</f>
        <v/>
      </c>
      <c r="K98" s="21">
        <f>IF($S97="","",INDEX(Resultaten!$O$7:$X$66,$S97,6))</f>
        <v/>
      </c>
      <c r="L98" s="21">
        <f>IF($S97="","",INDEX(Resultaten!$O$7:$X$66,$S97,7))</f>
        <v/>
      </c>
      <c r="M98" s="21">
        <f>IF($S97="","",INDEX(Resultaten!$O$7:$X$66,$S97,8))</f>
        <v/>
      </c>
      <c r="N98" s="21">
        <f>IF($S97="","",INDEX(Resultaten!$O$7:$X$66,$S97,9))</f>
        <v/>
      </c>
      <c r="O98" s="21">
        <f>IF($S97="","",INDEX(Resultaten!$O$7:$X$66,$S97,10))</f>
        <v/>
      </c>
      <c r="P98" s="22">
        <f>IF($S97="","",INDEX(Resultaten!$Y$7:$Y$66,$S97))</f>
        <v/>
      </c>
      <c r="Q98" s="21">
        <f>IF($S97="","",INDEX(Resultaten!$Z$7:$Z$66,$S97))</f>
        <v/>
      </c>
      <c r="S98">
        <f>$S97</f>
        <v/>
      </c>
    </row>
    <row r="99">
      <c r="A99" s="17">
        <f>IF($S99="","",INDEX(Resultaten!$AA$7:$AA$66,$S99))</f>
        <v/>
      </c>
      <c r="B99" s="18">
        <f>IF($S99="","",INDEX(Resultaten!$B$7:$B$66,$S99))</f>
        <v/>
      </c>
      <c r="C99" s="19">
        <f>IF($S99="","",INDEX(Resultaten!$C$7:$C$66,$S99))</f>
        <v/>
      </c>
      <c r="D99" s="19">
        <f>IF($S99="","",INDEX(Resultaten!$D$7:$D$66,$S99))</f>
        <v/>
      </c>
      <c r="E99" s="20">
        <f>IF($S99="","","Geschoten")</f>
        <v/>
      </c>
      <c r="F99" s="19">
        <f>IF($S99="","",IF(INDEX(Resultaten!$E$7:$N$66,$S99,1)="","",INDEX(Resultaten!$E$7:$N$66,$S99,1)))</f>
        <v/>
      </c>
      <c r="G99" s="19">
        <f>IF($S99="","",IF(INDEX(Resultaten!$E$7:$N$66,$S99,2)="","",INDEX(Resultaten!$E$7:$N$66,$S99,2)))</f>
        <v/>
      </c>
      <c r="H99" s="19">
        <f>IF($S99="","",IF(INDEX(Resultaten!$E$7:$N$66,$S99,3)="","",INDEX(Resultaten!$E$7:$N$66,$S99,3)))</f>
        <v/>
      </c>
      <c r="I99" s="19">
        <f>IF($S99="","",IF(INDEX(Resultaten!$E$7:$N$66,$S99,4)="","",INDEX(Resultaten!$E$7:$N$66,$S99,4)))</f>
        <v/>
      </c>
      <c r="J99" s="19">
        <f>IF($S99="","",IF(INDEX(Resultaten!$E$7:$N$66,$S99,5)="","",INDEX(Resultaten!$E$7:$N$66,$S99,5)))</f>
        <v/>
      </c>
      <c r="K99" s="19">
        <f>IF($S99="","",IF(INDEX(Resultaten!$E$7:$N$66,$S99,6)="","",INDEX(Resultaten!$E$7:$N$66,$S99,6)))</f>
        <v/>
      </c>
      <c r="L99" s="19">
        <f>IF($S99="","",IF(INDEX(Resultaten!$E$7:$N$66,$S99,7)="","",INDEX(Resultaten!$E$7:$N$66,$S99,7)))</f>
        <v/>
      </c>
      <c r="M99" s="19">
        <f>IF($S99="","",IF(INDEX(Resultaten!$E$7:$N$66,$S99,8)="","",INDEX(Resultaten!$E$7:$N$66,$S99,8)))</f>
        <v/>
      </c>
      <c r="N99" s="19">
        <f>IF($S99="","",IF(INDEX(Resultaten!$E$7:$N$66,$S99,9)="","",INDEX(Resultaten!$E$7:$N$66,$S99,9)))</f>
        <v/>
      </c>
      <c r="O99" s="19">
        <f>IF($S99="","",IF(INDEX(Resultaten!$E$7:$N$66,$S99,10)="","",INDEX(Resultaten!$E$7:$N$66,$S99,10)))</f>
        <v/>
      </c>
      <c r="P99" s="19">
        <f>IF(OR($S99="",COUNT($F99:$O99)=0),"",ROUND(IFERROR(LARGE($F99:$O99,1),0)*($R$5&gt;=1)+IFERROR(LARGE($F99:$O99,2),0)*($R$5&gt;=2)+IFERROR(LARGE($F99:$O99,3),0)*($R$5&gt;=3)+IFERROR(LARGE($F99:$O99,4),0)*($R$5&gt;=4)+IFERROR(LARGE($F99:$O99,5),0)*($R$5&gt;=5)+IFERROR(LARGE($F99:$O99,6),0)*($R$5&gt;=6)+IFERROR(LARGE($F99:$O99,7),0)*($R$5&gt;=7)+IFERROR(LARGE($F99:$O99,8),0)*($R$5&gt;=8)+IFERROR(LARGE($F99:$O99,9),0)*($R$5&gt;=9)+IFERROR(LARGE($F99:$O99,10),0)*($R$5&gt;=10),1))</f>
        <v/>
      </c>
      <c r="Q99" s="21">
        <f>IF(N($P99)=0,"",$P99/MIN($R$5,COUNT($F99:$O99)))</f>
        <v/>
      </c>
      <c r="R99">
        <f>IFERROR(LARGE(Resultaten!$AC$7:$AC$66,47),"")</f>
        <v/>
      </c>
      <c r="S99">
        <f>IF($R99="","",MATCH($R99,Resultaten!$AC$7:$AC$66,0))</f>
        <v/>
      </c>
    </row>
    <row r="100">
      <c r="A100" s="17" t="n"/>
      <c r="B100" s="18" t="n"/>
      <c r="C100" s="19" t="n"/>
      <c r="D100" s="19" t="n"/>
      <c r="E100" s="20">
        <f>IF($S99="","","Op 100 schutters")</f>
        <v/>
      </c>
      <c r="F100" s="21">
        <f>IF($S99="","",INDEX(Resultaten!$O$7:$X$66,$S99,1))</f>
        <v/>
      </c>
      <c r="G100" s="21">
        <f>IF($S99="","",INDEX(Resultaten!$O$7:$X$66,$S99,2))</f>
        <v/>
      </c>
      <c r="H100" s="21">
        <f>IF($S99="","",INDEX(Resultaten!$O$7:$X$66,$S99,3))</f>
        <v/>
      </c>
      <c r="I100" s="21">
        <f>IF($S99="","",INDEX(Resultaten!$O$7:$X$66,$S99,4))</f>
        <v/>
      </c>
      <c r="J100" s="21">
        <f>IF($S99="","",INDEX(Resultaten!$O$7:$X$66,$S99,5))</f>
        <v/>
      </c>
      <c r="K100" s="21">
        <f>IF($S99="","",INDEX(Resultaten!$O$7:$X$66,$S99,6))</f>
        <v/>
      </c>
      <c r="L100" s="21">
        <f>IF($S99="","",INDEX(Resultaten!$O$7:$X$66,$S99,7))</f>
        <v/>
      </c>
      <c r="M100" s="21">
        <f>IF($S99="","",INDEX(Resultaten!$O$7:$X$66,$S99,8))</f>
        <v/>
      </c>
      <c r="N100" s="21">
        <f>IF($S99="","",INDEX(Resultaten!$O$7:$X$66,$S99,9))</f>
        <v/>
      </c>
      <c r="O100" s="21">
        <f>IF($S99="","",INDEX(Resultaten!$O$7:$X$66,$S99,10))</f>
        <v/>
      </c>
      <c r="P100" s="22">
        <f>IF($S99="","",INDEX(Resultaten!$Y$7:$Y$66,$S99))</f>
        <v/>
      </c>
      <c r="Q100" s="21">
        <f>IF($S99="","",INDEX(Resultaten!$Z$7:$Z$66,$S99))</f>
        <v/>
      </c>
      <c r="S100">
        <f>$S99</f>
        <v/>
      </c>
    </row>
    <row r="101">
      <c r="A101" s="17">
        <f>IF($S101="","",INDEX(Resultaten!$AA$7:$AA$66,$S101))</f>
        <v/>
      </c>
      <c r="B101" s="18">
        <f>IF($S101="","",INDEX(Resultaten!$B$7:$B$66,$S101))</f>
        <v/>
      </c>
      <c r="C101" s="19">
        <f>IF($S101="","",INDEX(Resultaten!$C$7:$C$66,$S101))</f>
        <v/>
      </c>
      <c r="D101" s="19">
        <f>IF($S101="","",INDEX(Resultaten!$D$7:$D$66,$S101))</f>
        <v/>
      </c>
      <c r="E101" s="20">
        <f>IF($S101="","","Geschoten")</f>
        <v/>
      </c>
      <c r="F101" s="19">
        <f>IF($S101="","",IF(INDEX(Resultaten!$E$7:$N$66,$S101,1)="","",INDEX(Resultaten!$E$7:$N$66,$S101,1)))</f>
        <v/>
      </c>
      <c r="G101" s="19">
        <f>IF($S101="","",IF(INDEX(Resultaten!$E$7:$N$66,$S101,2)="","",INDEX(Resultaten!$E$7:$N$66,$S101,2)))</f>
        <v/>
      </c>
      <c r="H101" s="19">
        <f>IF($S101="","",IF(INDEX(Resultaten!$E$7:$N$66,$S101,3)="","",INDEX(Resultaten!$E$7:$N$66,$S101,3)))</f>
        <v/>
      </c>
      <c r="I101" s="19">
        <f>IF($S101="","",IF(INDEX(Resultaten!$E$7:$N$66,$S101,4)="","",INDEX(Resultaten!$E$7:$N$66,$S101,4)))</f>
        <v/>
      </c>
      <c r="J101" s="19">
        <f>IF($S101="","",IF(INDEX(Resultaten!$E$7:$N$66,$S101,5)="","",INDEX(Resultaten!$E$7:$N$66,$S101,5)))</f>
        <v/>
      </c>
      <c r="K101" s="19">
        <f>IF($S101="","",IF(INDEX(Resultaten!$E$7:$N$66,$S101,6)="","",INDEX(Resultaten!$E$7:$N$66,$S101,6)))</f>
        <v/>
      </c>
      <c r="L101" s="19">
        <f>IF($S101="","",IF(INDEX(Resultaten!$E$7:$N$66,$S101,7)="","",INDEX(Resultaten!$E$7:$N$66,$S101,7)))</f>
        <v/>
      </c>
      <c r="M101" s="19">
        <f>IF($S101="","",IF(INDEX(Resultaten!$E$7:$N$66,$S101,8)="","",INDEX(Resultaten!$E$7:$N$66,$S101,8)))</f>
        <v/>
      </c>
      <c r="N101" s="19">
        <f>IF($S101="","",IF(INDEX(Resultaten!$E$7:$N$66,$S101,9)="","",INDEX(Resultaten!$E$7:$N$66,$S101,9)))</f>
        <v/>
      </c>
      <c r="O101" s="19">
        <f>IF($S101="","",IF(INDEX(Resultaten!$E$7:$N$66,$S101,10)="","",INDEX(Resultaten!$E$7:$N$66,$S101,10)))</f>
        <v/>
      </c>
      <c r="P101" s="19">
        <f>IF(OR($S101="",COUNT($F101:$O101)=0),"",ROUND(IFERROR(LARGE($F101:$O101,1),0)*($R$5&gt;=1)+IFERROR(LARGE($F101:$O101,2),0)*($R$5&gt;=2)+IFERROR(LARGE($F101:$O101,3),0)*($R$5&gt;=3)+IFERROR(LARGE($F101:$O101,4),0)*($R$5&gt;=4)+IFERROR(LARGE($F101:$O101,5),0)*($R$5&gt;=5)+IFERROR(LARGE($F101:$O101,6),0)*($R$5&gt;=6)+IFERROR(LARGE($F101:$O101,7),0)*($R$5&gt;=7)+IFERROR(LARGE($F101:$O101,8),0)*($R$5&gt;=8)+IFERROR(LARGE($F101:$O101,9),0)*($R$5&gt;=9)+IFERROR(LARGE($F101:$O101,10),0)*($R$5&gt;=10),1))</f>
        <v/>
      </c>
      <c r="Q101" s="21">
        <f>IF(N($P101)=0,"",$P101/MIN($R$5,COUNT($F101:$O101)))</f>
        <v/>
      </c>
      <c r="R101">
        <f>IFERROR(LARGE(Resultaten!$AC$7:$AC$66,48),"")</f>
        <v/>
      </c>
      <c r="S101">
        <f>IF($R101="","",MATCH($R101,Resultaten!$AC$7:$AC$66,0))</f>
        <v/>
      </c>
    </row>
    <row r="102">
      <c r="A102" s="17" t="n"/>
      <c r="B102" s="18" t="n"/>
      <c r="C102" s="19" t="n"/>
      <c r="D102" s="19" t="n"/>
      <c r="E102" s="20">
        <f>IF($S101="","","Op 100 schutters")</f>
        <v/>
      </c>
      <c r="F102" s="21">
        <f>IF($S101="","",INDEX(Resultaten!$O$7:$X$66,$S101,1))</f>
        <v/>
      </c>
      <c r="G102" s="21">
        <f>IF($S101="","",INDEX(Resultaten!$O$7:$X$66,$S101,2))</f>
        <v/>
      </c>
      <c r="H102" s="21">
        <f>IF($S101="","",INDEX(Resultaten!$O$7:$X$66,$S101,3))</f>
        <v/>
      </c>
      <c r="I102" s="21">
        <f>IF($S101="","",INDEX(Resultaten!$O$7:$X$66,$S101,4))</f>
        <v/>
      </c>
      <c r="J102" s="21">
        <f>IF($S101="","",INDEX(Resultaten!$O$7:$X$66,$S101,5))</f>
        <v/>
      </c>
      <c r="K102" s="21">
        <f>IF($S101="","",INDEX(Resultaten!$O$7:$X$66,$S101,6))</f>
        <v/>
      </c>
      <c r="L102" s="21">
        <f>IF($S101="","",INDEX(Resultaten!$O$7:$X$66,$S101,7))</f>
        <v/>
      </c>
      <c r="M102" s="21">
        <f>IF($S101="","",INDEX(Resultaten!$O$7:$X$66,$S101,8))</f>
        <v/>
      </c>
      <c r="N102" s="21">
        <f>IF($S101="","",INDEX(Resultaten!$O$7:$X$66,$S101,9))</f>
        <v/>
      </c>
      <c r="O102" s="21">
        <f>IF($S101="","",INDEX(Resultaten!$O$7:$X$66,$S101,10))</f>
        <v/>
      </c>
      <c r="P102" s="22">
        <f>IF($S101="","",INDEX(Resultaten!$Y$7:$Y$66,$S101))</f>
        <v/>
      </c>
      <c r="Q102" s="21">
        <f>IF($S101="","",INDEX(Resultaten!$Z$7:$Z$66,$S101))</f>
        <v/>
      </c>
      <c r="S102">
        <f>$S101</f>
        <v/>
      </c>
    </row>
    <row r="103">
      <c r="A103" s="17">
        <f>IF($S103="","",INDEX(Resultaten!$AA$7:$AA$66,$S103))</f>
        <v/>
      </c>
      <c r="B103" s="18">
        <f>IF($S103="","",INDEX(Resultaten!$B$7:$B$66,$S103))</f>
        <v/>
      </c>
      <c r="C103" s="19">
        <f>IF($S103="","",INDEX(Resultaten!$C$7:$C$66,$S103))</f>
        <v/>
      </c>
      <c r="D103" s="19">
        <f>IF($S103="","",INDEX(Resultaten!$D$7:$D$66,$S103))</f>
        <v/>
      </c>
      <c r="E103" s="20">
        <f>IF($S103="","","Geschoten")</f>
        <v/>
      </c>
      <c r="F103" s="19">
        <f>IF($S103="","",IF(INDEX(Resultaten!$E$7:$N$66,$S103,1)="","",INDEX(Resultaten!$E$7:$N$66,$S103,1)))</f>
        <v/>
      </c>
      <c r="G103" s="19">
        <f>IF($S103="","",IF(INDEX(Resultaten!$E$7:$N$66,$S103,2)="","",INDEX(Resultaten!$E$7:$N$66,$S103,2)))</f>
        <v/>
      </c>
      <c r="H103" s="19">
        <f>IF($S103="","",IF(INDEX(Resultaten!$E$7:$N$66,$S103,3)="","",INDEX(Resultaten!$E$7:$N$66,$S103,3)))</f>
        <v/>
      </c>
      <c r="I103" s="19">
        <f>IF($S103="","",IF(INDEX(Resultaten!$E$7:$N$66,$S103,4)="","",INDEX(Resultaten!$E$7:$N$66,$S103,4)))</f>
        <v/>
      </c>
      <c r="J103" s="19">
        <f>IF($S103="","",IF(INDEX(Resultaten!$E$7:$N$66,$S103,5)="","",INDEX(Resultaten!$E$7:$N$66,$S103,5)))</f>
        <v/>
      </c>
      <c r="K103" s="19">
        <f>IF($S103="","",IF(INDEX(Resultaten!$E$7:$N$66,$S103,6)="","",INDEX(Resultaten!$E$7:$N$66,$S103,6)))</f>
        <v/>
      </c>
      <c r="L103" s="19">
        <f>IF($S103="","",IF(INDEX(Resultaten!$E$7:$N$66,$S103,7)="","",INDEX(Resultaten!$E$7:$N$66,$S103,7)))</f>
        <v/>
      </c>
      <c r="M103" s="19">
        <f>IF($S103="","",IF(INDEX(Resultaten!$E$7:$N$66,$S103,8)="","",INDEX(Resultaten!$E$7:$N$66,$S103,8)))</f>
        <v/>
      </c>
      <c r="N103" s="19">
        <f>IF($S103="","",IF(INDEX(Resultaten!$E$7:$N$66,$S103,9)="","",INDEX(Resultaten!$E$7:$N$66,$S103,9)))</f>
        <v/>
      </c>
      <c r="O103" s="19">
        <f>IF($S103="","",IF(INDEX(Resultaten!$E$7:$N$66,$S103,10)="","",INDEX(Resultaten!$E$7:$N$66,$S103,10)))</f>
        <v/>
      </c>
      <c r="P103" s="19">
        <f>IF(OR($S103="",COUNT($F103:$O103)=0),"",ROUND(IFERROR(LARGE($F103:$O103,1),0)*($R$5&gt;=1)+IFERROR(LARGE($F103:$O103,2),0)*($R$5&gt;=2)+IFERROR(LARGE($F103:$O103,3),0)*($R$5&gt;=3)+IFERROR(LARGE($F103:$O103,4),0)*($R$5&gt;=4)+IFERROR(LARGE($F103:$O103,5),0)*($R$5&gt;=5)+IFERROR(LARGE($F103:$O103,6),0)*($R$5&gt;=6)+IFERROR(LARGE($F103:$O103,7),0)*($R$5&gt;=7)+IFERROR(LARGE($F103:$O103,8),0)*($R$5&gt;=8)+IFERROR(LARGE($F103:$O103,9),0)*($R$5&gt;=9)+IFERROR(LARGE($F103:$O103,10),0)*($R$5&gt;=10),1))</f>
        <v/>
      </c>
      <c r="Q103" s="21">
        <f>IF(N($P103)=0,"",$P103/MIN($R$5,COUNT($F103:$O103)))</f>
        <v/>
      </c>
      <c r="R103">
        <f>IFERROR(LARGE(Resultaten!$AC$7:$AC$66,49),"")</f>
        <v/>
      </c>
      <c r="S103">
        <f>IF($R103="","",MATCH($R103,Resultaten!$AC$7:$AC$66,0))</f>
        <v/>
      </c>
    </row>
    <row r="104">
      <c r="A104" s="17" t="n"/>
      <c r="B104" s="18" t="n"/>
      <c r="C104" s="19" t="n"/>
      <c r="D104" s="19" t="n"/>
      <c r="E104" s="20">
        <f>IF($S103="","","Op 100 schutters")</f>
        <v/>
      </c>
      <c r="F104" s="21">
        <f>IF($S103="","",INDEX(Resultaten!$O$7:$X$66,$S103,1))</f>
        <v/>
      </c>
      <c r="G104" s="21">
        <f>IF($S103="","",INDEX(Resultaten!$O$7:$X$66,$S103,2))</f>
        <v/>
      </c>
      <c r="H104" s="21">
        <f>IF($S103="","",INDEX(Resultaten!$O$7:$X$66,$S103,3))</f>
        <v/>
      </c>
      <c r="I104" s="21">
        <f>IF($S103="","",INDEX(Resultaten!$O$7:$X$66,$S103,4))</f>
        <v/>
      </c>
      <c r="J104" s="21">
        <f>IF($S103="","",INDEX(Resultaten!$O$7:$X$66,$S103,5))</f>
        <v/>
      </c>
      <c r="K104" s="21">
        <f>IF($S103="","",INDEX(Resultaten!$O$7:$X$66,$S103,6))</f>
        <v/>
      </c>
      <c r="L104" s="21">
        <f>IF($S103="","",INDEX(Resultaten!$O$7:$X$66,$S103,7))</f>
        <v/>
      </c>
      <c r="M104" s="21">
        <f>IF($S103="","",INDEX(Resultaten!$O$7:$X$66,$S103,8))</f>
        <v/>
      </c>
      <c r="N104" s="21">
        <f>IF($S103="","",INDEX(Resultaten!$O$7:$X$66,$S103,9))</f>
        <v/>
      </c>
      <c r="O104" s="21">
        <f>IF($S103="","",INDEX(Resultaten!$O$7:$X$66,$S103,10))</f>
        <v/>
      </c>
      <c r="P104" s="22">
        <f>IF($S103="","",INDEX(Resultaten!$Y$7:$Y$66,$S103))</f>
        <v/>
      </c>
      <c r="Q104" s="21">
        <f>IF($S103="","",INDEX(Resultaten!$Z$7:$Z$66,$S103))</f>
        <v/>
      </c>
      <c r="S104">
        <f>$S103</f>
        <v/>
      </c>
    </row>
    <row r="105">
      <c r="A105" s="17">
        <f>IF($S105="","",INDEX(Resultaten!$AA$7:$AA$66,$S105))</f>
        <v/>
      </c>
      <c r="B105" s="18">
        <f>IF($S105="","",INDEX(Resultaten!$B$7:$B$66,$S105))</f>
        <v/>
      </c>
      <c r="C105" s="19">
        <f>IF($S105="","",INDEX(Resultaten!$C$7:$C$66,$S105))</f>
        <v/>
      </c>
      <c r="D105" s="19">
        <f>IF($S105="","",INDEX(Resultaten!$D$7:$D$66,$S105))</f>
        <v/>
      </c>
      <c r="E105" s="20">
        <f>IF($S105="","","Geschoten")</f>
        <v/>
      </c>
      <c r="F105" s="19">
        <f>IF($S105="","",IF(INDEX(Resultaten!$E$7:$N$66,$S105,1)="","",INDEX(Resultaten!$E$7:$N$66,$S105,1)))</f>
        <v/>
      </c>
      <c r="G105" s="19">
        <f>IF($S105="","",IF(INDEX(Resultaten!$E$7:$N$66,$S105,2)="","",INDEX(Resultaten!$E$7:$N$66,$S105,2)))</f>
        <v/>
      </c>
      <c r="H105" s="19">
        <f>IF($S105="","",IF(INDEX(Resultaten!$E$7:$N$66,$S105,3)="","",INDEX(Resultaten!$E$7:$N$66,$S105,3)))</f>
        <v/>
      </c>
      <c r="I105" s="19">
        <f>IF($S105="","",IF(INDEX(Resultaten!$E$7:$N$66,$S105,4)="","",INDEX(Resultaten!$E$7:$N$66,$S105,4)))</f>
        <v/>
      </c>
      <c r="J105" s="19">
        <f>IF($S105="","",IF(INDEX(Resultaten!$E$7:$N$66,$S105,5)="","",INDEX(Resultaten!$E$7:$N$66,$S105,5)))</f>
        <v/>
      </c>
      <c r="K105" s="19">
        <f>IF($S105="","",IF(INDEX(Resultaten!$E$7:$N$66,$S105,6)="","",INDEX(Resultaten!$E$7:$N$66,$S105,6)))</f>
        <v/>
      </c>
      <c r="L105" s="19">
        <f>IF($S105="","",IF(INDEX(Resultaten!$E$7:$N$66,$S105,7)="","",INDEX(Resultaten!$E$7:$N$66,$S105,7)))</f>
        <v/>
      </c>
      <c r="M105" s="19">
        <f>IF($S105="","",IF(INDEX(Resultaten!$E$7:$N$66,$S105,8)="","",INDEX(Resultaten!$E$7:$N$66,$S105,8)))</f>
        <v/>
      </c>
      <c r="N105" s="19">
        <f>IF($S105="","",IF(INDEX(Resultaten!$E$7:$N$66,$S105,9)="","",INDEX(Resultaten!$E$7:$N$66,$S105,9)))</f>
        <v/>
      </c>
      <c r="O105" s="19">
        <f>IF($S105="","",IF(INDEX(Resultaten!$E$7:$N$66,$S105,10)="","",INDEX(Resultaten!$E$7:$N$66,$S105,10)))</f>
        <v/>
      </c>
      <c r="P105" s="19">
        <f>IF(OR($S105="",COUNT($F105:$O105)=0),"",ROUND(IFERROR(LARGE($F105:$O105,1),0)*($R$5&gt;=1)+IFERROR(LARGE($F105:$O105,2),0)*($R$5&gt;=2)+IFERROR(LARGE($F105:$O105,3),0)*($R$5&gt;=3)+IFERROR(LARGE($F105:$O105,4),0)*($R$5&gt;=4)+IFERROR(LARGE($F105:$O105,5),0)*($R$5&gt;=5)+IFERROR(LARGE($F105:$O105,6),0)*($R$5&gt;=6)+IFERROR(LARGE($F105:$O105,7),0)*($R$5&gt;=7)+IFERROR(LARGE($F105:$O105,8),0)*($R$5&gt;=8)+IFERROR(LARGE($F105:$O105,9),0)*($R$5&gt;=9)+IFERROR(LARGE($F105:$O105,10),0)*($R$5&gt;=10),1))</f>
        <v/>
      </c>
      <c r="Q105" s="21">
        <f>IF(N($P105)=0,"",$P105/MIN($R$5,COUNT($F105:$O105)))</f>
        <v/>
      </c>
      <c r="R105">
        <f>IFERROR(LARGE(Resultaten!$AC$7:$AC$66,50),"")</f>
        <v/>
      </c>
      <c r="S105">
        <f>IF($R105="","",MATCH($R105,Resultaten!$AC$7:$AC$66,0))</f>
        <v/>
      </c>
    </row>
    <row r="106">
      <c r="A106" s="17" t="n"/>
      <c r="B106" s="18" t="n"/>
      <c r="C106" s="19" t="n"/>
      <c r="D106" s="19" t="n"/>
      <c r="E106" s="20">
        <f>IF($S105="","","Op 100 schutters")</f>
        <v/>
      </c>
      <c r="F106" s="21">
        <f>IF($S105="","",INDEX(Resultaten!$O$7:$X$66,$S105,1))</f>
        <v/>
      </c>
      <c r="G106" s="21">
        <f>IF($S105="","",INDEX(Resultaten!$O$7:$X$66,$S105,2))</f>
        <v/>
      </c>
      <c r="H106" s="21">
        <f>IF($S105="","",INDEX(Resultaten!$O$7:$X$66,$S105,3))</f>
        <v/>
      </c>
      <c r="I106" s="21">
        <f>IF($S105="","",INDEX(Resultaten!$O$7:$X$66,$S105,4))</f>
        <v/>
      </c>
      <c r="J106" s="21">
        <f>IF($S105="","",INDEX(Resultaten!$O$7:$X$66,$S105,5))</f>
        <v/>
      </c>
      <c r="K106" s="21">
        <f>IF($S105="","",INDEX(Resultaten!$O$7:$X$66,$S105,6))</f>
        <v/>
      </c>
      <c r="L106" s="21">
        <f>IF($S105="","",INDEX(Resultaten!$O$7:$X$66,$S105,7))</f>
        <v/>
      </c>
      <c r="M106" s="21">
        <f>IF($S105="","",INDEX(Resultaten!$O$7:$X$66,$S105,8))</f>
        <v/>
      </c>
      <c r="N106" s="21">
        <f>IF($S105="","",INDEX(Resultaten!$O$7:$X$66,$S105,9))</f>
        <v/>
      </c>
      <c r="O106" s="21">
        <f>IF($S105="","",INDEX(Resultaten!$O$7:$X$66,$S105,10))</f>
        <v/>
      </c>
      <c r="P106" s="22">
        <f>IF($S105="","",INDEX(Resultaten!$Y$7:$Y$66,$S105))</f>
        <v/>
      </c>
      <c r="Q106" s="21">
        <f>IF($S105="","",INDEX(Resultaten!$Z$7:$Z$66,$S105))</f>
        <v/>
      </c>
      <c r="S106">
        <f>$S105</f>
        <v/>
      </c>
    </row>
    <row r="107">
      <c r="A107" s="17">
        <f>IF($S107="","",INDEX(Resultaten!$AA$7:$AA$66,$S107))</f>
        <v/>
      </c>
      <c r="B107" s="18">
        <f>IF($S107="","",INDEX(Resultaten!$B$7:$B$66,$S107))</f>
        <v/>
      </c>
      <c r="C107" s="19">
        <f>IF($S107="","",INDEX(Resultaten!$C$7:$C$66,$S107))</f>
        <v/>
      </c>
      <c r="D107" s="19">
        <f>IF($S107="","",INDEX(Resultaten!$D$7:$D$66,$S107))</f>
        <v/>
      </c>
      <c r="E107" s="20">
        <f>IF($S107="","","Geschoten")</f>
        <v/>
      </c>
      <c r="F107" s="19">
        <f>IF($S107="","",IF(INDEX(Resultaten!$E$7:$N$66,$S107,1)="","",INDEX(Resultaten!$E$7:$N$66,$S107,1)))</f>
        <v/>
      </c>
      <c r="G107" s="19">
        <f>IF($S107="","",IF(INDEX(Resultaten!$E$7:$N$66,$S107,2)="","",INDEX(Resultaten!$E$7:$N$66,$S107,2)))</f>
        <v/>
      </c>
      <c r="H107" s="19">
        <f>IF($S107="","",IF(INDEX(Resultaten!$E$7:$N$66,$S107,3)="","",INDEX(Resultaten!$E$7:$N$66,$S107,3)))</f>
        <v/>
      </c>
      <c r="I107" s="19">
        <f>IF($S107="","",IF(INDEX(Resultaten!$E$7:$N$66,$S107,4)="","",INDEX(Resultaten!$E$7:$N$66,$S107,4)))</f>
        <v/>
      </c>
      <c r="J107" s="19">
        <f>IF($S107="","",IF(INDEX(Resultaten!$E$7:$N$66,$S107,5)="","",INDEX(Resultaten!$E$7:$N$66,$S107,5)))</f>
        <v/>
      </c>
      <c r="K107" s="19">
        <f>IF($S107="","",IF(INDEX(Resultaten!$E$7:$N$66,$S107,6)="","",INDEX(Resultaten!$E$7:$N$66,$S107,6)))</f>
        <v/>
      </c>
      <c r="L107" s="19">
        <f>IF($S107="","",IF(INDEX(Resultaten!$E$7:$N$66,$S107,7)="","",INDEX(Resultaten!$E$7:$N$66,$S107,7)))</f>
        <v/>
      </c>
      <c r="M107" s="19">
        <f>IF($S107="","",IF(INDEX(Resultaten!$E$7:$N$66,$S107,8)="","",INDEX(Resultaten!$E$7:$N$66,$S107,8)))</f>
        <v/>
      </c>
      <c r="N107" s="19">
        <f>IF($S107="","",IF(INDEX(Resultaten!$E$7:$N$66,$S107,9)="","",INDEX(Resultaten!$E$7:$N$66,$S107,9)))</f>
        <v/>
      </c>
      <c r="O107" s="19">
        <f>IF($S107="","",IF(INDEX(Resultaten!$E$7:$N$66,$S107,10)="","",INDEX(Resultaten!$E$7:$N$66,$S107,10)))</f>
        <v/>
      </c>
      <c r="P107" s="19">
        <f>IF(OR($S107="",COUNT($F107:$O107)=0),"",ROUND(IFERROR(LARGE($F107:$O107,1),0)*($R$5&gt;=1)+IFERROR(LARGE($F107:$O107,2),0)*($R$5&gt;=2)+IFERROR(LARGE($F107:$O107,3),0)*($R$5&gt;=3)+IFERROR(LARGE($F107:$O107,4),0)*($R$5&gt;=4)+IFERROR(LARGE($F107:$O107,5),0)*($R$5&gt;=5)+IFERROR(LARGE($F107:$O107,6),0)*($R$5&gt;=6)+IFERROR(LARGE($F107:$O107,7),0)*($R$5&gt;=7)+IFERROR(LARGE($F107:$O107,8),0)*($R$5&gt;=8)+IFERROR(LARGE($F107:$O107,9),0)*($R$5&gt;=9)+IFERROR(LARGE($F107:$O107,10),0)*($R$5&gt;=10),1))</f>
        <v/>
      </c>
      <c r="Q107" s="21">
        <f>IF(N($P107)=0,"",$P107/MIN($R$5,COUNT($F107:$O107)))</f>
        <v/>
      </c>
      <c r="R107">
        <f>IFERROR(LARGE(Resultaten!$AC$7:$AC$66,51),"")</f>
        <v/>
      </c>
      <c r="S107">
        <f>IF($R107="","",MATCH($R107,Resultaten!$AC$7:$AC$66,0))</f>
        <v/>
      </c>
    </row>
    <row r="108">
      <c r="A108" s="17" t="n"/>
      <c r="B108" s="18" t="n"/>
      <c r="C108" s="19" t="n"/>
      <c r="D108" s="19" t="n"/>
      <c r="E108" s="20">
        <f>IF($S107="","","Op 100 schutters")</f>
        <v/>
      </c>
      <c r="F108" s="21">
        <f>IF($S107="","",INDEX(Resultaten!$O$7:$X$66,$S107,1))</f>
        <v/>
      </c>
      <c r="G108" s="21">
        <f>IF($S107="","",INDEX(Resultaten!$O$7:$X$66,$S107,2))</f>
        <v/>
      </c>
      <c r="H108" s="21">
        <f>IF($S107="","",INDEX(Resultaten!$O$7:$X$66,$S107,3))</f>
        <v/>
      </c>
      <c r="I108" s="21">
        <f>IF($S107="","",INDEX(Resultaten!$O$7:$X$66,$S107,4))</f>
        <v/>
      </c>
      <c r="J108" s="21">
        <f>IF($S107="","",INDEX(Resultaten!$O$7:$X$66,$S107,5))</f>
        <v/>
      </c>
      <c r="K108" s="21">
        <f>IF($S107="","",INDEX(Resultaten!$O$7:$X$66,$S107,6))</f>
        <v/>
      </c>
      <c r="L108" s="21">
        <f>IF($S107="","",INDEX(Resultaten!$O$7:$X$66,$S107,7))</f>
        <v/>
      </c>
      <c r="M108" s="21">
        <f>IF($S107="","",INDEX(Resultaten!$O$7:$X$66,$S107,8))</f>
        <v/>
      </c>
      <c r="N108" s="21">
        <f>IF($S107="","",INDEX(Resultaten!$O$7:$X$66,$S107,9))</f>
        <v/>
      </c>
      <c r="O108" s="21">
        <f>IF($S107="","",INDEX(Resultaten!$O$7:$X$66,$S107,10))</f>
        <v/>
      </c>
      <c r="P108" s="22">
        <f>IF($S107="","",INDEX(Resultaten!$Y$7:$Y$66,$S107))</f>
        <v/>
      </c>
      <c r="Q108" s="21">
        <f>IF($S107="","",INDEX(Resultaten!$Z$7:$Z$66,$S107))</f>
        <v/>
      </c>
      <c r="S108">
        <f>$S107</f>
        <v/>
      </c>
    </row>
    <row r="109">
      <c r="A109" s="17">
        <f>IF($S109="","",INDEX(Resultaten!$AA$7:$AA$66,$S109))</f>
        <v/>
      </c>
      <c r="B109" s="18">
        <f>IF($S109="","",INDEX(Resultaten!$B$7:$B$66,$S109))</f>
        <v/>
      </c>
      <c r="C109" s="19">
        <f>IF($S109="","",INDEX(Resultaten!$C$7:$C$66,$S109))</f>
        <v/>
      </c>
      <c r="D109" s="19">
        <f>IF($S109="","",INDEX(Resultaten!$D$7:$D$66,$S109))</f>
        <v/>
      </c>
      <c r="E109" s="20">
        <f>IF($S109="","","Geschoten")</f>
        <v/>
      </c>
      <c r="F109" s="19">
        <f>IF($S109="","",IF(INDEX(Resultaten!$E$7:$N$66,$S109,1)="","",INDEX(Resultaten!$E$7:$N$66,$S109,1)))</f>
        <v/>
      </c>
      <c r="G109" s="19">
        <f>IF($S109="","",IF(INDEX(Resultaten!$E$7:$N$66,$S109,2)="","",INDEX(Resultaten!$E$7:$N$66,$S109,2)))</f>
        <v/>
      </c>
      <c r="H109" s="19">
        <f>IF($S109="","",IF(INDEX(Resultaten!$E$7:$N$66,$S109,3)="","",INDEX(Resultaten!$E$7:$N$66,$S109,3)))</f>
        <v/>
      </c>
      <c r="I109" s="19">
        <f>IF($S109="","",IF(INDEX(Resultaten!$E$7:$N$66,$S109,4)="","",INDEX(Resultaten!$E$7:$N$66,$S109,4)))</f>
        <v/>
      </c>
      <c r="J109" s="19">
        <f>IF($S109="","",IF(INDEX(Resultaten!$E$7:$N$66,$S109,5)="","",INDEX(Resultaten!$E$7:$N$66,$S109,5)))</f>
        <v/>
      </c>
      <c r="K109" s="19">
        <f>IF($S109="","",IF(INDEX(Resultaten!$E$7:$N$66,$S109,6)="","",INDEX(Resultaten!$E$7:$N$66,$S109,6)))</f>
        <v/>
      </c>
      <c r="L109" s="19">
        <f>IF($S109="","",IF(INDEX(Resultaten!$E$7:$N$66,$S109,7)="","",INDEX(Resultaten!$E$7:$N$66,$S109,7)))</f>
        <v/>
      </c>
      <c r="M109" s="19">
        <f>IF($S109="","",IF(INDEX(Resultaten!$E$7:$N$66,$S109,8)="","",INDEX(Resultaten!$E$7:$N$66,$S109,8)))</f>
        <v/>
      </c>
      <c r="N109" s="19">
        <f>IF($S109="","",IF(INDEX(Resultaten!$E$7:$N$66,$S109,9)="","",INDEX(Resultaten!$E$7:$N$66,$S109,9)))</f>
        <v/>
      </c>
      <c r="O109" s="19">
        <f>IF($S109="","",IF(INDEX(Resultaten!$E$7:$N$66,$S109,10)="","",INDEX(Resultaten!$E$7:$N$66,$S109,10)))</f>
        <v/>
      </c>
      <c r="P109" s="19">
        <f>IF(OR($S109="",COUNT($F109:$O109)=0),"",ROUND(IFERROR(LARGE($F109:$O109,1),0)*($R$5&gt;=1)+IFERROR(LARGE($F109:$O109,2),0)*($R$5&gt;=2)+IFERROR(LARGE($F109:$O109,3),0)*($R$5&gt;=3)+IFERROR(LARGE($F109:$O109,4),0)*($R$5&gt;=4)+IFERROR(LARGE($F109:$O109,5),0)*($R$5&gt;=5)+IFERROR(LARGE($F109:$O109,6),0)*($R$5&gt;=6)+IFERROR(LARGE($F109:$O109,7),0)*($R$5&gt;=7)+IFERROR(LARGE($F109:$O109,8),0)*($R$5&gt;=8)+IFERROR(LARGE($F109:$O109,9),0)*($R$5&gt;=9)+IFERROR(LARGE($F109:$O109,10),0)*($R$5&gt;=10),1))</f>
        <v/>
      </c>
      <c r="Q109" s="21">
        <f>IF(N($P109)=0,"",$P109/MIN($R$5,COUNT($F109:$O109)))</f>
        <v/>
      </c>
      <c r="R109">
        <f>IFERROR(LARGE(Resultaten!$AC$7:$AC$66,52),"")</f>
        <v/>
      </c>
      <c r="S109">
        <f>IF($R109="","",MATCH($R109,Resultaten!$AC$7:$AC$66,0))</f>
        <v/>
      </c>
    </row>
    <row r="110">
      <c r="A110" s="17" t="n"/>
      <c r="B110" s="18" t="n"/>
      <c r="C110" s="19" t="n"/>
      <c r="D110" s="19" t="n"/>
      <c r="E110" s="20">
        <f>IF($S109="","","Op 100 schutters")</f>
        <v/>
      </c>
      <c r="F110" s="21">
        <f>IF($S109="","",INDEX(Resultaten!$O$7:$X$66,$S109,1))</f>
        <v/>
      </c>
      <c r="G110" s="21">
        <f>IF($S109="","",INDEX(Resultaten!$O$7:$X$66,$S109,2))</f>
        <v/>
      </c>
      <c r="H110" s="21">
        <f>IF($S109="","",INDEX(Resultaten!$O$7:$X$66,$S109,3))</f>
        <v/>
      </c>
      <c r="I110" s="21">
        <f>IF($S109="","",INDEX(Resultaten!$O$7:$X$66,$S109,4))</f>
        <v/>
      </c>
      <c r="J110" s="21">
        <f>IF($S109="","",INDEX(Resultaten!$O$7:$X$66,$S109,5))</f>
        <v/>
      </c>
      <c r="K110" s="21">
        <f>IF($S109="","",INDEX(Resultaten!$O$7:$X$66,$S109,6))</f>
        <v/>
      </c>
      <c r="L110" s="21">
        <f>IF($S109="","",INDEX(Resultaten!$O$7:$X$66,$S109,7))</f>
        <v/>
      </c>
      <c r="M110" s="21">
        <f>IF($S109="","",INDEX(Resultaten!$O$7:$X$66,$S109,8))</f>
        <v/>
      </c>
      <c r="N110" s="21">
        <f>IF($S109="","",INDEX(Resultaten!$O$7:$X$66,$S109,9))</f>
        <v/>
      </c>
      <c r="O110" s="21">
        <f>IF($S109="","",INDEX(Resultaten!$O$7:$X$66,$S109,10))</f>
        <v/>
      </c>
      <c r="P110" s="22">
        <f>IF($S109="","",INDEX(Resultaten!$Y$7:$Y$66,$S109))</f>
        <v/>
      </c>
      <c r="Q110" s="21">
        <f>IF($S109="","",INDEX(Resultaten!$Z$7:$Z$66,$S109))</f>
        <v/>
      </c>
      <c r="S110">
        <f>$S109</f>
        <v/>
      </c>
    </row>
    <row r="111">
      <c r="A111" s="17">
        <f>IF($S111="","",INDEX(Resultaten!$AA$7:$AA$66,$S111))</f>
        <v/>
      </c>
      <c r="B111" s="18">
        <f>IF($S111="","",INDEX(Resultaten!$B$7:$B$66,$S111))</f>
        <v/>
      </c>
      <c r="C111" s="19">
        <f>IF($S111="","",INDEX(Resultaten!$C$7:$C$66,$S111))</f>
        <v/>
      </c>
      <c r="D111" s="19">
        <f>IF($S111="","",INDEX(Resultaten!$D$7:$D$66,$S111))</f>
        <v/>
      </c>
      <c r="E111" s="20">
        <f>IF($S111="","","Geschoten")</f>
        <v/>
      </c>
      <c r="F111" s="19">
        <f>IF($S111="","",IF(INDEX(Resultaten!$E$7:$N$66,$S111,1)="","",INDEX(Resultaten!$E$7:$N$66,$S111,1)))</f>
        <v/>
      </c>
      <c r="G111" s="19">
        <f>IF($S111="","",IF(INDEX(Resultaten!$E$7:$N$66,$S111,2)="","",INDEX(Resultaten!$E$7:$N$66,$S111,2)))</f>
        <v/>
      </c>
      <c r="H111" s="19">
        <f>IF($S111="","",IF(INDEX(Resultaten!$E$7:$N$66,$S111,3)="","",INDEX(Resultaten!$E$7:$N$66,$S111,3)))</f>
        <v/>
      </c>
      <c r="I111" s="19">
        <f>IF($S111="","",IF(INDEX(Resultaten!$E$7:$N$66,$S111,4)="","",INDEX(Resultaten!$E$7:$N$66,$S111,4)))</f>
        <v/>
      </c>
      <c r="J111" s="19">
        <f>IF($S111="","",IF(INDEX(Resultaten!$E$7:$N$66,$S111,5)="","",INDEX(Resultaten!$E$7:$N$66,$S111,5)))</f>
        <v/>
      </c>
      <c r="K111" s="19">
        <f>IF($S111="","",IF(INDEX(Resultaten!$E$7:$N$66,$S111,6)="","",INDEX(Resultaten!$E$7:$N$66,$S111,6)))</f>
        <v/>
      </c>
      <c r="L111" s="19">
        <f>IF($S111="","",IF(INDEX(Resultaten!$E$7:$N$66,$S111,7)="","",INDEX(Resultaten!$E$7:$N$66,$S111,7)))</f>
        <v/>
      </c>
      <c r="M111" s="19">
        <f>IF($S111="","",IF(INDEX(Resultaten!$E$7:$N$66,$S111,8)="","",INDEX(Resultaten!$E$7:$N$66,$S111,8)))</f>
        <v/>
      </c>
      <c r="N111" s="19">
        <f>IF($S111="","",IF(INDEX(Resultaten!$E$7:$N$66,$S111,9)="","",INDEX(Resultaten!$E$7:$N$66,$S111,9)))</f>
        <v/>
      </c>
      <c r="O111" s="19">
        <f>IF($S111="","",IF(INDEX(Resultaten!$E$7:$N$66,$S111,10)="","",INDEX(Resultaten!$E$7:$N$66,$S111,10)))</f>
        <v/>
      </c>
      <c r="P111" s="19">
        <f>IF(OR($S111="",COUNT($F111:$O111)=0),"",ROUND(IFERROR(LARGE($F111:$O111,1),0)*($R$5&gt;=1)+IFERROR(LARGE($F111:$O111,2),0)*($R$5&gt;=2)+IFERROR(LARGE($F111:$O111,3),0)*($R$5&gt;=3)+IFERROR(LARGE($F111:$O111,4),0)*($R$5&gt;=4)+IFERROR(LARGE($F111:$O111,5),0)*($R$5&gt;=5)+IFERROR(LARGE($F111:$O111,6),0)*($R$5&gt;=6)+IFERROR(LARGE($F111:$O111,7),0)*($R$5&gt;=7)+IFERROR(LARGE($F111:$O111,8),0)*($R$5&gt;=8)+IFERROR(LARGE($F111:$O111,9),0)*($R$5&gt;=9)+IFERROR(LARGE($F111:$O111,10),0)*($R$5&gt;=10),1))</f>
        <v/>
      </c>
      <c r="Q111" s="21">
        <f>IF(N($P111)=0,"",$P111/MIN($R$5,COUNT($F111:$O111)))</f>
        <v/>
      </c>
      <c r="R111">
        <f>IFERROR(LARGE(Resultaten!$AC$7:$AC$66,53),"")</f>
        <v/>
      </c>
      <c r="S111">
        <f>IF($R111="","",MATCH($R111,Resultaten!$AC$7:$AC$66,0))</f>
        <v/>
      </c>
    </row>
    <row r="112">
      <c r="A112" s="17" t="n"/>
      <c r="B112" s="18" t="n"/>
      <c r="C112" s="19" t="n"/>
      <c r="D112" s="19" t="n"/>
      <c r="E112" s="20">
        <f>IF($S111="","","Op 100 schutters")</f>
        <v/>
      </c>
      <c r="F112" s="21">
        <f>IF($S111="","",INDEX(Resultaten!$O$7:$X$66,$S111,1))</f>
        <v/>
      </c>
      <c r="G112" s="21">
        <f>IF($S111="","",INDEX(Resultaten!$O$7:$X$66,$S111,2))</f>
        <v/>
      </c>
      <c r="H112" s="21">
        <f>IF($S111="","",INDEX(Resultaten!$O$7:$X$66,$S111,3))</f>
        <v/>
      </c>
      <c r="I112" s="21">
        <f>IF($S111="","",INDEX(Resultaten!$O$7:$X$66,$S111,4))</f>
        <v/>
      </c>
      <c r="J112" s="21">
        <f>IF($S111="","",INDEX(Resultaten!$O$7:$X$66,$S111,5))</f>
        <v/>
      </c>
      <c r="K112" s="21">
        <f>IF($S111="","",INDEX(Resultaten!$O$7:$X$66,$S111,6))</f>
        <v/>
      </c>
      <c r="L112" s="21">
        <f>IF($S111="","",INDEX(Resultaten!$O$7:$X$66,$S111,7))</f>
        <v/>
      </c>
      <c r="M112" s="21">
        <f>IF($S111="","",INDEX(Resultaten!$O$7:$X$66,$S111,8))</f>
        <v/>
      </c>
      <c r="N112" s="21">
        <f>IF($S111="","",INDEX(Resultaten!$O$7:$X$66,$S111,9))</f>
        <v/>
      </c>
      <c r="O112" s="21">
        <f>IF($S111="","",INDEX(Resultaten!$O$7:$X$66,$S111,10))</f>
        <v/>
      </c>
      <c r="P112" s="22">
        <f>IF($S111="","",INDEX(Resultaten!$Y$7:$Y$66,$S111))</f>
        <v/>
      </c>
      <c r="Q112" s="21">
        <f>IF($S111="","",INDEX(Resultaten!$Z$7:$Z$66,$S111))</f>
        <v/>
      </c>
      <c r="S112">
        <f>$S111</f>
        <v/>
      </c>
    </row>
    <row r="113">
      <c r="A113" s="17">
        <f>IF($S113="","",INDEX(Resultaten!$AA$7:$AA$66,$S113))</f>
        <v/>
      </c>
      <c r="B113" s="18">
        <f>IF($S113="","",INDEX(Resultaten!$B$7:$B$66,$S113))</f>
        <v/>
      </c>
      <c r="C113" s="19">
        <f>IF($S113="","",INDEX(Resultaten!$C$7:$C$66,$S113))</f>
        <v/>
      </c>
      <c r="D113" s="19">
        <f>IF($S113="","",INDEX(Resultaten!$D$7:$D$66,$S113))</f>
        <v/>
      </c>
      <c r="E113" s="20">
        <f>IF($S113="","","Geschoten")</f>
        <v/>
      </c>
      <c r="F113" s="19">
        <f>IF($S113="","",IF(INDEX(Resultaten!$E$7:$N$66,$S113,1)="","",INDEX(Resultaten!$E$7:$N$66,$S113,1)))</f>
        <v/>
      </c>
      <c r="G113" s="19">
        <f>IF($S113="","",IF(INDEX(Resultaten!$E$7:$N$66,$S113,2)="","",INDEX(Resultaten!$E$7:$N$66,$S113,2)))</f>
        <v/>
      </c>
      <c r="H113" s="19">
        <f>IF($S113="","",IF(INDEX(Resultaten!$E$7:$N$66,$S113,3)="","",INDEX(Resultaten!$E$7:$N$66,$S113,3)))</f>
        <v/>
      </c>
      <c r="I113" s="19">
        <f>IF($S113="","",IF(INDEX(Resultaten!$E$7:$N$66,$S113,4)="","",INDEX(Resultaten!$E$7:$N$66,$S113,4)))</f>
        <v/>
      </c>
      <c r="J113" s="19">
        <f>IF($S113="","",IF(INDEX(Resultaten!$E$7:$N$66,$S113,5)="","",INDEX(Resultaten!$E$7:$N$66,$S113,5)))</f>
        <v/>
      </c>
      <c r="K113" s="19">
        <f>IF($S113="","",IF(INDEX(Resultaten!$E$7:$N$66,$S113,6)="","",INDEX(Resultaten!$E$7:$N$66,$S113,6)))</f>
        <v/>
      </c>
      <c r="L113" s="19">
        <f>IF($S113="","",IF(INDEX(Resultaten!$E$7:$N$66,$S113,7)="","",INDEX(Resultaten!$E$7:$N$66,$S113,7)))</f>
        <v/>
      </c>
      <c r="M113" s="19">
        <f>IF($S113="","",IF(INDEX(Resultaten!$E$7:$N$66,$S113,8)="","",INDEX(Resultaten!$E$7:$N$66,$S113,8)))</f>
        <v/>
      </c>
      <c r="N113" s="19">
        <f>IF($S113="","",IF(INDEX(Resultaten!$E$7:$N$66,$S113,9)="","",INDEX(Resultaten!$E$7:$N$66,$S113,9)))</f>
        <v/>
      </c>
      <c r="O113" s="19">
        <f>IF($S113="","",IF(INDEX(Resultaten!$E$7:$N$66,$S113,10)="","",INDEX(Resultaten!$E$7:$N$66,$S113,10)))</f>
        <v/>
      </c>
      <c r="P113" s="19">
        <f>IF(OR($S113="",COUNT($F113:$O113)=0),"",ROUND(IFERROR(LARGE($F113:$O113,1),0)*($R$5&gt;=1)+IFERROR(LARGE($F113:$O113,2),0)*($R$5&gt;=2)+IFERROR(LARGE($F113:$O113,3),0)*($R$5&gt;=3)+IFERROR(LARGE($F113:$O113,4),0)*($R$5&gt;=4)+IFERROR(LARGE($F113:$O113,5),0)*($R$5&gt;=5)+IFERROR(LARGE($F113:$O113,6),0)*($R$5&gt;=6)+IFERROR(LARGE($F113:$O113,7),0)*($R$5&gt;=7)+IFERROR(LARGE($F113:$O113,8),0)*($R$5&gt;=8)+IFERROR(LARGE($F113:$O113,9),0)*($R$5&gt;=9)+IFERROR(LARGE($F113:$O113,10),0)*($R$5&gt;=10),1))</f>
        <v/>
      </c>
      <c r="Q113" s="21">
        <f>IF(N($P113)=0,"",$P113/MIN($R$5,COUNT($F113:$O113)))</f>
        <v/>
      </c>
      <c r="R113">
        <f>IFERROR(LARGE(Resultaten!$AC$7:$AC$66,54),"")</f>
        <v/>
      </c>
      <c r="S113">
        <f>IF($R113="","",MATCH($R113,Resultaten!$AC$7:$AC$66,0))</f>
        <v/>
      </c>
    </row>
    <row r="114">
      <c r="A114" s="17" t="n"/>
      <c r="B114" s="18" t="n"/>
      <c r="C114" s="19" t="n"/>
      <c r="D114" s="19" t="n"/>
      <c r="E114" s="20">
        <f>IF($S113="","","Op 100 schutters")</f>
        <v/>
      </c>
      <c r="F114" s="21">
        <f>IF($S113="","",INDEX(Resultaten!$O$7:$X$66,$S113,1))</f>
        <v/>
      </c>
      <c r="G114" s="21">
        <f>IF($S113="","",INDEX(Resultaten!$O$7:$X$66,$S113,2))</f>
        <v/>
      </c>
      <c r="H114" s="21">
        <f>IF($S113="","",INDEX(Resultaten!$O$7:$X$66,$S113,3))</f>
        <v/>
      </c>
      <c r="I114" s="21">
        <f>IF($S113="","",INDEX(Resultaten!$O$7:$X$66,$S113,4))</f>
        <v/>
      </c>
      <c r="J114" s="21">
        <f>IF($S113="","",INDEX(Resultaten!$O$7:$X$66,$S113,5))</f>
        <v/>
      </c>
      <c r="K114" s="21">
        <f>IF($S113="","",INDEX(Resultaten!$O$7:$X$66,$S113,6))</f>
        <v/>
      </c>
      <c r="L114" s="21">
        <f>IF($S113="","",INDEX(Resultaten!$O$7:$X$66,$S113,7))</f>
        <v/>
      </c>
      <c r="M114" s="21">
        <f>IF($S113="","",INDEX(Resultaten!$O$7:$X$66,$S113,8))</f>
        <v/>
      </c>
      <c r="N114" s="21">
        <f>IF($S113="","",INDEX(Resultaten!$O$7:$X$66,$S113,9))</f>
        <v/>
      </c>
      <c r="O114" s="21">
        <f>IF($S113="","",INDEX(Resultaten!$O$7:$X$66,$S113,10))</f>
        <v/>
      </c>
      <c r="P114" s="22">
        <f>IF($S113="","",INDEX(Resultaten!$Y$7:$Y$66,$S113))</f>
        <v/>
      </c>
      <c r="Q114" s="21">
        <f>IF($S113="","",INDEX(Resultaten!$Z$7:$Z$66,$S113))</f>
        <v/>
      </c>
      <c r="S114">
        <f>$S113</f>
        <v/>
      </c>
    </row>
    <row r="115">
      <c r="A115" s="17">
        <f>IF($S115="","",INDEX(Resultaten!$AA$7:$AA$66,$S115))</f>
        <v/>
      </c>
      <c r="B115" s="18">
        <f>IF($S115="","",INDEX(Resultaten!$B$7:$B$66,$S115))</f>
        <v/>
      </c>
      <c r="C115" s="19">
        <f>IF($S115="","",INDEX(Resultaten!$C$7:$C$66,$S115))</f>
        <v/>
      </c>
      <c r="D115" s="19">
        <f>IF($S115="","",INDEX(Resultaten!$D$7:$D$66,$S115))</f>
        <v/>
      </c>
      <c r="E115" s="20">
        <f>IF($S115="","","Geschoten")</f>
        <v/>
      </c>
      <c r="F115" s="19">
        <f>IF($S115="","",IF(INDEX(Resultaten!$E$7:$N$66,$S115,1)="","",INDEX(Resultaten!$E$7:$N$66,$S115,1)))</f>
        <v/>
      </c>
      <c r="G115" s="19">
        <f>IF($S115="","",IF(INDEX(Resultaten!$E$7:$N$66,$S115,2)="","",INDEX(Resultaten!$E$7:$N$66,$S115,2)))</f>
        <v/>
      </c>
      <c r="H115" s="19">
        <f>IF($S115="","",IF(INDEX(Resultaten!$E$7:$N$66,$S115,3)="","",INDEX(Resultaten!$E$7:$N$66,$S115,3)))</f>
        <v/>
      </c>
      <c r="I115" s="19">
        <f>IF($S115="","",IF(INDEX(Resultaten!$E$7:$N$66,$S115,4)="","",INDEX(Resultaten!$E$7:$N$66,$S115,4)))</f>
        <v/>
      </c>
      <c r="J115" s="19">
        <f>IF($S115="","",IF(INDEX(Resultaten!$E$7:$N$66,$S115,5)="","",INDEX(Resultaten!$E$7:$N$66,$S115,5)))</f>
        <v/>
      </c>
      <c r="K115" s="19">
        <f>IF($S115="","",IF(INDEX(Resultaten!$E$7:$N$66,$S115,6)="","",INDEX(Resultaten!$E$7:$N$66,$S115,6)))</f>
        <v/>
      </c>
      <c r="L115" s="19">
        <f>IF($S115="","",IF(INDEX(Resultaten!$E$7:$N$66,$S115,7)="","",INDEX(Resultaten!$E$7:$N$66,$S115,7)))</f>
        <v/>
      </c>
      <c r="M115" s="19">
        <f>IF($S115="","",IF(INDEX(Resultaten!$E$7:$N$66,$S115,8)="","",INDEX(Resultaten!$E$7:$N$66,$S115,8)))</f>
        <v/>
      </c>
      <c r="N115" s="19">
        <f>IF($S115="","",IF(INDEX(Resultaten!$E$7:$N$66,$S115,9)="","",INDEX(Resultaten!$E$7:$N$66,$S115,9)))</f>
        <v/>
      </c>
      <c r="O115" s="19">
        <f>IF($S115="","",IF(INDEX(Resultaten!$E$7:$N$66,$S115,10)="","",INDEX(Resultaten!$E$7:$N$66,$S115,10)))</f>
        <v/>
      </c>
      <c r="P115" s="19">
        <f>IF(OR($S115="",COUNT($F115:$O115)=0),"",ROUND(IFERROR(LARGE($F115:$O115,1),0)*($R$5&gt;=1)+IFERROR(LARGE($F115:$O115,2),0)*($R$5&gt;=2)+IFERROR(LARGE($F115:$O115,3),0)*($R$5&gt;=3)+IFERROR(LARGE($F115:$O115,4),0)*($R$5&gt;=4)+IFERROR(LARGE($F115:$O115,5),0)*($R$5&gt;=5)+IFERROR(LARGE($F115:$O115,6),0)*($R$5&gt;=6)+IFERROR(LARGE($F115:$O115,7),0)*($R$5&gt;=7)+IFERROR(LARGE($F115:$O115,8),0)*($R$5&gt;=8)+IFERROR(LARGE($F115:$O115,9),0)*($R$5&gt;=9)+IFERROR(LARGE($F115:$O115,10),0)*($R$5&gt;=10),1))</f>
        <v/>
      </c>
      <c r="Q115" s="21">
        <f>IF(N($P115)=0,"",$P115/MIN($R$5,COUNT($F115:$O115)))</f>
        <v/>
      </c>
      <c r="R115">
        <f>IFERROR(LARGE(Resultaten!$AC$7:$AC$66,55),"")</f>
        <v/>
      </c>
      <c r="S115">
        <f>IF($R115="","",MATCH($R115,Resultaten!$AC$7:$AC$66,0))</f>
        <v/>
      </c>
    </row>
    <row r="116">
      <c r="A116" s="17" t="n"/>
      <c r="B116" s="18" t="n"/>
      <c r="C116" s="19" t="n"/>
      <c r="D116" s="19" t="n"/>
      <c r="E116" s="20">
        <f>IF($S115="","","Op 100 schutters")</f>
        <v/>
      </c>
      <c r="F116" s="21">
        <f>IF($S115="","",INDEX(Resultaten!$O$7:$X$66,$S115,1))</f>
        <v/>
      </c>
      <c r="G116" s="21">
        <f>IF($S115="","",INDEX(Resultaten!$O$7:$X$66,$S115,2))</f>
        <v/>
      </c>
      <c r="H116" s="21">
        <f>IF($S115="","",INDEX(Resultaten!$O$7:$X$66,$S115,3))</f>
        <v/>
      </c>
      <c r="I116" s="21">
        <f>IF($S115="","",INDEX(Resultaten!$O$7:$X$66,$S115,4))</f>
        <v/>
      </c>
      <c r="J116" s="21">
        <f>IF($S115="","",INDEX(Resultaten!$O$7:$X$66,$S115,5))</f>
        <v/>
      </c>
      <c r="K116" s="21">
        <f>IF($S115="","",INDEX(Resultaten!$O$7:$X$66,$S115,6))</f>
        <v/>
      </c>
      <c r="L116" s="21">
        <f>IF($S115="","",INDEX(Resultaten!$O$7:$X$66,$S115,7))</f>
        <v/>
      </c>
      <c r="M116" s="21">
        <f>IF($S115="","",INDEX(Resultaten!$O$7:$X$66,$S115,8))</f>
        <v/>
      </c>
      <c r="N116" s="21">
        <f>IF($S115="","",INDEX(Resultaten!$O$7:$X$66,$S115,9))</f>
        <v/>
      </c>
      <c r="O116" s="21">
        <f>IF($S115="","",INDEX(Resultaten!$O$7:$X$66,$S115,10))</f>
        <v/>
      </c>
      <c r="P116" s="22">
        <f>IF($S115="","",INDEX(Resultaten!$Y$7:$Y$66,$S115))</f>
        <v/>
      </c>
      <c r="Q116" s="21">
        <f>IF($S115="","",INDEX(Resultaten!$Z$7:$Z$66,$S115))</f>
        <v/>
      </c>
      <c r="S116">
        <f>$S115</f>
        <v/>
      </c>
    </row>
    <row r="117">
      <c r="A117" s="17">
        <f>IF($S117="","",INDEX(Resultaten!$AA$7:$AA$66,$S117))</f>
        <v/>
      </c>
      <c r="B117" s="18">
        <f>IF($S117="","",INDEX(Resultaten!$B$7:$B$66,$S117))</f>
        <v/>
      </c>
      <c r="C117" s="19">
        <f>IF($S117="","",INDEX(Resultaten!$C$7:$C$66,$S117))</f>
        <v/>
      </c>
      <c r="D117" s="19">
        <f>IF($S117="","",INDEX(Resultaten!$D$7:$D$66,$S117))</f>
        <v/>
      </c>
      <c r="E117" s="20">
        <f>IF($S117="","","Geschoten")</f>
        <v/>
      </c>
      <c r="F117" s="19">
        <f>IF($S117="","",IF(INDEX(Resultaten!$E$7:$N$66,$S117,1)="","",INDEX(Resultaten!$E$7:$N$66,$S117,1)))</f>
        <v/>
      </c>
      <c r="G117" s="19">
        <f>IF($S117="","",IF(INDEX(Resultaten!$E$7:$N$66,$S117,2)="","",INDEX(Resultaten!$E$7:$N$66,$S117,2)))</f>
        <v/>
      </c>
      <c r="H117" s="19">
        <f>IF($S117="","",IF(INDEX(Resultaten!$E$7:$N$66,$S117,3)="","",INDEX(Resultaten!$E$7:$N$66,$S117,3)))</f>
        <v/>
      </c>
      <c r="I117" s="19">
        <f>IF($S117="","",IF(INDEX(Resultaten!$E$7:$N$66,$S117,4)="","",INDEX(Resultaten!$E$7:$N$66,$S117,4)))</f>
        <v/>
      </c>
      <c r="J117" s="19">
        <f>IF($S117="","",IF(INDEX(Resultaten!$E$7:$N$66,$S117,5)="","",INDEX(Resultaten!$E$7:$N$66,$S117,5)))</f>
        <v/>
      </c>
      <c r="K117" s="19">
        <f>IF($S117="","",IF(INDEX(Resultaten!$E$7:$N$66,$S117,6)="","",INDEX(Resultaten!$E$7:$N$66,$S117,6)))</f>
        <v/>
      </c>
      <c r="L117" s="19">
        <f>IF($S117="","",IF(INDEX(Resultaten!$E$7:$N$66,$S117,7)="","",INDEX(Resultaten!$E$7:$N$66,$S117,7)))</f>
        <v/>
      </c>
      <c r="M117" s="19">
        <f>IF($S117="","",IF(INDEX(Resultaten!$E$7:$N$66,$S117,8)="","",INDEX(Resultaten!$E$7:$N$66,$S117,8)))</f>
        <v/>
      </c>
      <c r="N117" s="19">
        <f>IF($S117="","",IF(INDEX(Resultaten!$E$7:$N$66,$S117,9)="","",INDEX(Resultaten!$E$7:$N$66,$S117,9)))</f>
        <v/>
      </c>
      <c r="O117" s="19">
        <f>IF($S117="","",IF(INDEX(Resultaten!$E$7:$N$66,$S117,10)="","",INDEX(Resultaten!$E$7:$N$66,$S117,10)))</f>
        <v/>
      </c>
      <c r="P117" s="19">
        <f>IF(OR($S117="",COUNT($F117:$O117)=0),"",ROUND(IFERROR(LARGE($F117:$O117,1),0)*($R$5&gt;=1)+IFERROR(LARGE($F117:$O117,2),0)*($R$5&gt;=2)+IFERROR(LARGE($F117:$O117,3),0)*($R$5&gt;=3)+IFERROR(LARGE($F117:$O117,4),0)*($R$5&gt;=4)+IFERROR(LARGE($F117:$O117,5),0)*($R$5&gt;=5)+IFERROR(LARGE($F117:$O117,6),0)*($R$5&gt;=6)+IFERROR(LARGE($F117:$O117,7),0)*($R$5&gt;=7)+IFERROR(LARGE($F117:$O117,8),0)*($R$5&gt;=8)+IFERROR(LARGE($F117:$O117,9),0)*($R$5&gt;=9)+IFERROR(LARGE($F117:$O117,10),0)*($R$5&gt;=10),1))</f>
        <v/>
      </c>
      <c r="Q117" s="21">
        <f>IF(N($P117)=0,"",$P117/MIN($R$5,COUNT($F117:$O117)))</f>
        <v/>
      </c>
      <c r="R117">
        <f>IFERROR(LARGE(Resultaten!$AC$7:$AC$66,56),"")</f>
        <v/>
      </c>
      <c r="S117">
        <f>IF($R117="","",MATCH($R117,Resultaten!$AC$7:$AC$66,0))</f>
        <v/>
      </c>
    </row>
    <row r="118">
      <c r="A118" s="17" t="n"/>
      <c r="B118" s="18" t="n"/>
      <c r="C118" s="19" t="n"/>
      <c r="D118" s="19" t="n"/>
      <c r="E118" s="20">
        <f>IF($S117="","","Op 100 schutters")</f>
        <v/>
      </c>
      <c r="F118" s="21">
        <f>IF($S117="","",INDEX(Resultaten!$O$7:$X$66,$S117,1))</f>
        <v/>
      </c>
      <c r="G118" s="21">
        <f>IF($S117="","",INDEX(Resultaten!$O$7:$X$66,$S117,2))</f>
        <v/>
      </c>
      <c r="H118" s="21">
        <f>IF($S117="","",INDEX(Resultaten!$O$7:$X$66,$S117,3))</f>
        <v/>
      </c>
      <c r="I118" s="21">
        <f>IF($S117="","",INDEX(Resultaten!$O$7:$X$66,$S117,4))</f>
        <v/>
      </c>
      <c r="J118" s="21">
        <f>IF($S117="","",INDEX(Resultaten!$O$7:$X$66,$S117,5))</f>
        <v/>
      </c>
      <c r="K118" s="21">
        <f>IF($S117="","",INDEX(Resultaten!$O$7:$X$66,$S117,6))</f>
        <v/>
      </c>
      <c r="L118" s="21">
        <f>IF($S117="","",INDEX(Resultaten!$O$7:$X$66,$S117,7))</f>
        <v/>
      </c>
      <c r="M118" s="21">
        <f>IF($S117="","",INDEX(Resultaten!$O$7:$X$66,$S117,8))</f>
        <v/>
      </c>
      <c r="N118" s="21">
        <f>IF($S117="","",INDEX(Resultaten!$O$7:$X$66,$S117,9))</f>
        <v/>
      </c>
      <c r="O118" s="21">
        <f>IF($S117="","",INDEX(Resultaten!$O$7:$X$66,$S117,10))</f>
        <v/>
      </c>
      <c r="P118" s="22">
        <f>IF($S117="","",INDEX(Resultaten!$Y$7:$Y$66,$S117))</f>
        <v/>
      </c>
      <c r="Q118" s="21">
        <f>IF($S117="","",INDEX(Resultaten!$Z$7:$Z$66,$S117))</f>
        <v/>
      </c>
      <c r="S118">
        <f>$S117</f>
        <v/>
      </c>
    </row>
    <row r="119">
      <c r="A119" s="17">
        <f>IF($S119="","",INDEX(Resultaten!$AA$7:$AA$66,$S119))</f>
        <v/>
      </c>
      <c r="B119" s="18">
        <f>IF($S119="","",INDEX(Resultaten!$B$7:$B$66,$S119))</f>
        <v/>
      </c>
      <c r="C119" s="19">
        <f>IF($S119="","",INDEX(Resultaten!$C$7:$C$66,$S119))</f>
        <v/>
      </c>
      <c r="D119" s="19">
        <f>IF($S119="","",INDEX(Resultaten!$D$7:$D$66,$S119))</f>
        <v/>
      </c>
      <c r="E119" s="20">
        <f>IF($S119="","","Geschoten")</f>
        <v/>
      </c>
      <c r="F119" s="19">
        <f>IF($S119="","",IF(INDEX(Resultaten!$E$7:$N$66,$S119,1)="","",INDEX(Resultaten!$E$7:$N$66,$S119,1)))</f>
        <v/>
      </c>
      <c r="G119" s="19">
        <f>IF($S119="","",IF(INDEX(Resultaten!$E$7:$N$66,$S119,2)="","",INDEX(Resultaten!$E$7:$N$66,$S119,2)))</f>
        <v/>
      </c>
      <c r="H119" s="19">
        <f>IF($S119="","",IF(INDEX(Resultaten!$E$7:$N$66,$S119,3)="","",INDEX(Resultaten!$E$7:$N$66,$S119,3)))</f>
        <v/>
      </c>
      <c r="I119" s="19">
        <f>IF($S119="","",IF(INDEX(Resultaten!$E$7:$N$66,$S119,4)="","",INDEX(Resultaten!$E$7:$N$66,$S119,4)))</f>
        <v/>
      </c>
      <c r="J119" s="19">
        <f>IF($S119="","",IF(INDEX(Resultaten!$E$7:$N$66,$S119,5)="","",INDEX(Resultaten!$E$7:$N$66,$S119,5)))</f>
        <v/>
      </c>
      <c r="K119" s="19">
        <f>IF($S119="","",IF(INDEX(Resultaten!$E$7:$N$66,$S119,6)="","",INDEX(Resultaten!$E$7:$N$66,$S119,6)))</f>
        <v/>
      </c>
      <c r="L119" s="19">
        <f>IF($S119="","",IF(INDEX(Resultaten!$E$7:$N$66,$S119,7)="","",INDEX(Resultaten!$E$7:$N$66,$S119,7)))</f>
        <v/>
      </c>
      <c r="M119" s="19">
        <f>IF($S119="","",IF(INDEX(Resultaten!$E$7:$N$66,$S119,8)="","",INDEX(Resultaten!$E$7:$N$66,$S119,8)))</f>
        <v/>
      </c>
      <c r="N119" s="19">
        <f>IF($S119="","",IF(INDEX(Resultaten!$E$7:$N$66,$S119,9)="","",INDEX(Resultaten!$E$7:$N$66,$S119,9)))</f>
        <v/>
      </c>
      <c r="O119" s="19">
        <f>IF($S119="","",IF(INDEX(Resultaten!$E$7:$N$66,$S119,10)="","",INDEX(Resultaten!$E$7:$N$66,$S119,10)))</f>
        <v/>
      </c>
      <c r="P119" s="19">
        <f>IF(OR($S119="",COUNT($F119:$O119)=0),"",ROUND(IFERROR(LARGE($F119:$O119,1),0)*($R$5&gt;=1)+IFERROR(LARGE($F119:$O119,2),0)*($R$5&gt;=2)+IFERROR(LARGE($F119:$O119,3),0)*($R$5&gt;=3)+IFERROR(LARGE($F119:$O119,4),0)*($R$5&gt;=4)+IFERROR(LARGE($F119:$O119,5),0)*($R$5&gt;=5)+IFERROR(LARGE($F119:$O119,6),0)*($R$5&gt;=6)+IFERROR(LARGE($F119:$O119,7),0)*($R$5&gt;=7)+IFERROR(LARGE($F119:$O119,8),0)*($R$5&gt;=8)+IFERROR(LARGE($F119:$O119,9),0)*($R$5&gt;=9)+IFERROR(LARGE($F119:$O119,10),0)*($R$5&gt;=10),1))</f>
        <v/>
      </c>
      <c r="Q119" s="21">
        <f>IF(N($P119)=0,"",$P119/MIN($R$5,COUNT($F119:$O119)))</f>
        <v/>
      </c>
      <c r="R119">
        <f>IFERROR(LARGE(Resultaten!$AC$7:$AC$66,57),"")</f>
        <v/>
      </c>
      <c r="S119">
        <f>IF($R119="","",MATCH($R119,Resultaten!$AC$7:$AC$66,0))</f>
        <v/>
      </c>
    </row>
    <row r="120">
      <c r="A120" s="17" t="n"/>
      <c r="B120" s="18" t="n"/>
      <c r="C120" s="19" t="n"/>
      <c r="D120" s="19" t="n"/>
      <c r="E120" s="20">
        <f>IF($S119="","","Op 100 schutters")</f>
        <v/>
      </c>
      <c r="F120" s="21">
        <f>IF($S119="","",INDEX(Resultaten!$O$7:$X$66,$S119,1))</f>
        <v/>
      </c>
      <c r="G120" s="21">
        <f>IF($S119="","",INDEX(Resultaten!$O$7:$X$66,$S119,2))</f>
        <v/>
      </c>
      <c r="H120" s="21">
        <f>IF($S119="","",INDEX(Resultaten!$O$7:$X$66,$S119,3))</f>
        <v/>
      </c>
      <c r="I120" s="21">
        <f>IF($S119="","",INDEX(Resultaten!$O$7:$X$66,$S119,4))</f>
        <v/>
      </c>
      <c r="J120" s="21">
        <f>IF($S119="","",INDEX(Resultaten!$O$7:$X$66,$S119,5))</f>
        <v/>
      </c>
      <c r="K120" s="21">
        <f>IF($S119="","",INDEX(Resultaten!$O$7:$X$66,$S119,6))</f>
        <v/>
      </c>
      <c r="L120" s="21">
        <f>IF($S119="","",INDEX(Resultaten!$O$7:$X$66,$S119,7))</f>
        <v/>
      </c>
      <c r="M120" s="21">
        <f>IF($S119="","",INDEX(Resultaten!$O$7:$X$66,$S119,8))</f>
        <v/>
      </c>
      <c r="N120" s="21">
        <f>IF($S119="","",INDEX(Resultaten!$O$7:$X$66,$S119,9))</f>
        <v/>
      </c>
      <c r="O120" s="21">
        <f>IF($S119="","",INDEX(Resultaten!$O$7:$X$66,$S119,10))</f>
        <v/>
      </c>
      <c r="P120" s="22">
        <f>IF($S119="","",INDEX(Resultaten!$Y$7:$Y$66,$S119))</f>
        <v/>
      </c>
      <c r="Q120" s="21">
        <f>IF($S119="","",INDEX(Resultaten!$Z$7:$Z$66,$S119))</f>
        <v/>
      </c>
      <c r="S120">
        <f>$S119</f>
        <v/>
      </c>
    </row>
    <row r="121">
      <c r="A121" s="17">
        <f>IF($S121="","",INDEX(Resultaten!$AA$7:$AA$66,$S121))</f>
        <v/>
      </c>
      <c r="B121" s="18">
        <f>IF($S121="","",INDEX(Resultaten!$B$7:$B$66,$S121))</f>
        <v/>
      </c>
      <c r="C121" s="19">
        <f>IF($S121="","",INDEX(Resultaten!$C$7:$C$66,$S121))</f>
        <v/>
      </c>
      <c r="D121" s="19">
        <f>IF($S121="","",INDEX(Resultaten!$D$7:$D$66,$S121))</f>
        <v/>
      </c>
      <c r="E121" s="20">
        <f>IF($S121="","","Geschoten")</f>
        <v/>
      </c>
      <c r="F121" s="19">
        <f>IF($S121="","",IF(INDEX(Resultaten!$E$7:$N$66,$S121,1)="","",INDEX(Resultaten!$E$7:$N$66,$S121,1)))</f>
        <v/>
      </c>
      <c r="G121" s="19">
        <f>IF($S121="","",IF(INDEX(Resultaten!$E$7:$N$66,$S121,2)="","",INDEX(Resultaten!$E$7:$N$66,$S121,2)))</f>
        <v/>
      </c>
      <c r="H121" s="19">
        <f>IF($S121="","",IF(INDEX(Resultaten!$E$7:$N$66,$S121,3)="","",INDEX(Resultaten!$E$7:$N$66,$S121,3)))</f>
        <v/>
      </c>
      <c r="I121" s="19">
        <f>IF($S121="","",IF(INDEX(Resultaten!$E$7:$N$66,$S121,4)="","",INDEX(Resultaten!$E$7:$N$66,$S121,4)))</f>
        <v/>
      </c>
      <c r="J121" s="19">
        <f>IF($S121="","",IF(INDEX(Resultaten!$E$7:$N$66,$S121,5)="","",INDEX(Resultaten!$E$7:$N$66,$S121,5)))</f>
        <v/>
      </c>
      <c r="K121" s="19">
        <f>IF($S121="","",IF(INDEX(Resultaten!$E$7:$N$66,$S121,6)="","",INDEX(Resultaten!$E$7:$N$66,$S121,6)))</f>
        <v/>
      </c>
      <c r="L121" s="19">
        <f>IF($S121="","",IF(INDEX(Resultaten!$E$7:$N$66,$S121,7)="","",INDEX(Resultaten!$E$7:$N$66,$S121,7)))</f>
        <v/>
      </c>
      <c r="M121" s="19">
        <f>IF($S121="","",IF(INDEX(Resultaten!$E$7:$N$66,$S121,8)="","",INDEX(Resultaten!$E$7:$N$66,$S121,8)))</f>
        <v/>
      </c>
      <c r="N121" s="19">
        <f>IF($S121="","",IF(INDEX(Resultaten!$E$7:$N$66,$S121,9)="","",INDEX(Resultaten!$E$7:$N$66,$S121,9)))</f>
        <v/>
      </c>
      <c r="O121" s="19">
        <f>IF($S121="","",IF(INDEX(Resultaten!$E$7:$N$66,$S121,10)="","",INDEX(Resultaten!$E$7:$N$66,$S121,10)))</f>
        <v/>
      </c>
      <c r="P121" s="19">
        <f>IF(OR($S121="",COUNT($F121:$O121)=0),"",ROUND(IFERROR(LARGE($F121:$O121,1),0)*($R$5&gt;=1)+IFERROR(LARGE($F121:$O121,2),0)*($R$5&gt;=2)+IFERROR(LARGE($F121:$O121,3),0)*($R$5&gt;=3)+IFERROR(LARGE($F121:$O121,4),0)*($R$5&gt;=4)+IFERROR(LARGE($F121:$O121,5),0)*($R$5&gt;=5)+IFERROR(LARGE($F121:$O121,6),0)*($R$5&gt;=6)+IFERROR(LARGE($F121:$O121,7),0)*($R$5&gt;=7)+IFERROR(LARGE($F121:$O121,8),0)*($R$5&gt;=8)+IFERROR(LARGE($F121:$O121,9),0)*($R$5&gt;=9)+IFERROR(LARGE($F121:$O121,10),0)*($R$5&gt;=10),1))</f>
        <v/>
      </c>
      <c r="Q121" s="21">
        <f>IF(N($P121)=0,"",$P121/MIN($R$5,COUNT($F121:$O121)))</f>
        <v/>
      </c>
      <c r="R121">
        <f>IFERROR(LARGE(Resultaten!$AC$7:$AC$66,58),"")</f>
        <v/>
      </c>
      <c r="S121">
        <f>IF($R121="","",MATCH($R121,Resultaten!$AC$7:$AC$66,0))</f>
        <v/>
      </c>
    </row>
    <row r="122">
      <c r="A122" s="17" t="n"/>
      <c r="B122" s="18" t="n"/>
      <c r="C122" s="19" t="n"/>
      <c r="D122" s="19" t="n"/>
      <c r="E122" s="20">
        <f>IF($S121="","","Op 100 schutters")</f>
        <v/>
      </c>
      <c r="F122" s="21">
        <f>IF($S121="","",INDEX(Resultaten!$O$7:$X$66,$S121,1))</f>
        <v/>
      </c>
      <c r="G122" s="21">
        <f>IF($S121="","",INDEX(Resultaten!$O$7:$X$66,$S121,2))</f>
        <v/>
      </c>
      <c r="H122" s="21">
        <f>IF($S121="","",INDEX(Resultaten!$O$7:$X$66,$S121,3))</f>
        <v/>
      </c>
      <c r="I122" s="21">
        <f>IF($S121="","",INDEX(Resultaten!$O$7:$X$66,$S121,4))</f>
        <v/>
      </c>
      <c r="J122" s="21">
        <f>IF($S121="","",INDEX(Resultaten!$O$7:$X$66,$S121,5))</f>
        <v/>
      </c>
      <c r="K122" s="21">
        <f>IF($S121="","",INDEX(Resultaten!$O$7:$X$66,$S121,6))</f>
        <v/>
      </c>
      <c r="L122" s="21">
        <f>IF($S121="","",INDEX(Resultaten!$O$7:$X$66,$S121,7))</f>
        <v/>
      </c>
      <c r="M122" s="21">
        <f>IF($S121="","",INDEX(Resultaten!$O$7:$X$66,$S121,8))</f>
        <v/>
      </c>
      <c r="N122" s="21">
        <f>IF($S121="","",INDEX(Resultaten!$O$7:$X$66,$S121,9))</f>
        <v/>
      </c>
      <c r="O122" s="21">
        <f>IF($S121="","",INDEX(Resultaten!$O$7:$X$66,$S121,10))</f>
        <v/>
      </c>
      <c r="P122" s="22">
        <f>IF($S121="","",INDEX(Resultaten!$Y$7:$Y$66,$S121))</f>
        <v/>
      </c>
      <c r="Q122" s="21">
        <f>IF($S121="","",INDEX(Resultaten!$Z$7:$Z$66,$S121))</f>
        <v/>
      </c>
      <c r="S122">
        <f>$S121</f>
        <v/>
      </c>
    </row>
    <row r="123">
      <c r="A123" s="17">
        <f>IF($S123="","",INDEX(Resultaten!$AA$7:$AA$66,$S123))</f>
        <v/>
      </c>
      <c r="B123" s="18">
        <f>IF($S123="","",INDEX(Resultaten!$B$7:$B$66,$S123))</f>
        <v/>
      </c>
      <c r="C123" s="19">
        <f>IF($S123="","",INDEX(Resultaten!$C$7:$C$66,$S123))</f>
        <v/>
      </c>
      <c r="D123" s="19">
        <f>IF($S123="","",INDEX(Resultaten!$D$7:$D$66,$S123))</f>
        <v/>
      </c>
      <c r="E123" s="20">
        <f>IF($S123="","","Geschoten")</f>
        <v/>
      </c>
      <c r="F123" s="19">
        <f>IF($S123="","",IF(INDEX(Resultaten!$E$7:$N$66,$S123,1)="","",INDEX(Resultaten!$E$7:$N$66,$S123,1)))</f>
        <v/>
      </c>
      <c r="G123" s="19">
        <f>IF($S123="","",IF(INDEX(Resultaten!$E$7:$N$66,$S123,2)="","",INDEX(Resultaten!$E$7:$N$66,$S123,2)))</f>
        <v/>
      </c>
      <c r="H123" s="19">
        <f>IF($S123="","",IF(INDEX(Resultaten!$E$7:$N$66,$S123,3)="","",INDEX(Resultaten!$E$7:$N$66,$S123,3)))</f>
        <v/>
      </c>
      <c r="I123" s="19">
        <f>IF($S123="","",IF(INDEX(Resultaten!$E$7:$N$66,$S123,4)="","",INDEX(Resultaten!$E$7:$N$66,$S123,4)))</f>
        <v/>
      </c>
      <c r="J123" s="19">
        <f>IF($S123="","",IF(INDEX(Resultaten!$E$7:$N$66,$S123,5)="","",INDEX(Resultaten!$E$7:$N$66,$S123,5)))</f>
        <v/>
      </c>
      <c r="K123" s="19">
        <f>IF($S123="","",IF(INDEX(Resultaten!$E$7:$N$66,$S123,6)="","",INDEX(Resultaten!$E$7:$N$66,$S123,6)))</f>
        <v/>
      </c>
      <c r="L123" s="19">
        <f>IF($S123="","",IF(INDEX(Resultaten!$E$7:$N$66,$S123,7)="","",INDEX(Resultaten!$E$7:$N$66,$S123,7)))</f>
        <v/>
      </c>
      <c r="M123" s="19">
        <f>IF($S123="","",IF(INDEX(Resultaten!$E$7:$N$66,$S123,8)="","",INDEX(Resultaten!$E$7:$N$66,$S123,8)))</f>
        <v/>
      </c>
      <c r="N123" s="19">
        <f>IF($S123="","",IF(INDEX(Resultaten!$E$7:$N$66,$S123,9)="","",INDEX(Resultaten!$E$7:$N$66,$S123,9)))</f>
        <v/>
      </c>
      <c r="O123" s="19">
        <f>IF($S123="","",IF(INDEX(Resultaten!$E$7:$N$66,$S123,10)="","",INDEX(Resultaten!$E$7:$N$66,$S123,10)))</f>
        <v/>
      </c>
      <c r="P123" s="19">
        <f>IF(OR($S123="",COUNT($F123:$O123)=0),"",ROUND(IFERROR(LARGE($F123:$O123,1),0)*($R$5&gt;=1)+IFERROR(LARGE($F123:$O123,2),0)*($R$5&gt;=2)+IFERROR(LARGE($F123:$O123,3),0)*($R$5&gt;=3)+IFERROR(LARGE($F123:$O123,4),0)*($R$5&gt;=4)+IFERROR(LARGE($F123:$O123,5),0)*($R$5&gt;=5)+IFERROR(LARGE($F123:$O123,6),0)*($R$5&gt;=6)+IFERROR(LARGE($F123:$O123,7),0)*($R$5&gt;=7)+IFERROR(LARGE($F123:$O123,8),0)*($R$5&gt;=8)+IFERROR(LARGE($F123:$O123,9),0)*($R$5&gt;=9)+IFERROR(LARGE($F123:$O123,10),0)*($R$5&gt;=10),1))</f>
        <v/>
      </c>
      <c r="Q123" s="21">
        <f>IF(N($P123)=0,"",$P123/MIN($R$5,COUNT($F123:$O123)))</f>
        <v/>
      </c>
      <c r="R123">
        <f>IFERROR(LARGE(Resultaten!$AC$7:$AC$66,59),"")</f>
        <v/>
      </c>
      <c r="S123">
        <f>IF($R123="","",MATCH($R123,Resultaten!$AC$7:$AC$66,0))</f>
        <v/>
      </c>
    </row>
    <row r="124">
      <c r="A124" s="17" t="n"/>
      <c r="B124" s="18" t="n"/>
      <c r="C124" s="19" t="n"/>
      <c r="D124" s="19" t="n"/>
      <c r="E124" s="20">
        <f>IF($S123="","","Op 100 schutters")</f>
        <v/>
      </c>
      <c r="F124" s="21">
        <f>IF($S123="","",INDEX(Resultaten!$O$7:$X$66,$S123,1))</f>
        <v/>
      </c>
      <c r="G124" s="21">
        <f>IF($S123="","",INDEX(Resultaten!$O$7:$X$66,$S123,2))</f>
        <v/>
      </c>
      <c r="H124" s="21">
        <f>IF($S123="","",INDEX(Resultaten!$O$7:$X$66,$S123,3))</f>
        <v/>
      </c>
      <c r="I124" s="21">
        <f>IF($S123="","",INDEX(Resultaten!$O$7:$X$66,$S123,4))</f>
        <v/>
      </c>
      <c r="J124" s="21">
        <f>IF($S123="","",INDEX(Resultaten!$O$7:$X$66,$S123,5))</f>
        <v/>
      </c>
      <c r="K124" s="21">
        <f>IF($S123="","",INDEX(Resultaten!$O$7:$X$66,$S123,6))</f>
        <v/>
      </c>
      <c r="L124" s="21">
        <f>IF($S123="","",INDEX(Resultaten!$O$7:$X$66,$S123,7))</f>
        <v/>
      </c>
      <c r="M124" s="21">
        <f>IF($S123="","",INDEX(Resultaten!$O$7:$X$66,$S123,8))</f>
        <v/>
      </c>
      <c r="N124" s="21">
        <f>IF($S123="","",INDEX(Resultaten!$O$7:$X$66,$S123,9))</f>
        <v/>
      </c>
      <c r="O124" s="21">
        <f>IF($S123="","",INDEX(Resultaten!$O$7:$X$66,$S123,10))</f>
        <v/>
      </c>
      <c r="P124" s="22">
        <f>IF($S123="","",INDEX(Resultaten!$Y$7:$Y$66,$S123))</f>
        <v/>
      </c>
      <c r="Q124" s="21">
        <f>IF($S123="","",INDEX(Resultaten!$Z$7:$Z$66,$S123))</f>
        <v/>
      </c>
      <c r="S124">
        <f>$S123</f>
        <v/>
      </c>
    </row>
    <row r="125">
      <c r="A125" s="17">
        <f>IF($S125="","",INDEX(Resultaten!$AA$7:$AA$66,$S125))</f>
        <v/>
      </c>
      <c r="B125" s="18">
        <f>IF($S125="","",INDEX(Resultaten!$B$7:$B$66,$S125))</f>
        <v/>
      </c>
      <c r="C125" s="19">
        <f>IF($S125="","",INDEX(Resultaten!$C$7:$C$66,$S125))</f>
        <v/>
      </c>
      <c r="D125" s="19">
        <f>IF($S125="","",INDEX(Resultaten!$D$7:$D$66,$S125))</f>
        <v/>
      </c>
      <c r="E125" s="20">
        <f>IF($S125="","","Geschoten")</f>
        <v/>
      </c>
      <c r="F125" s="19">
        <f>IF($S125="","",IF(INDEX(Resultaten!$E$7:$N$66,$S125,1)="","",INDEX(Resultaten!$E$7:$N$66,$S125,1)))</f>
        <v/>
      </c>
      <c r="G125" s="19">
        <f>IF($S125="","",IF(INDEX(Resultaten!$E$7:$N$66,$S125,2)="","",INDEX(Resultaten!$E$7:$N$66,$S125,2)))</f>
        <v/>
      </c>
      <c r="H125" s="19">
        <f>IF($S125="","",IF(INDEX(Resultaten!$E$7:$N$66,$S125,3)="","",INDEX(Resultaten!$E$7:$N$66,$S125,3)))</f>
        <v/>
      </c>
      <c r="I125" s="19">
        <f>IF($S125="","",IF(INDEX(Resultaten!$E$7:$N$66,$S125,4)="","",INDEX(Resultaten!$E$7:$N$66,$S125,4)))</f>
        <v/>
      </c>
      <c r="J125" s="19">
        <f>IF($S125="","",IF(INDEX(Resultaten!$E$7:$N$66,$S125,5)="","",INDEX(Resultaten!$E$7:$N$66,$S125,5)))</f>
        <v/>
      </c>
      <c r="K125" s="19">
        <f>IF($S125="","",IF(INDEX(Resultaten!$E$7:$N$66,$S125,6)="","",INDEX(Resultaten!$E$7:$N$66,$S125,6)))</f>
        <v/>
      </c>
      <c r="L125" s="19">
        <f>IF($S125="","",IF(INDEX(Resultaten!$E$7:$N$66,$S125,7)="","",INDEX(Resultaten!$E$7:$N$66,$S125,7)))</f>
        <v/>
      </c>
      <c r="M125" s="19">
        <f>IF($S125="","",IF(INDEX(Resultaten!$E$7:$N$66,$S125,8)="","",INDEX(Resultaten!$E$7:$N$66,$S125,8)))</f>
        <v/>
      </c>
      <c r="N125" s="19">
        <f>IF($S125="","",IF(INDEX(Resultaten!$E$7:$N$66,$S125,9)="","",INDEX(Resultaten!$E$7:$N$66,$S125,9)))</f>
        <v/>
      </c>
      <c r="O125" s="19">
        <f>IF($S125="","",IF(INDEX(Resultaten!$E$7:$N$66,$S125,10)="","",INDEX(Resultaten!$E$7:$N$66,$S125,10)))</f>
        <v/>
      </c>
      <c r="P125" s="19">
        <f>IF(OR($S125="",COUNT($F125:$O125)=0),"",ROUND(IFERROR(LARGE($F125:$O125,1),0)*($R$5&gt;=1)+IFERROR(LARGE($F125:$O125,2),0)*($R$5&gt;=2)+IFERROR(LARGE($F125:$O125,3),0)*($R$5&gt;=3)+IFERROR(LARGE($F125:$O125,4),0)*($R$5&gt;=4)+IFERROR(LARGE($F125:$O125,5),0)*($R$5&gt;=5)+IFERROR(LARGE($F125:$O125,6),0)*($R$5&gt;=6)+IFERROR(LARGE($F125:$O125,7),0)*($R$5&gt;=7)+IFERROR(LARGE($F125:$O125,8),0)*($R$5&gt;=8)+IFERROR(LARGE($F125:$O125,9),0)*($R$5&gt;=9)+IFERROR(LARGE($F125:$O125,10),0)*($R$5&gt;=10),1))</f>
        <v/>
      </c>
      <c r="Q125" s="21">
        <f>IF(N($P125)=0,"",$P125/MIN($R$5,COUNT($F125:$O125)))</f>
        <v/>
      </c>
      <c r="R125">
        <f>IFERROR(LARGE(Resultaten!$AC$7:$AC$66,60),"")</f>
        <v/>
      </c>
      <c r="S125">
        <f>IF($R125="","",MATCH($R125,Resultaten!$AC$7:$AC$66,0))</f>
        <v/>
      </c>
    </row>
    <row r="126">
      <c r="A126" s="17" t="n"/>
      <c r="B126" s="18" t="n"/>
      <c r="C126" s="19" t="n"/>
      <c r="D126" s="19" t="n"/>
      <c r="E126" s="20">
        <f>IF($S125="","","Op 100 schutters")</f>
        <v/>
      </c>
      <c r="F126" s="21">
        <f>IF($S125="","",INDEX(Resultaten!$O$7:$X$66,$S125,1))</f>
        <v/>
      </c>
      <c r="G126" s="21">
        <f>IF($S125="","",INDEX(Resultaten!$O$7:$X$66,$S125,2))</f>
        <v/>
      </c>
      <c r="H126" s="21">
        <f>IF($S125="","",INDEX(Resultaten!$O$7:$X$66,$S125,3))</f>
        <v/>
      </c>
      <c r="I126" s="21">
        <f>IF($S125="","",INDEX(Resultaten!$O$7:$X$66,$S125,4))</f>
        <v/>
      </c>
      <c r="J126" s="21">
        <f>IF($S125="","",INDEX(Resultaten!$O$7:$X$66,$S125,5))</f>
        <v/>
      </c>
      <c r="K126" s="21">
        <f>IF($S125="","",INDEX(Resultaten!$O$7:$X$66,$S125,6))</f>
        <v/>
      </c>
      <c r="L126" s="21">
        <f>IF($S125="","",INDEX(Resultaten!$O$7:$X$66,$S125,7))</f>
        <v/>
      </c>
      <c r="M126" s="21">
        <f>IF($S125="","",INDEX(Resultaten!$O$7:$X$66,$S125,8))</f>
        <v/>
      </c>
      <c r="N126" s="21">
        <f>IF($S125="","",INDEX(Resultaten!$O$7:$X$66,$S125,9))</f>
        <v/>
      </c>
      <c r="O126" s="21">
        <f>IF($S125="","",INDEX(Resultaten!$O$7:$X$66,$S125,10))</f>
        <v/>
      </c>
      <c r="P126" s="22">
        <f>IF($S125="","",INDEX(Resultaten!$Y$7:$Y$66,$S125))</f>
        <v/>
      </c>
      <c r="Q126" s="21">
        <f>IF($S125="","",INDEX(Resultaten!$Z$7:$Z$66,$S125))</f>
        <v/>
      </c>
      <c r="S126">
        <f>$S125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1">
    <mergeCell ref="C79:C80"/>
    <mergeCell ref="B43:B44"/>
    <mergeCell ref="D99:D100"/>
    <mergeCell ref="C29:C30"/>
    <mergeCell ref="A51:A52"/>
    <mergeCell ref="D21:D22"/>
    <mergeCell ref="A7:A8"/>
    <mergeCell ref="B61:B62"/>
    <mergeCell ref="D61:D62"/>
    <mergeCell ref="A2:Q3"/>
    <mergeCell ref="C63:C64"/>
    <mergeCell ref="A105:A106"/>
    <mergeCell ref="C121:C122"/>
    <mergeCell ref="B101:B102"/>
    <mergeCell ref="B29:B30"/>
    <mergeCell ref="D45:D46"/>
    <mergeCell ref="D101:D102"/>
    <mergeCell ref="B23:B24"/>
    <mergeCell ref="A27:A28"/>
    <mergeCell ref="A71:A72"/>
    <mergeCell ref="C71:C72"/>
    <mergeCell ref="B117:B118"/>
    <mergeCell ref="C123:C124"/>
    <mergeCell ref="B13:B14"/>
    <mergeCell ref="D13:D14"/>
    <mergeCell ref="C41:C42"/>
    <mergeCell ref="D7:D8"/>
    <mergeCell ref="A99:A100"/>
    <mergeCell ref="D47:D48"/>
    <mergeCell ref="C93:C94"/>
    <mergeCell ref="A113:A114"/>
    <mergeCell ref="A91:A92"/>
    <mergeCell ref="D87:D88"/>
    <mergeCell ref="A85:A86"/>
    <mergeCell ref="B119:B120"/>
    <mergeCell ref="B37:B38"/>
    <mergeCell ref="B15:B16"/>
    <mergeCell ref="D15:D16"/>
    <mergeCell ref="D71:D72"/>
    <mergeCell ref="C43:C44"/>
    <mergeCell ref="C105:C106"/>
    <mergeCell ref="C57:C58"/>
    <mergeCell ref="B103:B104"/>
    <mergeCell ref="D103:D104"/>
    <mergeCell ref="A33:A34"/>
    <mergeCell ref="C27:C28"/>
    <mergeCell ref="A125:A126"/>
    <mergeCell ref="A77:A78"/>
    <mergeCell ref="D73:D74"/>
    <mergeCell ref="A53:A54"/>
    <mergeCell ref="B63:B64"/>
    <mergeCell ref="A35:A36"/>
    <mergeCell ref="D63:D64"/>
    <mergeCell ref="C69:C70"/>
    <mergeCell ref="A59:A60"/>
    <mergeCell ref="B25:B26"/>
    <mergeCell ref="B91:B92"/>
    <mergeCell ref="A111:A112"/>
    <mergeCell ref="A117:A118"/>
    <mergeCell ref="C111:C112"/>
    <mergeCell ref="B97:B98"/>
    <mergeCell ref="B35:B36"/>
    <mergeCell ref="B27:B28"/>
    <mergeCell ref="D49:D50"/>
    <mergeCell ref="A79:A80"/>
    <mergeCell ref="D27:D28"/>
    <mergeCell ref="A61:A62"/>
    <mergeCell ref="B93:B94"/>
    <mergeCell ref="A119:A120"/>
    <mergeCell ref="B17:B18"/>
    <mergeCell ref="A45:A46"/>
    <mergeCell ref="B11:B12"/>
    <mergeCell ref="D17:D18"/>
    <mergeCell ref="C45:C46"/>
    <mergeCell ref="D11:D12"/>
    <mergeCell ref="B77:B78"/>
    <mergeCell ref="D77:D78"/>
    <mergeCell ref="C85:C86"/>
    <mergeCell ref="C97:C98"/>
    <mergeCell ref="A103:A104"/>
    <mergeCell ref="B67:B68"/>
    <mergeCell ref="A87:A88"/>
    <mergeCell ref="A65:A66"/>
    <mergeCell ref="C65:C66"/>
    <mergeCell ref="D75:D76"/>
    <mergeCell ref="C47:C48"/>
    <mergeCell ref="C109:C110"/>
    <mergeCell ref="A37:A38"/>
    <mergeCell ref="B69:B70"/>
    <mergeCell ref="C31:C32"/>
    <mergeCell ref="A89:A90"/>
    <mergeCell ref="D125:D126"/>
    <mergeCell ref="A21:A22"/>
    <mergeCell ref="B53:B54"/>
    <mergeCell ref="D53:D54"/>
    <mergeCell ref="D9:D10"/>
    <mergeCell ref="A57:A58"/>
    <mergeCell ref="C51:C52"/>
    <mergeCell ref="C95:C96"/>
    <mergeCell ref="A17:A18"/>
    <mergeCell ref="C17:C18"/>
    <mergeCell ref="D25:D26"/>
    <mergeCell ref="D37:D38"/>
    <mergeCell ref="A23:A24"/>
    <mergeCell ref="B55:B56"/>
    <mergeCell ref="D117:D118"/>
    <mergeCell ref="D55:D56"/>
    <mergeCell ref="A63:A64"/>
    <mergeCell ref="B95:B96"/>
    <mergeCell ref="A121:A122"/>
    <mergeCell ref="A115:A116"/>
    <mergeCell ref="A19:A20"/>
    <mergeCell ref="C19:C20"/>
    <mergeCell ref="B45:B46"/>
    <mergeCell ref="D39:D40"/>
    <mergeCell ref="B79:B80"/>
    <mergeCell ref="A43:A44"/>
    <mergeCell ref="D79:D80"/>
    <mergeCell ref="C87:C88"/>
    <mergeCell ref="A9:A10"/>
    <mergeCell ref="A39:A40"/>
    <mergeCell ref="B7:B8"/>
    <mergeCell ref="D23:D24"/>
    <mergeCell ref="C83:C84"/>
    <mergeCell ref="A49:A50"/>
    <mergeCell ref="B81:B82"/>
    <mergeCell ref="A107:A108"/>
    <mergeCell ref="C49:C50"/>
    <mergeCell ref="D81:D82"/>
    <mergeCell ref="C107:C108"/>
    <mergeCell ref="C101:C102"/>
    <mergeCell ref="A11:A12"/>
    <mergeCell ref="B31:B32"/>
    <mergeCell ref="B71:B72"/>
    <mergeCell ref="C103:C104"/>
    <mergeCell ref="D65:D66"/>
    <mergeCell ref="C73:C74"/>
    <mergeCell ref="C113:C114"/>
    <mergeCell ref="B121:B122"/>
    <mergeCell ref="A41:A42"/>
    <mergeCell ref="B73:B74"/>
    <mergeCell ref="C59:C60"/>
    <mergeCell ref="B105:B106"/>
    <mergeCell ref="C115:C116"/>
    <mergeCell ref="D105:D106"/>
    <mergeCell ref="B57:B58"/>
    <mergeCell ref="D57:D58"/>
    <mergeCell ref="C21:C22"/>
    <mergeCell ref="D41:D42"/>
    <mergeCell ref="B107:B108"/>
    <mergeCell ref="D107:D108"/>
    <mergeCell ref="B9:B10"/>
    <mergeCell ref="C23:C24"/>
    <mergeCell ref="B49:B50"/>
    <mergeCell ref="D43:D44"/>
    <mergeCell ref="B83:B84"/>
    <mergeCell ref="A13:A14"/>
    <mergeCell ref="D83:D84"/>
    <mergeCell ref="C7:C8"/>
    <mergeCell ref="B33:B34"/>
    <mergeCell ref="C91:C92"/>
    <mergeCell ref="B99:B100"/>
    <mergeCell ref="D93:D94"/>
    <mergeCell ref="C39:C40"/>
    <mergeCell ref="A97:A98"/>
    <mergeCell ref="D29:D30"/>
    <mergeCell ref="D85:D86"/>
    <mergeCell ref="A93:A94"/>
    <mergeCell ref="B75:B76"/>
    <mergeCell ref="A83:A84"/>
    <mergeCell ref="D31:D32"/>
    <mergeCell ref="C77:C78"/>
    <mergeCell ref="B85:B86"/>
    <mergeCell ref="A31:A32"/>
    <mergeCell ref="B125:B126"/>
    <mergeCell ref="D119:D120"/>
    <mergeCell ref="B21:B22"/>
    <mergeCell ref="A67:A68"/>
    <mergeCell ref="A123:A124"/>
    <mergeCell ref="B109:B110"/>
    <mergeCell ref="B47:B48"/>
    <mergeCell ref="D109:D110"/>
    <mergeCell ref="C33:C34"/>
    <mergeCell ref="C89:C90"/>
    <mergeCell ref="A69:A70"/>
    <mergeCell ref="B111:B112"/>
    <mergeCell ref="D111:D112"/>
    <mergeCell ref="C35:C36"/>
    <mergeCell ref="C9:C10"/>
    <mergeCell ref="B39:B40"/>
    <mergeCell ref="A75:A76"/>
    <mergeCell ref="C75:C76"/>
    <mergeCell ref="D95:D96"/>
    <mergeCell ref="A25:A26"/>
    <mergeCell ref="C25:C26"/>
    <mergeCell ref="A55:A56"/>
    <mergeCell ref="D91:D92"/>
    <mergeCell ref="C117:C118"/>
    <mergeCell ref="C55:C56"/>
    <mergeCell ref="A95:A96"/>
    <mergeCell ref="C99:C100"/>
    <mergeCell ref="C11:C12"/>
    <mergeCell ref="D97:D98"/>
    <mergeCell ref="B19:B20"/>
    <mergeCell ref="A101:A102"/>
    <mergeCell ref="C67:C68"/>
    <mergeCell ref="D33:D34"/>
    <mergeCell ref="C61:C62"/>
    <mergeCell ref="B87:B88"/>
    <mergeCell ref="B65:B66"/>
    <mergeCell ref="C119:C120"/>
    <mergeCell ref="D121:D122"/>
    <mergeCell ref="A109:A110"/>
    <mergeCell ref="A29:A30"/>
    <mergeCell ref="A47:A48"/>
    <mergeCell ref="A81:A82"/>
    <mergeCell ref="C81:C82"/>
    <mergeCell ref="C125:C126"/>
    <mergeCell ref="B89:B90"/>
    <mergeCell ref="D89:D90"/>
    <mergeCell ref="B123:B124"/>
    <mergeCell ref="D67:D68"/>
    <mergeCell ref="D123:D124"/>
    <mergeCell ref="C13:C14"/>
    <mergeCell ref="C53:C54"/>
    <mergeCell ref="D19:D20"/>
    <mergeCell ref="B51:B52"/>
    <mergeCell ref="B113:B114"/>
    <mergeCell ref="D51:D52"/>
    <mergeCell ref="D113:D114"/>
    <mergeCell ref="A15:A16"/>
    <mergeCell ref="C37:C38"/>
    <mergeCell ref="D69:D70"/>
    <mergeCell ref="C15:C16"/>
    <mergeCell ref="B41:B42"/>
    <mergeCell ref="A73:A74"/>
    <mergeCell ref="D35:D36"/>
    <mergeCell ref="B59:B60"/>
    <mergeCell ref="B115:B116"/>
    <mergeCell ref="D59:D60"/>
    <mergeCell ref="D115:D116"/>
  </mergeCells>
  <conditionalFormatting sqref="F7:O126">
    <cfRule type="expression" priority="1" dxfId="1">
      <formula>AND(MOD(ROW(F7),2)=0,AND(ISNUMBER(F7),F7&gt;=LARGE($F7:$O7,MIN($R$5,COUNT($F7:$O7)))))</formula>
    </cfRule>
    <cfRule type="expression" priority="2" dxfId="2">
      <formula>AND(NOT(MOD(ROW(F7),2)=0),AND(ISNUMBER(F8),F8&gt;=LARGE($F8:$O8,MIN($R$5,COUNT($F8:$O8)))))</formula>
    </cfRule>
  </conditionalFormatting>
  <conditionalFormatting sqref="A7:A126">
    <cfRule type="expression" priority="3" dxfId="3">
      <formula>$A7=1</formula>
    </cfRule>
    <cfRule type="expression" priority="4" dxfId="4">
      <formula>$A7=2</formula>
    </cfRule>
    <cfRule type="expression" priority="5" dxfId="5">
      <formula>$A7=3</formula>
    </cfRule>
  </conditionalFormatting>
  <conditionalFormatting sqref="E7:Q126">
    <cfRule type="expression" priority="6" dxfId="6">
      <formula>AND(MOD(ROW(E7),2)=0,$S7&lt;&gt;"")</formula>
    </cfRule>
  </conditionalFormatting>
  <conditionalFormatting sqref="A7:Q126">
    <cfRule type="expression" priority="7" dxfId="7">
      <formula>$S7&lt;&gt;""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23" t="inlineStr">
        <is>
          <t>Coëfficiënten naar een score op 100 (30 schoten)</t>
        </is>
      </c>
    </row>
    <row r="2">
      <c r="A2" s="6" t="inlineStr">
        <is>
          <t>Score = resultaat x factor van de rij met de grootste grens &lt;= resultaat. Buiten 1% - 99% van de spreiding geldt de factor van de rand.</t>
        </is>
      </c>
    </row>
    <row r="3">
      <c r="A3" s="6" t="inlineStr">
        <is>
          <t>Niet wijzigen: deze tabel wordt gegenereerd door src/build_club_sheet.py (blad beveiligd zonder wachtwoord).</t>
        </is>
      </c>
    </row>
    <row r="4">
      <c r="A4" s="9" t="inlineStr">
        <is>
          <t>LK DUV</t>
        </is>
      </c>
      <c r="C4" s="9" t="inlineStr">
        <is>
          <t>LK BEN</t>
        </is>
      </c>
      <c r="E4" s="9" t="inlineStr">
        <is>
          <t>LK CAD</t>
        </is>
      </c>
      <c r="G4" s="9" t="inlineStr">
        <is>
          <t>LK JUN</t>
        </is>
      </c>
      <c r="I4" s="9" t="inlineStr">
        <is>
          <t>LK D1 &amp; S1</t>
        </is>
      </c>
      <c r="K4" s="9" t="inlineStr">
        <is>
          <t>LK D2 &amp; S2</t>
        </is>
      </c>
      <c r="M4" s="9" t="inlineStr">
        <is>
          <t>LK D3 &amp; S3</t>
        </is>
      </c>
      <c r="O4" s="9" t="inlineStr">
        <is>
          <t>LP DUV</t>
        </is>
      </c>
      <c r="Q4" s="9" t="inlineStr">
        <is>
          <t>LP BEN</t>
        </is>
      </c>
      <c r="S4" s="9" t="inlineStr">
        <is>
          <t>LP CAD</t>
        </is>
      </c>
      <c r="U4" s="9" t="inlineStr">
        <is>
          <t>LP JUN</t>
        </is>
      </c>
      <c r="W4" s="9" t="inlineStr">
        <is>
          <t>LP D1 &amp; S1</t>
        </is>
      </c>
      <c r="Y4" s="9" t="inlineStr">
        <is>
          <t>LP D2 &amp; S2</t>
        </is>
      </c>
      <c r="AA4" s="9" t="inlineStr">
        <is>
          <t>LP D3 &amp; S3</t>
        </is>
      </c>
    </row>
    <row r="5">
      <c r="A5" s="24" t="inlineStr">
        <is>
          <t>LK|DUV</t>
        </is>
      </c>
      <c r="C5" s="24" t="inlineStr">
        <is>
          <t>LK|BEN</t>
        </is>
      </c>
      <c r="E5" s="24" t="inlineStr">
        <is>
          <t>LK|CAD</t>
        </is>
      </c>
      <c r="G5" s="24" t="inlineStr">
        <is>
          <t>LK|JUN</t>
        </is>
      </c>
      <c r="I5" s="24" t="inlineStr">
        <is>
          <t>LK|D1 &amp; S1</t>
        </is>
      </c>
      <c r="K5" s="24" t="inlineStr">
        <is>
          <t>LK|D2 &amp; S2</t>
        </is>
      </c>
      <c r="M5" s="24" t="inlineStr">
        <is>
          <t>LK|D3 &amp; S3</t>
        </is>
      </c>
      <c r="O5" s="24" t="inlineStr">
        <is>
          <t>LP|DUV</t>
        </is>
      </c>
      <c r="Q5" s="24" t="inlineStr">
        <is>
          <t>LP|BEN</t>
        </is>
      </c>
      <c r="S5" s="24" t="inlineStr">
        <is>
          <t>LP|CAD</t>
        </is>
      </c>
      <c r="U5" s="24" t="inlineStr">
        <is>
          <t>LP|JUN</t>
        </is>
      </c>
      <c r="W5" s="24" t="inlineStr">
        <is>
          <t>LP|D1 &amp; S1</t>
        </is>
      </c>
      <c r="Y5" s="24" t="inlineStr">
        <is>
          <t>LP|D2 &amp; S2</t>
        </is>
      </c>
      <c r="AA5" s="24" t="inlineStr">
        <is>
          <t>LP|D3 &amp; S3</t>
        </is>
      </c>
    </row>
    <row r="6">
      <c r="A6" s="25" t="inlineStr">
        <is>
          <t>Grens</t>
        </is>
      </c>
      <c r="B6" s="25" t="inlineStr">
        <is>
          <t>Factor</t>
        </is>
      </c>
      <c r="C6" s="25" t="inlineStr">
        <is>
          <t>Grens</t>
        </is>
      </c>
      <c r="D6" s="25" t="inlineStr">
        <is>
          <t>Factor</t>
        </is>
      </c>
      <c r="E6" s="25" t="inlineStr">
        <is>
          <t>Grens</t>
        </is>
      </c>
      <c r="F6" s="25" t="inlineStr">
        <is>
          <t>Factor</t>
        </is>
      </c>
      <c r="G6" s="25" t="inlineStr">
        <is>
          <t>Grens</t>
        </is>
      </c>
      <c r="H6" s="25" t="inlineStr">
        <is>
          <t>Factor</t>
        </is>
      </c>
      <c r="I6" s="25" t="inlineStr">
        <is>
          <t>Grens</t>
        </is>
      </c>
      <c r="J6" s="25" t="inlineStr">
        <is>
          <t>Factor</t>
        </is>
      </c>
      <c r="K6" s="25" t="inlineStr">
        <is>
          <t>Grens</t>
        </is>
      </c>
      <c r="L6" s="25" t="inlineStr">
        <is>
          <t>Factor</t>
        </is>
      </c>
      <c r="M6" s="25" t="inlineStr">
        <is>
          <t>Grens</t>
        </is>
      </c>
      <c r="N6" s="25" t="inlineStr">
        <is>
          <t>Factor</t>
        </is>
      </c>
      <c r="O6" s="25" t="inlineStr">
        <is>
          <t>Grens</t>
        </is>
      </c>
      <c r="P6" s="25" t="inlineStr">
        <is>
          <t>Factor</t>
        </is>
      </c>
      <c r="Q6" s="25" t="inlineStr">
        <is>
          <t>Grens</t>
        </is>
      </c>
      <c r="R6" s="25" t="inlineStr">
        <is>
          <t>Factor</t>
        </is>
      </c>
      <c r="S6" s="25" t="inlineStr">
        <is>
          <t>Grens</t>
        </is>
      </c>
      <c r="T6" s="25" t="inlineStr">
        <is>
          <t>Factor</t>
        </is>
      </c>
      <c r="U6" s="25" t="inlineStr">
        <is>
          <t>Grens</t>
        </is>
      </c>
      <c r="V6" s="25" t="inlineStr">
        <is>
          <t>Factor</t>
        </is>
      </c>
      <c r="W6" s="25" t="inlineStr">
        <is>
          <t>Grens</t>
        </is>
      </c>
      <c r="X6" s="25" t="inlineStr">
        <is>
          <t>Factor</t>
        </is>
      </c>
      <c r="Y6" s="25" t="inlineStr">
        <is>
          <t>Grens</t>
        </is>
      </c>
      <c r="Z6" s="25" t="inlineStr">
        <is>
          <t>Factor</t>
        </is>
      </c>
      <c r="AA6" s="25" t="inlineStr">
        <is>
          <t>Grens</t>
        </is>
      </c>
      <c r="AB6" s="25" t="inlineStr">
        <is>
          <t>Factor</t>
        </is>
      </c>
    </row>
    <row r="7">
      <c r="A7" s="26" t="n">
        <v>0</v>
      </c>
      <c r="B7" s="27" t="n">
        <v>0.00737547542473505</v>
      </c>
      <c r="C7" s="26" t="n">
        <v>0</v>
      </c>
      <c r="D7" s="27" t="n">
        <v>0.006625620478527801</v>
      </c>
      <c r="E7" s="26" t="n">
        <v>0</v>
      </c>
      <c r="F7" s="27" t="n">
        <v>0.005180744101789275</v>
      </c>
      <c r="G7" s="26" t="n">
        <v>0</v>
      </c>
      <c r="H7" s="27" t="n">
        <v>0.004451959103541726</v>
      </c>
      <c r="I7" s="26" t="n">
        <v>0</v>
      </c>
      <c r="J7" s="27" t="n">
        <v>0.004309216228161766</v>
      </c>
      <c r="K7" s="26" t="n">
        <v>0</v>
      </c>
      <c r="L7" s="27" t="n">
        <v>0.004442576985414452</v>
      </c>
      <c r="M7" s="26" t="n">
        <v>0</v>
      </c>
      <c r="N7" s="27" t="n">
        <v>0.00489742023786804</v>
      </c>
      <c r="O7" s="26" t="n">
        <v>0</v>
      </c>
      <c r="P7" s="27" t="n">
        <v>0.006831318482028403</v>
      </c>
      <c r="Q7" s="26" t="n">
        <v>0</v>
      </c>
      <c r="R7" s="27" t="n">
        <v>0.005325629492660647</v>
      </c>
      <c r="S7" s="26" t="n">
        <v>0</v>
      </c>
      <c r="T7" s="27" t="n">
        <v>0.005915622172414058</v>
      </c>
      <c r="U7" s="26" t="n">
        <v>0</v>
      </c>
      <c r="V7" s="27" t="n">
        <v>0.005074811802942049</v>
      </c>
      <c r="W7" s="26" t="n">
        <v>0</v>
      </c>
      <c r="X7" s="27" t="n">
        <v>0.004900947824133656</v>
      </c>
      <c r="Y7" s="26" t="n">
        <v>0</v>
      </c>
      <c r="Z7" s="27" t="n">
        <v>0.005894199539633071</v>
      </c>
      <c r="AA7" s="26" t="n">
        <v>0</v>
      </c>
      <c r="AB7" s="27" t="n">
        <v>0.005162984824699277</v>
      </c>
    </row>
    <row r="8">
      <c r="A8" s="26" t="n">
        <v>135.6673608023854</v>
      </c>
      <c r="B8" s="27" t="n">
        <v>0.007411953682581526</v>
      </c>
      <c r="C8" s="26" t="n">
        <v>150.9992853809913</v>
      </c>
      <c r="D8" s="27" t="n">
        <v>0.006659935433122942</v>
      </c>
      <c r="E8" s="26" t="n">
        <v>193.0789943943581</v>
      </c>
      <c r="F8" s="27" t="n">
        <v>0.00520745726575379</v>
      </c>
      <c r="G8" s="26" t="n">
        <v>224.6635737425151</v>
      </c>
      <c r="H8" s="27" t="n">
        <v>0.004473692234927907</v>
      </c>
      <c r="I8" s="26" t="n">
        <v>232.1009538592004</v>
      </c>
      <c r="J8" s="27" t="n">
        <v>0.004330534402607544</v>
      </c>
      <c r="K8" s="26" t="n">
        <v>225.132701100972</v>
      </c>
      <c r="L8" s="27" t="n">
        <v>0.00446496174575684</v>
      </c>
      <c r="M8" s="26" t="n">
        <v>204.2347874218824</v>
      </c>
      <c r="N8" s="27" t="n">
        <v>0.004923507154237432</v>
      </c>
      <c r="O8" s="26" t="n">
        <v>146.4468281891516</v>
      </c>
      <c r="P8" s="27" t="n">
        <v>0.006862034950311495</v>
      </c>
      <c r="Q8" s="26" t="n">
        <v>187.8182733199981</v>
      </c>
      <c r="R8" s="27" t="n">
        <v>0.005358041498184318</v>
      </c>
      <c r="S8" s="26" t="n">
        <v>169.0971383521353</v>
      </c>
      <c r="T8" s="27" t="n">
        <v>0.00595326769632455</v>
      </c>
      <c r="U8" s="26" t="n">
        <v>197.0941649209859</v>
      </c>
      <c r="V8" s="27" t="n">
        <v>0.005104402187145194</v>
      </c>
      <c r="W8" s="26" t="n">
        <v>204.0812568098237</v>
      </c>
      <c r="X8" s="27" t="n">
        <v>0.004927176948846869</v>
      </c>
      <c r="Y8" s="26" t="n">
        <v>169.7110420018302</v>
      </c>
      <c r="Z8" s="27" t="n">
        <v>0.005919145655400053</v>
      </c>
      <c r="AA8" s="26" t="n">
        <v>193.7265046868538</v>
      </c>
      <c r="AB8" s="27" t="n">
        <v>0.005195050493789624</v>
      </c>
    </row>
    <row r="9">
      <c r="A9" s="26" t="n">
        <v>135.8331224655907</v>
      </c>
      <c r="B9" s="27" t="n">
        <v>0.007448621830442724</v>
      </c>
      <c r="C9" s="26" t="n">
        <v>151.139334894806</v>
      </c>
      <c r="D9" s="27" t="n">
        <v>0.006694432627088369</v>
      </c>
      <c r="E9" s="26" t="n">
        <v>193.1920520487149</v>
      </c>
      <c r="F9" s="27" t="n">
        <v>0.005234309708514098</v>
      </c>
      <c r="G9" s="26" t="n">
        <v>224.7502961731207</v>
      </c>
      <c r="H9" s="27" t="n">
        <v>0.004495532124857286</v>
      </c>
      <c r="I9" s="26" t="n">
        <v>232.1813382877004</v>
      </c>
      <c r="J9" s="27" t="n">
        <v>0.004351958554728551</v>
      </c>
      <c r="K9" s="26" t="n">
        <v>225.2089435953284</v>
      </c>
      <c r="L9" s="27" t="n">
        <v>0.004487459791396819</v>
      </c>
      <c r="M9" s="26" t="n">
        <v>204.3260931239682</v>
      </c>
      <c r="N9" s="27" t="n">
        <v>0.004949733738352355</v>
      </c>
      <c r="O9" s="26" t="n">
        <v>146.5712328832401</v>
      </c>
      <c r="P9" s="27" t="n">
        <v>0.006892894480684942</v>
      </c>
      <c r="Q9" s="26" t="n">
        <v>187.912360095631</v>
      </c>
      <c r="R9" s="27" t="n">
        <v>0.005390649196784447</v>
      </c>
      <c r="S9" s="26" t="n">
        <v>169.2035619601667</v>
      </c>
      <c r="T9" s="27" t="n">
        <v>0.00599114907876921</v>
      </c>
      <c r="U9" s="26" t="n">
        <v>197.1792102154382</v>
      </c>
      <c r="V9" s="27" t="n">
        <v>0.005134164647980019</v>
      </c>
      <c r="W9" s="26" t="n">
        <v>204.1594423018765</v>
      </c>
      <c r="X9" s="27" t="n">
        <v>0.004953546942682329</v>
      </c>
      <c r="Y9" s="26" t="n">
        <v>169.8164831684371</v>
      </c>
      <c r="Z9" s="27" t="n">
        <v>0.005944199644119387</v>
      </c>
      <c r="AA9" s="26" t="n">
        <v>193.8066923485604</v>
      </c>
      <c r="AB9" s="27" t="n">
        <v>0.005227313184782019</v>
      </c>
    </row>
    <row r="10">
      <c r="A10" s="26" t="n">
        <v>135.9988841287961</v>
      </c>
      <c r="B10" s="27" t="n">
        <v>0.007485480864235518</v>
      </c>
      <c r="C10" s="26" t="n">
        <v>151.2793844086208</v>
      </c>
      <c r="D10" s="27" t="n">
        <v>0.006729113032709313</v>
      </c>
      <c r="E10" s="26" t="n">
        <v>193.3051097030716</v>
      </c>
      <c r="F10" s="27" t="n">
        <v>0.005261302160030649</v>
      </c>
      <c r="G10" s="26" t="n">
        <v>224.8370186037262</v>
      </c>
      <c r="H10" s="27" t="n">
        <v>0.004517479300389668</v>
      </c>
      <c r="I10" s="26" t="n">
        <v>232.2617227162003</v>
      </c>
      <c r="J10" s="27" t="n">
        <v>0.00437348921344809</v>
      </c>
      <c r="K10" s="26" t="n">
        <v>225.2851860896847</v>
      </c>
      <c r="L10" s="27" t="n">
        <v>0.004510071697589164</v>
      </c>
      <c r="M10" s="26" t="n">
        <v>204.4173988260541</v>
      </c>
      <c r="N10" s="27" t="n">
        <v>0.004976100738773616</v>
      </c>
      <c r="O10" s="26" t="n">
        <v>146.6956375773286</v>
      </c>
      <c r="P10" s="27" t="n">
        <v>0.006923897752221034</v>
      </c>
      <c r="Q10" s="26" t="n">
        <v>188.006446871264</v>
      </c>
      <c r="R10" s="27" t="n">
        <v>0.005423453744632653</v>
      </c>
      <c r="S10" s="26" t="n">
        <v>169.3099855681981</v>
      </c>
      <c r="T10" s="27" t="n">
        <v>0.006029267745281955</v>
      </c>
      <c r="U10" s="26" t="n">
        <v>197.2642555098904</v>
      </c>
      <c r="V10" s="27" t="n">
        <v>0.005164100174493013</v>
      </c>
      <c r="W10" s="26" t="n">
        <v>204.2376277939294</v>
      </c>
      <c r="X10" s="27" t="n">
        <v>0.004980058562489297</v>
      </c>
      <c r="Y10" s="26" t="n">
        <v>169.921924335044</v>
      </c>
      <c r="Z10" s="27" t="n">
        <v>0.00596936197889852</v>
      </c>
      <c r="AA10" s="26" t="n">
        <v>193.886880010267</v>
      </c>
      <c r="AB10" s="27" t="n">
        <v>0.005259774079492992</v>
      </c>
    </row>
    <row r="11">
      <c r="A11" s="26" t="n">
        <v>136.1646457920014</v>
      </c>
      <c r="B11" s="27" t="n">
        <v>0.007522531785026459</v>
      </c>
      <c r="C11" s="26" t="n">
        <v>151.4194339224356</v>
      </c>
      <c r="D11" s="27" t="n">
        <v>0.006763977627376612</v>
      </c>
      <c r="E11" s="26" t="n">
        <v>193.4181673574283</v>
      </c>
      <c r="F11" s="27" t="n">
        <v>0.005288435354077308</v>
      </c>
      <c r="G11" s="26" t="n">
        <v>224.9237410343318</v>
      </c>
      <c r="H11" s="27" t="n">
        <v>0.004539534291196787</v>
      </c>
      <c r="I11" s="26" t="n">
        <v>232.3421071447002</v>
      </c>
      <c r="J11" s="27" t="n">
        <v>0.004395126910336739</v>
      </c>
      <c r="K11" s="26" t="n">
        <v>225.3614285840411</v>
      </c>
      <c r="L11" s="27" t="n">
        <v>0.004532798042515077</v>
      </c>
      <c r="M11" s="26" t="n">
        <v>204.5087045281399</v>
      </c>
      <c r="N11" s="27" t="n">
        <v>0.005002608908047881</v>
      </c>
      <c r="O11" s="26" t="n">
        <v>146.8200422714172</v>
      </c>
      <c r="P11" s="27" t="n">
        <v>0.006955045447258433</v>
      </c>
      <c r="Q11" s="26" t="n">
        <v>188.1005336468969</v>
      </c>
      <c r="R11" s="27" t="n">
        <v>0.005456456304408577</v>
      </c>
      <c r="S11" s="26" t="n">
        <v>169.4164091762295</v>
      </c>
      <c r="T11" s="27" t="n">
        <v>0.006067625129389563</v>
      </c>
      <c r="U11" s="26" t="n">
        <v>197.3493008043427</v>
      </c>
      <c r="V11" s="27" t="n">
        <v>0.005194209761249261</v>
      </c>
      <c r="W11" s="26" t="n">
        <v>204.3158132859822</v>
      </c>
      <c r="X11" s="27" t="n">
        <v>0.005006712569159326</v>
      </c>
      <c r="Y11" s="26" t="n">
        <v>170.0273655016509</v>
      </c>
      <c r="Z11" s="27" t="n">
        <v>0.005994633134942263</v>
      </c>
      <c r="AA11" s="26" t="n">
        <v>193.9670676719736</v>
      </c>
      <c r="AB11" s="27" t="n">
        <v>0.005292434366479245</v>
      </c>
    </row>
    <row r="12">
      <c r="A12" s="26" t="n">
        <v>136.3304074552067</v>
      </c>
      <c r="B12" s="27" t="n">
        <v>0.007559775599056933</v>
      </c>
      <c r="C12" s="26" t="n">
        <v>151.5594834362504</v>
      </c>
      <c r="D12" s="27" t="n">
        <v>0.006799027393611901</v>
      </c>
      <c r="E12" s="26" t="n">
        <v>193.531225011785</v>
      </c>
      <c r="F12" s="27" t="n">
        <v>0.00531571002826126</v>
      </c>
      <c r="G12" s="26" t="n">
        <v>225.0104634649374</v>
      </c>
      <c r="H12" s="27" t="n">
        <v>0.004561697629575359</v>
      </c>
      <c r="I12" s="26" t="n">
        <v>232.4224915732001</v>
      </c>
      <c r="J12" s="27" t="n">
        <v>0.004416872179625723</v>
      </c>
      <c r="K12" s="26" t="n">
        <v>225.4376710783974</v>
      </c>
      <c r="L12" s="27" t="n">
        <v>0.004555639407297193</v>
      </c>
      <c r="M12" s="26" t="n">
        <v>204.6000102302258</v>
      </c>
      <c r="N12" s="27" t="n">
        <v>0.005029259002728481</v>
      </c>
      <c r="O12" s="26" t="n">
        <v>146.9444469655057</v>
      </c>
      <c r="P12" s="27" t="n">
        <v>0.006986338251417456</v>
      </c>
      <c r="Q12" s="26" t="n">
        <v>188.1946204225299</v>
      </c>
      <c r="R12" s="27" t="n">
        <v>0.005489658045333225</v>
      </c>
      <c r="S12" s="26" t="n">
        <v>169.5228327842608</v>
      </c>
      <c r="T12" s="27" t="n">
        <v>0.00610622267264964</v>
      </c>
      <c r="U12" s="26" t="n">
        <v>197.4343460987951</v>
      </c>
      <c r="V12" s="27" t="n">
        <v>0.005224494408361218</v>
      </c>
      <c r="W12" s="26" t="n">
        <v>204.3939987780349</v>
      </c>
      <c r="X12" s="27" t="n">
        <v>0.005033509727647038</v>
      </c>
      <c r="Y12" s="26" t="n">
        <v>170.1328066682578</v>
      </c>
      <c r="Z12" s="27" t="n">
        <v>0.006020013589562098</v>
      </c>
      <c r="AA12" s="26" t="n">
        <v>194.0472553336801</v>
      </c>
      <c r="AB12" s="27" t="n">
        <v>0.00532529524107226</v>
      </c>
    </row>
    <row r="13">
      <c r="A13" s="26" t="n">
        <v>136.496169118412</v>
      </c>
      <c r="B13" s="27" t="n">
        <v>0.007597213317767691</v>
      </c>
      <c r="C13" s="26" t="n">
        <v>151.6995329500652</v>
      </c>
      <c r="D13" s="27" t="n">
        <v>0.006834263319093521</v>
      </c>
      <c r="E13" s="26" t="n">
        <v>193.6442826661417</v>
      </c>
      <c r="F13" s="27" t="n">
        <v>0.00534312692404245</v>
      </c>
      <c r="G13" s="26" t="n">
        <v>225.0971858955429</v>
      </c>
      <c r="H13" s="27" t="n">
        <v>0.004583969850459973</v>
      </c>
      <c r="I13" s="26" t="n">
        <v>232.5028760017001</v>
      </c>
      <c r="J13" s="27" t="n">
        <v>0.004438725558220195</v>
      </c>
      <c r="K13" s="26" t="n">
        <v>225.5139135727538</v>
      </c>
      <c r="L13" s="27" t="n">
        <v>0.004578596376014249</v>
      </c>
      <c r="M13" s="26" t="n">
        <v>204.6913159323116</v>
      </c>
      <c r="N13" s="27" t="n">
        <v>0.005056051783396241</v>
      </c>
      <c r="O13" s="26" t="n">
        <v>147.0688516595943</v>
      </c>
      <c r="P13" s="27" t="n">
        <v>0.007017776853616111</v>
      </c>
      <c r="Q13" s="26" t="n">
        <v>188.2887071981628</v>
      </c>
      <c r="R13" s="27" t="n">
        <v>0.00552306014320123</v>
      </c>
      <c r="S13" s="26" t="n">
        <v>169.6292563922922</v>
      </c>
      <c r="T13" s="27" t="n">
        <v>0.006145061824687898</v>
      </c>
      <c r="U13" s="26" t="n">
        <v>197.5193913932474</v>
      </c>
      <c r="V13" s="27" t="n">
        <v>0.005254955121517468</v>
      </c>
      <c r="W13" s="26" t="n">
        <v>204.4721842700877</v>
      </c>
      <c r="X13" s="27" t="n">
        <v>0.005060450806991613</v>
      </c>
      <c r="Y13" s="26" t="n">
        <v>170.2382478348648</v>
      </c>
      <c r="Z13" s="27" t="n">
        <v>0.006045503822185523</v>
      </c>
      <c r="AA13" s="26" t="n">
        <v>194.1274429953868</v>
      </c>
      <c r="AB13" s="27" t="n">
        <v>0.005358357905412467</v>
      </c>
    </row>
    <row r="14">
      <c r="A14" s="26" t="n">
        <v>136.6619307816173</v>
      </c>
      <c r="B14" s="27" t="n">
        <v>0.00763484595782439</v>
      </c>
      <c r="C14" s="26" t="n">
        <v>151.8395824638799</v>
      </c>
      <c r="D14" s="27" t="n">
        <v>0.006869686396681549</v>
      </c>
      <c r="E14" s="26" t="n">
        <v>193.7573403204985</v>
      </c>
      <c r="F14" s="27" t="n">
        <v>0.005370686786753295</v>
      </c>
      <c r="G14" s="26" t="n">
        <v>225.1839083261485</v>
      </c>
      <c r="H14" s="27" t="n">
        <v>0.004606351491436345</v>
      </c>
      <c r="I14" s="26" t="n">
        <v>232.5832604302001</v>
      </c>
      <c r="J14" s="27" t="n">
        <v>0.004460687585712552</v>
      </c>
      <c r="K14" s="26" t="n">
        <v>225.5901560671101</v>
      </c>
      <c r="L14" s="27" t="n">
        <v>0.004601669535716391</v>
      </c>
      <c r="M14" s="26" t="n">
        <v>204.7826216343974</v>
      </c>
      <c r="N14" s="27" t="n">
        <v>0.005082988014680349</v>
      </c>
      <c r="O14" s="26" t="n">
        <v>147.1932563536828</v>
      </c>
      <c r="P14" s="27" t="n">
        <v>0.007049361946086311</v>
      </c>
      <c r="Q14" s="26" t="n">
        <v>188.3827939737958</v>
      </c>
      <c r="R14" s="27" t="n">
        <v>0.005556663780414577</v>
      </c>
      <c r="S14" s="26" t="n">
        <v>169.7356800003236</v>
      </c>
      <c r="T14" s="27" t="n">
        <v>0.006184144043236552</v>
      </c>
      <c r="U14" s="26" t="n">
        <v>197.6044366876997</v>
      </c>
      <c r="V14" s="27" t="n">
        <v>0.005285592912011606</v>
      </c>
      <c r="W14" s="26" t="n">
        <v>204.5503697621405</v>
      </c>
      <c r="X14" s="27" t="n">
        <v>0.005087536580337857</v>
      </c>
      <c r="Y14" s="26" t="n">
        <v>170.3436890014717</v>
      </c>
      <c r="Z14" s="27" t="n">
        <v>0.006071104314365859</v>
      </c>
      <c r="AA14" s="26" t="n">
        <v>194.2076306570934</v>
      </c>
      <c r="AB14" s="27" t="n">
        <v>0.005391623568484052</v>
      </c>
    </row>
    <row r="15">
      <c r="A15" s="26" t="n">
        <v>136.8276924448226</v>
      </c>
      <c r="B15" s="27" t="n">
        <v>0.007672674541142407</v>
      </c>
      <c r="C15" s="26" t="n">
        <v>151.9796319776947</v>
      </c>
      <c r="D15" s="27" t="n">
        <v>0.006905297624443648</v>
      </c>
      <c r="E15" s="26" t="n">
        <v>193.8703979748552</v>
      </c>
      <c r="F15" s="27" t="n">
        <v>0.005398390365618489</v>
      </c>
      <c r="G15" s="26" t="n">
        <v>225.2706307567541</v>
      </c>
      <c r="H15" s="27" t="n">
        <v>0.004628843092754374</v>
      </c>
      <c r="I15" s="26" t="n">
        <v>232.6636448587</v>
      </c>
      <c r="J15" s="27" t="n">
        <v>0.004482758804396048</v>
      </c>
      <c r="K15" s="26" t="n">
        <v>225.6663985614665</v>
      </c>
      <c r="L15" s="27" t="n">
        <v>0.004624859476440001</v>
      </c>
      <c r="M15" s="26" t="n">
        <v>204.8739273364832</v>
      </c>
      <c r="N15" s="27" t="n">
        <v>0.005110068465279543</v>
      </c>
      <c r="O15" s="26" t="n">
        <v>147.3176610477714</v>
      </c>
      <c r="P15" s="27" t="n">
        <v>0.007081094224389483</v>
      </c>
      <c r="Q15" s="26" t="n">
        <v>188.4768807494287</v>
      </c>
      <c r="R15" s="27" t="n">
        <v>0.005590470146015074</v>
      </c>
      <c r="S15" s="26" t="n">
        <v>169.8421036083549</v>
      </c>
      <c r="T15" s="27" t="n">
        <v>0.006223470794171891</v>
      </c>
      <c r="U15" s="26" t="n">
        <v>197.689481982152</v>
      </c>
      <c r="V15" s="27" t="n">
        <v>0.005316408796771406</v>
      </c>
      <c r="W15" s="26" t="n">
        <v>204.6285552541934</v>
      </c>
      <c r="X15" s="27" t="n">
        <v>0.00511476782495808</v>
      </c>
      <c r="Y15" s="26" t="n">
        <v>170.4491301680786</v>
      </c>
      <c r="Z15" s="27" t="n">
        <v>0.006096815549791175</v>
      </c>
      <c r="AA15" s="26" t="n">
        <v>194.2878183188</v>
      </c>
      <c r="AB15" s="27" t="n">
        <v>0.005425093446149501</v>
      </c>
    </row>
    <row r="16">
      <c r="A16" s="26" t="n">
        <v>136.9934541080279</v>
      </c>
      <c r="B16" s="27" t="n">
        <v>0.007710700094912231</v>
      </c>
      <c r="C16" s="26" t="n">
        <v>152.1196814915095</v>
      </c>
      <c r="D16" s="27" t="n">
        <v>0.006941098005680845</v>
      </c>
      <c r="E16" s="26" t="n">
        <v>193.983455629212</v>
      </c>
      <c r="F16" s="27" t="n">
        <v>0.005426238413774851</v>
      </c>
      <c r="G16" s="26" t="n">
        <v>225.3573531873597</v>
      </c>
      <c r="H16" s="27" t="n">
        <v>0.004651445197341377</v>
      </c>
      <c r="I16" s="26" t="n">
        <v>232.7440292872</v>
      </c>
      <c r="J16" s="27" t="n">
        <v>0.004504939759278136</v>
      </c>
      <c r="K16" s="26" t="n">
        <v>225.7426410558228</v>
      </c>
      <c r="L16" s="27" t="n">
        <v>0.004648166791223075</v>
      </c>
      <c r="M16" s="26" t="n">
        <v>204.9652330385691</v>
      </c>
      <c r="N16" s="27" t="n">
        <v>0.005137293907983041</v>
      </c>
      <c r="O16" s="26" t="n">
        <v>147.4420657418599</v>
      </c>
      <c r="P16" s="27" t="n">
        <v>0.007112974387433027</v>
      </c>
      <c r="Q16" s="26" t="n">
        <v>188.5709675250617</v>
      </c>
      <c r="R16" s="27" t="n">
        <v>0.00562448043571812</v>
      </c>
      <c r="S16" s="26" t="n">
        <v>169.9485272163863</v>
      </c>
      <c r="T16" s="27" t="n">
        <v>0.006263043551552501</v>
      </c>
      <c r="U16" s="26" t="n">
        <v>197.7745272766043</v>
      </c>
      <c r="V16" s="27" t="n">
        <v>0.005347403798388003</v>
      </c>
      <c r="W16" s="26" t="n">
        <v>204.7067407462462</v>
      </c>
      <c r="X16" s="27" t="n">
        <v>0.005142145322273166</v>
      </c>
      <c r="Y16" s="26" t="n">
        <v>170.5545713346855</v>
      </c>
      <c r="Z16" s="27" t="n">
        <v>0.006122638014294453</v>
      </c>
      <c r="AA16" s="26" t="n">
        <v>194.3680059805066</v>
      </c>
      <c r="AB16" s="27" t="n">
        <v>0.005458768761184656</v>
      </c>
    </row>
    <row r="17">
      <c r="A17" s="26" t="n">
        <v>137.1592157712332</v>
      </c>
      <c r="B17" s="27" t="n">
        <v>0.007748923651624868</v>
      </c>
      <c r="C17" s="26" t="n">
        <v>152.2597310053243</v>
      </c>
      <c r="D17" s="27" t="n">
        <v>0.006977088548953041</v>
      </c>
      <c r="E17" s="26" t="n">
        <v>194.0965132835687</v>
      </c>
      <c r="F17" s="27" t="n">
        <v>0.005454231688291394</v>
      </c>
      <c r="G17" s="26" t="n">
        <v>225.4440756179652</v>
      </c>
      <c r="H17" s="27" t="n">
        <v>0.004674158350815491</v>
      </c>
      <c r="I17" s="26" t="n">
        <v>232.8244137156999</v>
      </c>
      <c r="J17" s="27" t="n">
        <v>0.004527230998094203</v>
      </c>
      <c r="K17" s="26" t="n">
        <v>225.8188835501792</v>
      </c>
      <c r="L17" s="27" t="n">
        <v>0.00467159207612026</v>
      </c>
      <c r="M17" s="26" t="n">
        <v>205.0565387406549</v>
      </c>
      <c r="N17" s="27" t="n">
        <v>0.005164665119691913</v>
      </c>
      <c r="O17" s="26" t="n">
        <v>147.5664704359485</v>
      </c>
      <c r="P17" s="27" t="n">
        <v>0.007145003137486357</v>
      </c>
      <c r="Q17" s="26" t="n">
        <v>188.6650543006946</v>
      </c>
      <c r="R17" s="27" t="n">
        <v>0.005658695851945863</v>
      </c>
      <c r="S17" s="26" t="n">
        <v>170.0549508244177</v>
      </c>
      <c r="T17" s="27" t="n">
        <v>0.006302863797657281</v>
      </c>
      <c r="U17" s="26" t="n">
        <v>197.8595725710566</v>
      </c>
      <c r="V17" s="27" t="n">
        <v>0.005378578945145067</v>
      </c>
      <c r="W17" s="26" t="n">
        <v>204.784926238299</v>
      </c>
      <c r="X17" s="27" t="n">
        <v>0.005169669857874639</v>
      </c>
      <c r="Y17" s="26" t="n">
        <v>170.6600125012924</v>
      </c>
      <c r="Z17" s="27" t="n">
        <v>0.006148572195862663</v>
      </c>
      <c r="AA17" s="26" t="n">
        <v>194.4481936422132</v>
      </c>
      <c r="AB17" s="27" t="n">
        <v>0.005492650743313561</v>
      </c>
    </row>
    <row r="18">
      <c r="A18" s="26" t="n">
        <v>137.3249774344386</v>
      </c>
      <c r="B18" s="27" t="n">
        <v>0.007787346249096941</v>
      </c>
      <c r="C18" s="26" t="n">
        <v>152.399780519139</v>
      </c>
      <c r="D18" s="27" t="n">
        <v>0.007013270268105358</v>
      </c>
      <c r="E18" s="26" t="n">
        <v>194.2095709379254</v>
      </c>
      <c r="F18" s="27" t="n">
        <v>0.005482370950189398</v>
      </c>
      <c r="G18" s="26" t="n">
        <v>225.5307980485708</v>
      </c>
      <c r="H18" s="27" t="n">
        <v>0.004696983101498829</v>
      </c>
      <c r="I18" s="26" t="n">
        <v>232.9047981441998</v>
      </c>
      <c r="J18" s="27" t="n">
        <v>0.004549633071321195</v>
      </c>
      <c r="K18" s="26" t="n">
        <v>225.8951260445355</v>
      </c>
      <c r="L18" s="27" t="n">
        <v>0.004695135930218426</v>
      </c>
      <c r="M18" s="26" t="n">
        <v>205.1478444427408</v>
      </c>
      <c r="N18" s="27" t="n">
        <v>0.005192182881440251</v>
      </c>
      <c r="O18" s="26" t="n">
        <v>147.690875130037</v>
      </c>
      <c r="P18" s="27" t="n">
        <v>0.007177181180197019</v>
      </c>
      <c r="Q18" s="26" t="n">
        <v>188.7591410763275</v>
      </c>
      <c r="R18" s="27" t="n">
        <v>0.005693117603860653</v>
      </c>
      <c r="S18" s="26" t="n">
        <v>170.1613744324491</v>
      </c>
      <c r="T18" s="27" t="n">
        <v>0.006342933023023831</v>
      </c>
      <c r="U18" s="26" t="n">
        <v>197.9446178655089</v>
      </c>
      <c r="V18" s="27" t="n">
        <v>0.005409935271048244</v>
      </c>
      <c r="W18" s="26" t="n">
        <v>204.8631117303518</v>
      </c>
      <c r="X18" s="27" t="n">
        <v>0.005197342221546234</v>
      </c>
      <c r="Y18" s="26" t="n">
        <v>170.7654536678993</v>
      </c>
      <c r="Z18" s="27" t="n">
        <v>0.006174618584646729</v>
      </c>
      <c r="AA18" s="26" t="n">
        <v>194.5283813039198</v>
      </c>
      <c r="AB18" s="27" t="n">
        <v>0.005526740629243429</v>
      </c>
    </row>
    <row r="19">
      <c r="A19" s="26" t="n">
        <v>137.4907390976438</v>
      </c>
      <c r="B19" s="27" t="n">
        <v>0.007825968930496667</v>
      </c>
      <c r="C19" s="26" t="n">
        <v>152.5398300329538</v>
      </c>
      <c r="D19" s="27" t="n">
        <v>0.007049644182293952</v>
      </c>
      <c r="E19" s="26" t="n">
        <v>194.3226285922821</v>
      </c>
      <c r="F19" s="27" t="n">
        <v>0.005510656964462539</v>
      </c>
      <c r="G19" s="26" t="n">
        <v>225.6175204791764</v>
      </c>
      <c r="H19" s="27" t="n">
        <v>0.004719920000431106</v>
      </c>
      <c r="I19" s="26" t="n">
        <v>232.9851825726998</v>
      </c>
      <c r="J19" s="27" t="n">
        <v>0.004572146532191342</v>
      </c>
      <c r="K19" s="26" t="n">
        <v>225.9713685388919</v>
      </c>
      <c r="L19" s="27" t="n">
        <v>0.00471879895565174</v>
      </c>
      <c r="M19" s="26" t="n">
        <v>205.2391501448266</v>
      </c>
      <c r="N19" s="27" t="n">
        <v>0.005219847978416796</v>
      </c>
      <c r="O19" s="26" t="n">
        <v>147.8152798241256</v>
      </c>
      <c r="P19" s="27" t="n">
        <v>0.007209509224607433</v>
      </c>
      <c r="Q19" s="26" t="n">
        <v>188.8532278519605</v>
      </c>
      <c r="R19" s="27" t="n">
        <v>0.005727746907398816</v>
      </c>
      <c r="S19" s="26" t="n">
        <v>170.2677980404804</v>
      </c>
      <c r="T19" s="27" t="n">
        <v>0.006383252726486653</v>
      </c>
      <c r="U19" s="26" t="n">
        <v>198.0296631599612</v>
      </c>
      <c r="V19" s="27" t="n">
        <v>0.005441473815854919</v>
      </c>
      <c r="W19" s="26" t="n">
        <v>204.9412972224046</v>
      </c>
      <c r="X19" s="27" t="n">
        <v>0.005225163207285748</v>
      </c>
      <c r="Y19" s="26" t="n">
        <v>170.8708948345062</v>
      </c>
      <c r="Z19" s="27" t="n">
        <v>0.006200777672971141</v>
      </c>
      <c r="AA19" s="26" t="n">
        <v>194.6085689656263</v>
      </c>
      <c r="AB19" s="27" t="n">
        <v>0.005561039662700096</v>
      </c>
    </row>
    <row r="20">
      <c r="A20" s="26" t="n">
        <v>137.6565007608492</v>
      </c>
      <c r="B20" s="27" t="n">
        <v>0.00786479274436909</v>
      </c>
      <c r="C20" s="26" t="n">
        <v>152.6798795467686</v>
      </c>
      <c r="D20" s="27" t="n">
        <v>0.007086211316012137</v>
      </c>
      <c r="E20" s="26" t="n">
        <v>194.4356862466389</v>
      </c>
      <c r="F20" s="27" t="n">
        <v>0.005539090500097188</v>
      </c>
      <c r="G20" s="26" t="n">
        <v>225.704242909782</v>
      </c>
      <c r="H20" s="27" t="n">
        <v>0.004742969601382998</v>
      </c>
      <c r="I20" s="26" t="n">
        <v>233.0655670011997</v>
      </c>
      <c r="J20" s="27" t="n">
        <v>0.004594771936705896</v>
      </c>
      <c r="K20" s="26" t="n">
        <v>226.0476110332482</v>
      </c>
      <c r="L20" s="27" t="n">
        <v>0.004742581757617393</v>
      </c>
      <c r="M20" s="26" t="n">
        <v>205.3304558469125</v>
      </c>
      <c r="N20" s="27" t="n">
        <v>0.005247661199986401</v>
      </c>
      <c r="O20" s="26" t="n">
        <v>147.9396845182141</v>
      </c>
      <c r="P20" s="27" t="n">
        <v>0.007241987983170967</v>
      </c>
      <c r="Q20" s="26" t="n">
        <v>188.9473146275934</v>
      </c>
      <c r="R20" s="27" t="n">
        <v>0.005762584985304213</v>
      </c>
      <c r="S20" s="26" t="n">
        <v>170.3742216485118</v>
      </c>
      <c r="T20" s="27" t="n">
        <v>0.006423824415215553</v>
      </c>
      <c r="U20" s="26" t="n">
        <v>198.1147084544135</v>
      </c>
      <c r="V20" s="27" t="n">
        <v>0.005473195625103615</v>
      </c>
      <c r="W20" s="26" t="n">
        <v>205.0194827144574</v>
      </c>
      <c r="X20" s="27" t="n">
        <v>0.005253133613327106</v>
      </c>
      <c r="Y20" s="26" t="n">
        <v>170.9763360011131</v>
      </c>
      <c r="Z20" s="27" t="n">
        <v>0.006227049955343487</v>
      </c>
      <c r="AA20" s="26" t="n">
        <v>194.6887566273329</v>
      </c>
      <c r="AB20" s="27" t="n">
        <v>0.005595549094463334</v>
      </c>
    </row>
    <row r="21">
      <c r="A21" s="26" t="n">
        <v>137.8222624240545</v>
      </c>
      <c r="B21" s="27" t="n">
        <v>0.007903818744662281</v>
      </c>
      <c r="C21" s="26" t="n">
        <v>152.8199290605834</v>
      </c>
      <c r="D21" s="27" t="n">
        <v>0.007122972699116765</v>
      </c>
      <c r="E21" s="26" t="n">
        <v>194.5487439009956</v>
      </c>
      <c r="F21" s="27" t="n">
        <v>0.005567672330092712</v>
      </c>
      <c r="G21" s="26" t="n">
        <v>225.7909653403875</v>
      </c>
      <c r="H21" s="27" t="n">
        <v>0.004766132460869728</v>
      </c>
      <c r="I21" s="26" t="n">
        <v>233.1459514296996</v>
      </c>
      <c r="J21" s="27" t="n">
        <v>0.004617509843649099</v>
      </c>
      <c r="K21" s="26" t="n">
        <v>226.1238535276046</v>
      </c>
      <c r="L21" s="27" t="n">
        <v>0.004766484944391047</v>
      </c>
      <c r="M21" s="26" t="n">
        <v>205.4217615489983</v>
      </c>
      <c r="N21" s="27" t="n">
        <v>0.005275623339711637</v>
      </c>
      <c r="O21" s="26" t="n">
        <v>148.0640892123026</v>
      </c>
      <c r="P21" s="27" t="n">
        <v>0.007274618171768403</v>
      </c>
      <c r="Q21" s="26" t="n">
        <v>189.0414014032264</v>
      </c>
      <c r="R21" s="27" t="n">
        <v>0.00579763306716223</v>
      </c>
      <c r="S21" s="26" t="n">
        <v>170.4806452565432</v>
      </c>
      <c r="T21" s="27" t="n">
        <v>0.006464649604754076</v>
      </c>
      <c r="U21" s="26" t="n">
        <v>198.1997537488658</v>
      </c>
      <c r="V21" s="27" t="n">
        <v>0.005505101750143866</v>
      </c>
      <c r="W21" s="26" t="n">
        <v>205.0976682065102</v>
      </c>
      <c r="X21" s="27" t="n">
        <v>0.005281254242162458</v>
      </c>
      <c r="Y21" s="26" t="n">
        <v>171.08177716772</v>
      </c>
      <c r="Z21" s="27" t="n">
        <v>0.006253435928464397</v>
      </c>
      <c r="AA21" s="26" t="n">
        <v>194.7689442890396</v>
      </c>
      <c r="AB21" s="27" t="n">
        <v>0.005630270182402169</v>
      </c>
    </row>
    <row r="22">
      <c r="A22" s="26" t="n">
        <v>137.9880240872598</v>
      </c>
      <c r="B22" s="27" t="n">
        <v>0.007943047990752648</v>
      </c>
      <c r="C22" s="26" t="n">
        <v>152.9599785743982</v>
      </c>
      <c r="D22" s="27" t="n">
        <v>0.007159929366854522</v>
      </c>
      <c r="E22" s="26" t="n">
        <v>194.6618015553523</v>
      </c>
      <c r="F22" s="27" t="n">
        <v>0.00559640323148203</v>
      </c>
      <c r="G22" s="26" t="n">
        <v>225.8776877709931</v>
      </c>
      <c r="H22" s="27" t="n">
        <v>0.004789409138164698</v>
      </c>
      <c r="I22" s="26" t="n">
        <v>233.2263358581996</v>
      </c>
      <c r="J22" s="27" t="n">
        <v>0.004640360814602033</v>
      </c>
      <c r="K22" s="26" t="n">
        <v>226.200096021961</v>
      </c>
      <c r="L22" s="27" t="n">
        <v>0.004790509127342471</v>
      </c>
      <c r="M22" s="26" t="n">
        <v>205.5130672510841</v>
      </c>
      <c r="N22" s="27" t="n">
        <v>0.005303735195374563</v>
      </c>
      <c r="O22" s="26" t="n">
        <v>148.1884939063912</v>
      </c>
      <c r="P22" s="27" t="n">
        <v>0.007307400509724929</v>
      </c>
      <c r="Q22" s="26" t="n">
        <v>189.1354881788594</v>
      </c>
      <c r="R22" s="27" t="n">
        <v>0.005832892389433731</v>
      </c>
      <c r="S22" s="26" t="n">
        <v>170.5870688645745</v>
      </c>
      <c r="T22" s="27" t="n">
        <v>0.006505729819058271</v>
      </c>
      <c r="U22" s="26" t="n">
        <v>198.2847990433181</v>
      </c>
      <c r="V22" s="27" t="n">
        <v>0.005537193248166363</v>
      </c>
      <c r="W22" s="26" t="n">
        <v>205.175853698563</v>
      </c>
      <c r="X22" s="27" t="n">
        <v>0.005309525900564333</v>
      </c>
      <c r="Y22" s="26" t="n">
        <v>171.187218334327</v>
      </c>
      <c r="Z22" s="27" t="n">
        <v>0.006279936091237428</v>
      </c>
      <c r="AA22" s="26" t="n">
        <v>194.8491319507461</v>
      </c>
      <c r="AB22" s="27" t="n">
        <v>0.005665204191510535</v>
      </c>
    </row>
    <row r="23">
      <c r="A23" s="26" t="n">
        <v>138.1537857504651</v>
      </c>
      <c r="B23" s="27" t="n">
        <v>0.007982481547471242</v>
      </c>
      <c r="C23" s="26" t="n">
        <v>153.1000280882129</v>
      </c>
      <c r="D23" s="27" t="n">
        <v>0.007197082359888337</v>
      </c>
      <c r="E23" s="26" t="n">
        <v>194.774859209709</v>
      </c>
      <c r="F23" s="27" t="n">
        <v>0.005625283985352239</v>
      </c>
      <c r="G23" s="26" t="n">
        <v>225.9644102015987</v>
      </c>
      <c r="H23" s="27" t="n">
        <v>0.00481280019531318</v>
      </c>
      <c r="I23" s="26" t="n">
        <v>233.3067202866995</v>
      </c>
      <c r="J23" s="27" t="n">
        <v>0.004663325413956665</v>
      </c>
      <c r="K23" s="26" t="n">
        <v>226.2763385163173</v>
      </c>
      <c r="L23" s="27" t="n">
        <v>0.004814654920951219</v>
      </c>
      <c r="M23" s="26" t="n">
        <v>205.60437295317</v>
      </c>
      <c r="N23" s="27" t="n">
        <v>0.005331997568998541</v>
      </c>
      <c r="O23" s="26" t="n">
        <v>148.3128986004797</v>
      </c>
      <c r="P23" s="27" t="n">
        <v>0.007340335719826208</v>
      </c>
      <c r="Q23" s="26" t="n">
        <v>189.2295749544923</v>
      </c>
      <c r="R23" s="27" t="n">
        <v>0.005868364195488991</v>
      </c>
      <c r="S23" s="26" t="n">
        <v>170.6934924726059</v>
      </c>
      <c r="T23" s="27" t="n">
        <v>0.006547066590535064</v>
      </c>
      <c r="U23" s="26" t="n">
        <v>198.3698443377704</v>
      </c>
      <c r="V23" s="27" t="n">
        <v>0.005569471182232664</v>
      </c>
      <c r="W23" s="26" t="n">
        <v>205.2540391906158</v>
      </c>
      <c r="X23" s="27" t="n">
        <v>0.005337949399607829</v>
      </c>
      <c r="Y23" s="26" t="n">
        <v>171.2926595009339</v>
      </c>
      <c r="Z23" s="27" t="n">
        <v>0.006306550944778629</v>
      </c>
      <c r="AA23" s="26" t="n">
        <v>194.9293196124527</v>
      </c>
      <c r="AB23" s="27" t="n">
        <v>0.00570035239394304</v>
      </c>
    </row>
    <row r="24">
      <c r="A24" s="26" t="n">
        <v>138.3195474136704</v>
      </c>
      <c r="B24" s="27" t="n">
        <v>0.008022120485129566</v>
      </c>
      <c r="C24" s="26" t="n">
        <v>153.2400776020277</v>
      </c>
      <c r="D24" s="27" t="n">
        <v>0.007234432724324051</v>
      </c>
      <c r="E24" s="26" t="n">
        <v>194.8879168640657</v>
      </c>
      <c r="F24" s="27" t="n">
        <v>0.005654315376865024</v>
      </c>
      <c r="G24" s="26" t="n">
        <v>226.0511326322043</v>
      </c>
      <c r="H24" s="27" t="n">
        <v>0.004836306197146193</v>
      </c>
      <c r="I24" s="26" t="n">
        <v>233.3871047151995</v>
      </c>
      <c r="J24" s="27" t="n">
        <v>0.00468640420892998</v>
      </c>
      <c r="K24" s="26" t="n">
        <v>226.3525810106736</v>
      </c>
      <c r="L24" s="27" t="n">
        <v>0.004838922942822427</v>
      </c>
      <c r="M24" s="26" t="n">
        <v>205.6956786552558</v>
      </c>
      <c r="N24" s="27" t="n">
        <v>0.005360411266870343</v>
      </c>
      <c r="O24" s="26" t="n">
        <v>148.4373032945683</v>
      </c>
      <c r="P24" s="27" t="n">
        <v>0.007373424528335689</v>
      </c>
      <c r="Q24" s="26" t="n">
        <v>189.3236617301253</v>
      </c>
      <c r="R24" s="27" t="n">
        <v>0.005904049735642039</v>
      </c>
      <c r="S24" s="26" t="n">
        <v>170.7999160806373</v>
      </c>
      <c r="T24" s="27" t="n">
        <v>0.006588661460081388</v>
      </c>
      <c r="U24" s="26" t="n">
        <v>198.4548896322227</v>
      </c>
      <c r="V24" s="27" t="n">
        <v>0.005601936621305598</v>
      </c>
      <c r="W24" s="26" t="n">
        <v>205.3322246826686</v>
      </c>
      <c r="X24" s="27" t="n">
        <v>0.005366525554693392</v>
      </c>
      <c r="Y24" s="26" t="n">
        <v>171.3981006675408</v>
      </c>
      <c r="Z24" s="27" t="n">
        <v>0.006333280992426703</v>
      </c>
      <c r="AA24" s="26" t="n">
        <v>195.0095072741593</v>
      </c>
      <c r="AB24" s="27" t="n">
        <v>0.005735716069050802</v>
      </c>
    </row>
    <row r="25">
      <c r="A25" s="26" t="n">
        <v>138.4853090768757</v>
      </c>
      <c r="B25" s="27" t="n">
        <v>0.008061965879545835</v>
      </c>
      <c r="C25" s="26" t="n">
        <v>153.3801271158425</v>
      </c>
      <c r="D25" s="27" t="n">
        <v>0.007271981511737117</v>
      </c>
      <c r="E25" s="26" t="n">
        <v>195.0009745184225</v>
      </c>
      <c r="F25" s="27" t="n">
        <v>0.005683498195277669</v>
      </c>
      <c r="G25" s="26" t="n">
        <v>226.1378550628098</v>
      </c>
      <c r="H25" s="27" t="n">
        <v>0.004859927711293996</v>
      </c>
      <c r="I25" s="26" t="n">
        <v>233.4674891436994</v>
      </c>
      <c r="J25" s="27" t="n">
        <v>0.00470959776957792</v>
      </c>
      <c r="K25" s="26" t="n">
        <v>226.42882350503</v>
      </c>
      <c r="L25" s="27" t="n">
        <v>0.004863313813702744</v>
      </c>
      <c r="M25" s="26" t="n">
        <v>205.7869843573416</v>
      </c>
      <c r="N25" s="27" t="n">
        <v>0.005388977099561917</v>
      </c>
      <c r="O25" s="26" t="n">
        <v>148.5617079886568</v>
      </c>
      <c r="P25" s="27" t="n">
        <v>0.007406667665011123</v>
      </c>
      <c r="Q25" s="26" t="n">
        <v>189.4177485057582</v>
      </c>
      <c r="R25" s="27" t="n">
        <v>0.005939950267185057</v>
      </c>
      <c r="S25" s="26" t="n">
        <v>170.9063396886687</v>
      </c>
      <c r="T25" s="27" t="n">
        <v>0.006630515977122439</v>
      </c>
      <c r="U25" s="26" t="n">
        <v>198.539934926675</v>
      </c>
      <c r="V25" s="27" t="n">
        <v>0.005634590640279426</v>
      </c>
      <c r="W25" s="26" t="n">
        <v>205.4104101747214</v>
      </c>
      <c r="X25" s="27" t="n">
        <v>0.005395255185568912</v>
      </c>
      <c r="Y25" s="26" t="n">
        <v>171.5035418341477</v>
      </c>
      <c r="Z25" s="27" t="n">
        <v>0.006360126739752862</v>
      </c>
      <c r="AA25" s="26" t="n">
        <v>195.0896949358659</v>
      </c>
      <c r="AB25" s="27" t="n">
        <v>0.005771296503417438</v>
      </c>
    </row>
    <row r="26">
      <c r="A26" s="26" t="n">
        <v>138.651070740081</v>
      </c>
      <c r="B26" s="27" t="n">
        <v>0.008102018812071086</v>
      </c>
      <c r="C26" s="26" t="n">
        <v>153.5201766296573</v>
      </c>
      <c r="D26" s="27" t="n">
        <v>0.007309729779199369</v>
      </c>
      <c r="E26" s="26" t="n">
        <v>195.1140321727792</v>
      </c>
      <c r="F26" s="27" t="n">
        <v>0.005712833233963714</v>
      </c>
      <c r="G26" s="26" t="n">
        <v>226.2245774934154</v>
      </c>
      <c r="H26" s="27" t="n">
        <v>0.004883665308200349</v>
      </c>
      <c r="I26" s="26" t="n">
        <v>233.5478735721993</v>
      </c>
      <c r="J26" s="27" t="n">
        <v>0.004732906668809893</v>
      </c>
      <c r="K26" s="26" t="n">
        <v>226.5050659993863</v>
      </c>
      <c r="L26" s="27" t="n">
        <v>0.004887828157496103</v>
      </c>
      <c r="M26" s="26" t="n">
        <v>205.8782900594275</v>
      </c>
      <c r="N26" s="27" t="n">
        <v>0.005417695881952901</v>
      </c>
      <c r="O26" s="26" t="n">
        <v>148.6861126827454</v>
      </c>
      <c r="P26" s="27" t="n">
        <v>0.007440065863121428</v>
      </c>
      <c r="Q26" s="26" t="n">
        <v>189.5118352813911</v>
      </c>
      <c r="R26" s="27" t="n">
        <v>0.005976067054422535</v>
      </c>
      <c r="S26" s="26" t="n">
        <v>171.0127632967001</v>
      </c>
      <c r="T26" s="27" t="n">
        <v>0.006672631699651207</v>
      </c>
      <c r="U26" s="26" t="n">
        <v>198.6249802211273</v>
      </c>
      <c r="V26" s="27" t="n">
        <v>0.005667434320010445</v>
      </c>
      <c r="W26" s="26" t="n">
        <v>205.4885956667742</v>
      </c>
      <c r="X26" s="27" t="n">
        <v>0.005424139116352549</v>
      </c>
      <c r="Y26" s="26" t="n">
        <v>171.6089830007546</v>
      </c>
      <c r="Z26" s="27" t="n">
        <v>0.00638708869457062</v>
      </c>
      <c r="AA26" s="26" t="n">
        <v>195.1698825975726</v>
      </c>
      <c r="AB26" s="27" t="n">
        <v>0.005807094990894986</v>
      </c>
    </row>
    <row r="27">
      <c r="A27" s="26" t="n">
        <v>138.8168324032863</v>
      </c>
      <c r="B27" s="27" t="n">
        <v>0.008142280369615581</v>
      </c>
      <c r="C27" s="26" t="n">
        <v>153.6602261434721</v>
      </c>
      <c r="D27" s="27" t="n">
        <v>0.007347678589305627</v>
      </c>
      <c r="E27" s="26" t="n">
        <v>195.2270898271359</v>
      </c>
      <c r="F27" s="27" t="n">
        <v>0.00574232129043419</v>
      </c>
      <c r="G27" s="26" t="n">
        <v>226.3112999240209</v>
      </c>
      <c r="H27" s="27" t="n">
        <v>0.004907519561136345</v>
      </c>
      <c r="I27" s="26" t="n">
        <v>233.6282580006993</v>
      </c>
      <c r="J27" s="27" t="n">
        <v>0.004756331482402782</v>
      </c>
      <c r="K27" s="26" t="n">
        <v>226.5813084937427</v>
      </c>
      <c r="L27" s="27" t="n">
        <v>0.004912466601279897</v>
      </c>
      <c r="M27" s="26" t="n">
        <v>205.9695957615133</v>
      </c>
      <c r="N27" s="27" t="n">
        <v>0.005446568433252575</v>
      </c>
      <c r="O27" s="26" t="n">
        <v>148.8105173768339</v>
      </c>
      <c r="P27" s="27" t="n">
        <v>0.007473619859463771</v>
      </c>
      <c r="Q27" s="26" t="n">
        <v>189.6059220570241</v>
      </c>
      <c r="R27" s="27" t="n">
        <v>0.006012401368706152</v>
      </c>
      <c r="S27" s="26" t="n">
        <v>171.1191869047314</v>
      </c>
      <c r="T27" s="27" t="n">
        <v>0.006715010194266986</v>
      </c>
      <c r="U27" s="26" t="n">
        <v>198.7100255155796</v>
      </c>
      <c r="V27" s="27" t="n">
        <v>0.005700468747347233</v>
      </c>
      <c r="W27" s="26" t="n">
        <v>205.566781158827</v>
      </c>
      <c r="X27" s="27" t="n">
        <v>0.005453178175555583</v>
      </c>
      <c r="Y27" s="26" t="n">
        <v>171.7144241673615</v>
      </c>
      <c r="Z27" s="27" t="n">
        <v>0.006414167366946262</v>
      </c>
      <c r="AA27" s="26" t="n">
        <v>195.2500702592791</v>
      </c>
      <c r="AB27" s="27" t="n">
        <v>0.005843112832640338</v>
      </c>
    </row>
    <row r="28">
      <c r="A28" s="26" t="n">
        <v>138.9825940664916</v>
      </c>
      <c r="B28" s="27" t="n">
        <v>0.008182751644675208</v>
      </c>
      <c r="C28" s="26" t="n">
        <v>153.8002756572868</v>
      </c>
      <c r="D28" s="27" t="n">
        <v>0.007385829010201269</v>
      </c>
      <c r="E28" s="26" t="n">
        <v>195.3401474814926</v>
      </c>
      <c r="F28" s="27" t="n">
        <v>0.005771963166358277</v>
      </c>
      <c r="G28" s="26" t="n">
        <v>226.3980223546265</v>
      </c>
      <c r="H28" s="27" t="n">
        <v>0.004931491046214281</v>
      </c>
      <c r="I28" s="26" t="n">
        <v>233.7086424291992</v>
      </c>
      <c r="J28" s="27" t="n">
        <v>0.004779872789015515</v>
      </c>
      <c r="K28" s="26" t="n">
        <v>226.657550988099</v>
      </c>
      <c r="L28" s="27" t="n">
        <v>0.00493722977532113</v>
      </c>
      <c r="M28" s="26" t="n">
        <v>206.0609014635992</v>
      </c>
      <c r="N28" s="27" t="n">
        <v>0.005475595577022541</v>
      </c>
      <c r="O28" s="26" t="n">
        <v>148.9349220709225</v>
      </c>
      <c r="P28" s="27" t="n">
        <v>0.007507330394380602</v>
      </c>
      <c r="Q28" s="26" t="n">
        <v>189.700008832657</v>
      </c>
      <c r="R28" s="27" t="n">
        <v>0.006048954488469133</v>
      </c>
      <c r="S28" s="26" t="n">
        <v>171.2256105127628</v>
      </c>
      <c r="T28" s="27" t="n">
        <v>0.006757653036214664</v>
      </c>
      <c r="U28" s="26" t="n">
        <v>198.7950708100319</v>
      </c>
      <c r="V28" s="27" t="n">
        <v>0.005733695015161655</v>
      </c>
      <c r="W28" s="26" t="n">
        <v>205.6449666508798</v>
      </c>
      <c r="X28" s="27" t="n">
        <v>0.005482373196104965</v>
      </c>
      <c r="Y28" s="26" t="n">
        <v>171.8198653339684</v>
      </c>
      <c r="Z28" s="27" t="n">
        <v>0.00644136326920846</v>
      </c>
      <c r="AA28" s="26" t="n">
        <v>195.3302579209857</v>
      </c>
      <c r="AB28" s="27" t="n">
        <v>0.005879351337151378</v>
      </c>
    </row>
    <row r="29">
      <c r="A29" s="26" t="n">
        <v>139.148355729697</v>
      </c>
      <c r="B29" s="27" t="n">
        <v>0.008223433735357846</v>
      </c>
      <c r="C29" s="26" t="n">
        <v>153.9403251711016</v>
      </c>
      <c r="D29" s="27" t="n">
        <v>0.007424182115608816</v>
      </c>
      <c r="E29" s="26" t="n">
        <v>195.4532051358494</v>
      </c>
      <c r="F29" s="27" t="n">
        <v>0.005801759667584808</v>
      </c>
      <c r="G29" s="26" t="n">
        <v>226.4847447852321</v>
      </c>
      <c r="H29" s="27" t="n">
        <v>0.004955580342402101</v>
      </c>
      <c r="I29" s="26" t="n">
        <v>233.7890268576992</v>
      </c>
      <c r="J29" s="27" t="n">
        <v>0.004803531170203284</v>
      </c>
      <c r="K29" s="26" t="n">
        <v>226.7337934824554</v>
      </c>
      <c r="L29" s="27" t="n">
        <v>0.004962118313092254</v>
      </c>
      <c r="M29" s="26" t="n">
        <v>206.152207165685</v>
      </c>
      <c r="N29" s="27" t="n">
        <v>0.005504778141198975</v>
      </c>
      <c r="O29" s="26" t="n">
        <v>149.059326765011</v>
      </c>
      <c r="P29" s="27" t="n">
        <v>0.007541198211776844</v>
      </c>
      <c r="Q29" s="26" t="n">
        <v>189.79409560829</v>
      </c>
      <c r="R29" s="27" t="n">
        <v>0.00608572769926125</v>
      </c>
      <c r="S29" s="26" t="n">
        <v>171.3320341207942</v>
      </c>
      <c r="T29" s="27" t="n">
        <v>0.006800561809423696</v>
      </c>
      <c r="U29" s="26" t="n">
        <v>198.8801161044842</v>
      </c>
      <c r="V29" s="27" t="n">
        <v>0.005767114222379507</v>
      </c>
      <c r="W29" s="26" t="n">
        <v>205.7231521429326</v>
      </c>
      <c r="X29" s="27" t="n">
        <v>0.005511725015366727</v>
      </c>
      <c r="Y29" s="26" t="n">
        <v>171.9253065005753</v>
      </c>
      <c r="Z29" s="27" t="n">
        <v>0.006468676915958719</v>
      </c>
      <c r="AA29" s="26" t="n">
        <v>195.4104455826923</v>
      </c>
      <c r="AB29" s="27" t="n">
        <v>0.005915811820303611</v>
      </c>
    </row>
    <row r="30">
      <c r="A30" s="26" t="n">
        <v>139.3141173929022</v>
      </c>
      <c r="B30" s="27" t="n">
        <v>0.008264327745410256</v>
      </c>
      <c r="C30" s="26" t="n">
        <v>154.0803746849164</v>
      </c>
      <c r="D30" s="27" t="n">
        <v>0.007462738984855528</v>
      </c>
      <c r="E30" s="26" t="n">
        <v>195.5662627902061</v>
      </c>
      <c r="F30" s="27" t="n">
        <v>0.0058317116041633</v>
      </c>
      <c r="G30" s="26" t="n">
        <v>226.5714672158377</v>
      </c>
      <c r="H30" s="27" t="n">
        <v>0.004979788031537115</v>
      </c>
      <c r="I30" s="26" t="n">
        <v>233.8694112861991</v>
      </c>
      <c r="J30" s="27" t="n">
        <v>0.004827307210432265</v>
      </c>
      <c r="K30" s="26" t="n">
        <v>226.8100359768118</v>
      </c>
      <c r="L30" s="27" t="n">
        <v>0.004987132851287932</v>
      </c>
      <c r="M30" s="26" t="n">
        <v>206.2435128677708</v>
      </c>
      <c r="N30" s="27" t="n">
        <v>0.005534116958115232</v>
      </c>
      <c r="O30" s="26" t="n">
        <v>149.1837314590996</v>
      </c>
      <c r="P30" s="27" t="n">
        <v>0.007575224059137142</v>
      </c>
      <c r="Q30" s="26" t="n">
        <v>189.8881823839229</v>
      </c>
      <c r="R30" s="27" t="n">
        <v>0.006122722293783599</v>
      </c>
      <c r="S30" s="26" t="n">
        <v>171.4384577288255</v>
      </c>
      <c r="T30" s="27" t="n">
        <v>0.006843738106547578</v>
      </c>
      <c r="U30" s="26" t="n">
        <v>198.9651613989365</v>
      </c>
      <c r="V30" s="27" t="n">
        <v>0.005800727474011319</v>
      </c>
      <c r="W30" s="26" t="n">
        <v>205.8013376349854</v>
      </c>
      <c r="X30" s="27" t="n">
        <v>0.005541234475168528</v>
      </c>
      <c r="Y30" s="26" t="n">
        <v>172.0307476671822</v>
      </c>
      <c r="Z30" s="27" t="n">
        <v>0.006496108824081218</v>
      </c>
      <c r="AA30" s="26" t="n">
        <v>195.4906332443989</v>
      </c>
      <c r="AB30" s="27" t="n">
        <v>0.005952495605386673</v>
      </c>
    </row>
    <row r="31">
      <c r="A31" s="26" t="n">
        <v>139.4798790561076</v>
      </c>
      <c r="B31" s="27" t="n">
        <v>0.008305434784244562</v>
      </c>
      <c r="C31" s="26" t="n">
        <v>154.2204241987312</v>
      </c>
      <c r="D31" s="27" t="n">
        <v>0.007501500702900394</v>
      </c>
      <c r="E31" s="26" t="n">
        <v>195.6793204445628</v>
      </c>
      <c r="F31" s="27" t="n">
        <v>0.005861819790365443</v>
      </c>
      <c r="G31" s="26" t="n">
        <v>226.6581896464432</v>
      </c>
      <c r="H31" s="27" t="n">
        <v>0.005004114698340766</v>
      </c>
      <c r="I31" s="26" t="n">
        <v>233.949795714699</v>
      </c>
      <c r="J31" s="27" t="n">
        <v>0.004851201497094067</v>
      </c>
      <c r="K31" s="26" t="n">
        <v>226.8862784711681</v>
      </c>
      <c r="L31" s="27" t="n">
        <v>0.005012274029840932</v>
      </c>
      <c r="M31" s="26" t="n">
        <v>206.3348185698567</v>
      </c>
      <c r="N31" s="27" t="n">
        <v>0.005563612864524703</v>
      </c>
      <c r="O31" s="26" t="n">
        <v>149.3081361531881</v>
      </c>
      <c r="P31" s="27" t="n">
        <v>0.007609408687542954</v>
      </c>
      <c r="Q31" s="26" t="n">
        <v>189.9822691595559</v>
      </c>
      <c r="R31" s="27" t="n">
        <v>0.006159939571923721</v>
      </c>
      <c r="S31" s="26" t="n">
        <v>171.5448813368569</v>
      </c>
      <c r="T31" s="27" t="n">
        <v>0.00688718352900288</v>
      </c>
      <c r="U31" s="26" t="n">
        <v>199.0502066933888</v>
      </c>
      <c r="V31" s="27" t="n">
        <v>0.005834535881183636</v>
      </c>
      <c r="W31" s="26" t="n">
        <v>205.8795231270382</v>
      </c>
      <c r="X31" s="27" t="n">
        <v>0.005570902421823263</v>
      </c>
      <c r="Y31" s="26" t="n">
        <v>172.1361888337891</v>
      </c>
      <c r="Z31" s="27" t="n">
        <v>0.006523659512753402</v>
      </c>
      <c r="AA31" s="26" t="n">
        <v>195.5708209061055</v>
      </c>
      <c r="AB31" s="27" t="n">
        <v>0.005989404023140836</v>
      </c>
    </row>
    <row r="32">
      <c r="A32" s="26" t="n">
        <v>139.6456407193129</v>
      </c>
      <c r="B32" s="27" t="n">
        <v>0.008346755966964986</v>
      </c>
      <c r="C32" s="26" t="n">
        <v>154.3604737125459</v>
      </c>
      <c r="D32" s="27" t="n">
        <v>0.007540468360361903</v>
      </c>
      <c r="E32" s="26" t="n">
        <v>195.7923780989195</v>
      </c>
      <c r="F32" s="27" t="n">
        <v>0.005892085044706466</v>
      </c>
      <c r="G32" s="26" t="n">
        <v>226.7449120770488</v>
      </c>
      <c r="H32" s="27" t="n">
        <v>0.005028560930432423</v>
      </c>
      <c r="I32" s="26" t="n">
        <v>234.0301801431989</v>
      </c>
      <c r="J32" s="27" t="n">
        <v>0.004875214620520318</v>
      </c>
      <c r="K32" s="26" t="n">
        <v>226.9625209655244</v>
      </c>
      <c r="L32" s="27" t="n">
        <v>0.005037542491938818</v>
      </c>
      <c r="M32" s="26" t="n">
        <v>206.4261242719425</v>
      </c>
      <c r="N32" s="27" t="n">
        <v>0.005593266701623534</v>
      </c>
      <c r="O32" s="26" t="n">
        <v>149.4325408472766</v>
      </c>
      <c r="P32" s="27" t="n">
        <v>0.007643752851690235</v>
      </c>
      <c r="Q32" s="26" t="n">
        <v>190.0763559351888</v>
      </c>
      <c r="R32" s="27" t="n">
        <v>0.006197380840790582</v>
      </c>
      <c r="S32" s="26" t="n">
        <v>171.6513049448883</v>
      </c>
      <c r="T32" s="27" t="n">
        <v>0.006930899687008708</v>
      </c>
      <c r="U32" s="26" t="n">
        <v>199.1352519878411</v>
      </c>
      <c r="V32" s="27" t="n">
        <v>0.005868540561170052</v>
      </c>
      <c r="W32" s="26" t="n">
        <v>205.9577086190911</v>
      </c>
      <c r="X32" s="27" t="n">
        <v>0.005600729706152164</v>
      </c>
      <c r="Y32" s="26" t="n">
        <v>172.241630000396</v>
      </c>
      <c r="Z32" s="27" t="n">
        <v>0.006551329503456045</v>
      </c>
      <c r="AA32" s="26" t="n">
        <v>195.6510085678121</v>
      </c>
      <c r="AB32" s="27" t="n">
        <v>0.006026538411794255</v>
      </c>
    </row>
    <row r="33">
      <c r="A33" s="26" t="n">
        <v>139.8114023825182</v>
      </c>
      <c r="B33" s="27" t="n">
        <v>0.008388292414395175</v>
      </c>
      <c r="C33" s="26" t="n">
        <v>154.5005232263607</v>
      </c>
      <c r="D33" s="27" t="n">
        <v>0.007579643053545245</v>
      </c>
      <c r="E33" s="26" t="n">
        <v>195.9054357532763</v>
      </c>
      <c r="F33" s="27" t="n">
        <v>0.005922508189966716</v>
      </c>
      <c r="G33" s="26" t="n">
        <v>226.8316345076544</v>
      </c>
      <c r="H33" s="27" t="n">
        <v>0.005053127318344206</v>
      </c>
      <c r="I33" s="26" t="n">
        <v>234.1105645716989</v>
      </c>
      <c r="J33" s="27" t="n">
        <v>0.004899347173997523</v>
      </c>
      <c r="K33" s="26" t="n">
        <v>227.0387634598808</v>
      </c>
      <c r="L33" s="27" t="n">
        <v>0.005062938884040366</v>
      </c>
      <c r="M33" s="26" t="n">
        <v>206.5174299740283</v>
      </c>
      <c r="N33" s="27" t="n">
        <v>0.005623079315073441</v>
      </c>
      <c r="O33" s="26" t="n">
        <v>149.5569455413652</v>
      </c>
      <c r="P33" s="27" t="n">
        <v>0.007678257309906689</v>
      </c>
      <c r="Q33" s="26" t="n">
        <v>190.1704427108218</v>
      </c>
      <c r="R33" s="27" t="n">
        <v>0.006235047414749798</v>
      </c>
      <c r="S33" s="26" t="n">
        <v>171.7577285529197</v>
      </c>
      <c r="T33" s="27" t="n">
        <v>0.006974888199626146</v>
      </c>
      <c r="U33" s="26" t="n">
        <v>199.2202972822934</v>
      </c>
      <c r="V33" s="27" t="n">
        <v>0.005902742637422515</v>
      </c>
      <c r="W33" s="26" t="n">
        <v>206.0358941111438</v>
      </c>
      <c r="X33" s="27" t="n">
        <v>0.005630717183508273</v>
      </c>
      <c r="Y33" s="26" t="n">
        <v>172.347071167003</v>
      </c>
      <c r="Z33" s="27" t="n">
        <v>0.006579119319983484</v>
      </c>
      <c r="AA33" s="26" t="n">
        <v>195.7311962295187</v>
      </c>
      <c r="AB33" s="27" t="n">
        <v>0.00606390011709945</v>
      </c>
    </row>
    <row r="34">
      <c r="A34" s="26" t="n">
        <v>139.9771640457235</v>
      </c>
      <c r="B34" s="27" t="n">
        <v>0.008430045253104526</v>
      </c>
      <c r="C34" s="26" t="n">
        <v>154.6405727401755</v>
      </c>
      <c r="D34" s="27" t="n">
        <v>0.007619025884470167</v>
      </c>
      <c r="E34" s="26" t="n">
        <v>196.018493407633</v>
      </c>
      <c r="F34" s="27" t="n">
        <v>0.00595309005321329</v>
      </c>
      <c r="G34" s="26" t="n">
        <v>226.91835693826</v>
      </c>
      <c r="H34" s="27" t="n">
        <v>0.005077814455535126</v>
      </c>
      <c r="I34" s="26" t="n">
        <v>234.1909490001989</v>
      </c>
      <c r="J34" s="27" t="n">
        <v>0.004923599753781799</v>
      </c>
      <c r="K34" s="26" t="n">
        <v>227.1150059542371</v>
      </c>
      <c r="L34" s="27" t="n">
        <v>0.005088463855892134</v>
      </c>
      <c r="M34" s="26" t="n">
        <v>206.6087356761142</v>
      </c>
      <c r="N34" s="27" t="n">
        <v>0.005653051555024874</v>
      </c>
      <c r="O34" s="26" t="n">
        <v>149.6813502354537</v>
      </c>
      <c r="P34" s="27" t="n">
        <v>0.007712922824169536</v>
      </c>
      <c r="Q34" s="26" t="n">
        <v>190.2645294864547</v>
      </c>
      <c r="R34" s="27" t="n">
        <v>0.006272940615459257</v>
      </c>
      <c r="S34" s="26" t="n">
        <v>171.8641521609511</v>
      </c>
      <c r="T34" s="27" t="n">
        <v>0.007019150694797785</v>
      </c>
      <c r="U34" s="26" t="n">
        <v>199.3053425767457</v>
      </c>
      <c r="V34" s="27" t="n">
        <v>0.005937143239602825</v>
      </c>
      <c r="W34" s="26" t="n">
        <v>206.1140796031966</v>
      </c>
      <c r="X34" s="27" t="n">
        <v>0.005660865713799909</v>
      </c>
      <c r="Y34" s="26" t="n">
        <v>172.4525123336099</v>
      </c>
      <c r="Z34" s="27" t="n">
        <v>0.006607029488454048</v>
      </c>
      <c r="AA34" s="26" t="n">
        <v>195.8113838912253</v>
      </c>
      <c r="AB34" s="27" t="n">
        <v>0.006101490492370728</v>
      </c>
    </row>
    <row r="35">
      <c r="A35" s="26" t="n">
        <v>140.1429257089288</v>
      </c>
      <c r="B35" s="27" t="n">
        <v>0.008472015615435997</v>
      </c>
      <c r="C35" s="26" t="n">
        <v>154.7806222539903</v>
      </c>
      <c r="D35" s="27" t="n">
        <v>0.007658617960898795</v>
      </c>
      <c r="E35" s="26" t="n">
        <v>196.1315510619897</v>
      </c>
      <c r="F35" s="27" t="n">
        <v>0.005983831465821826</v>
      </c>
      <c r="G35" s="26" t="n">
        <v>227.0050793688656</v>
      </c>
      <c r="H35" s="27" t="n">
        <v>0.005102622938405739</v>
      </c>
      <c r="I35" s="26" t="n">
        <v>234.2713334286988</v>
      </c>
      <c r="J35" s="27" t="n">
        <v>0.004947972959113627</v>
      </c>
      <c r="K35" s="26" t="n">
        <v>227.1912484485935</v>
      </c>
      <c r="L35" s="27" t="n">
        <v>0.005114118060545209</v>
      </c>
      <c r="M35" s="26" t="n">
        <v>206.7000413782</v>
      </c>
      <c r="N35" s="27" t="n">
        <v>0.005683184276140088</v>
      </c>
      <c r="O35" s="26" t="n">
        <v>149.8057549295423</v>
      </c>
      <c r="P35" s="27" t="n">
        <v>0.007747750160122863</v>
      </c>
      <c r="Q35" s="26" t="n">
        <v>190.3586162620877</v>
      </c>
      <c r="R35" s="27" t="n">
        <v>0.006311061771904295</v>
      </c>
      <c r="S35" s="26" t="n">
        <v>171.9705757689824</v>
      </c>
      <c r="T35" s="27" t="n">
        <v>0.007063688809387155</v>
      </c>
      <c r="U35" s="26" t="n">
        <v>199.390387871198</v>
      </c>
      <c r="V35" s="27" t="n">
        <v>0.005971743503614142</v>
      </c>
      <c r="W35" s="26" t="n">
        <v>206.1922650952494</v>
      </c>
      <c r="X35" s="27" t="n">
        <v>0.005691176161514328</v>
      </c>
      <c r="Y35" s="26" t="n">
        <v>172.5579535002168</v>
      </c>
      <c r="Z35" s="27" t="n">
        <v>0.006635060537320469</v>
      </c>
      <c r="AA35" s="26" t="n">
        <v>195.8915715529319</v>
      </c>
      <c r="AB35" s="27" t="n">
        <v>0.006139310898520988</v>
      </c>
    </row>
    <row r="36">
      <c r="A36" s="26" t="n">
        <v>140.3086873721341</v>
      </c>
      <c r="B36" s="27" t="n">
        <v>0.008514204639532792</v>
      </c>
      <c r="C36" s="26" t="n">
        <v>154.9206717678051</v>
      </c>
      <c r="D36" s="27" t="n">
        <v>0.007698420396363296</v>
      </c>
      <c r="E36" s="26" t="n">
        <v>196.2446087163464</v>
      </c>
      <c r="F36" s="27" t="n">
        <v>0.006014733263498282</v>
      </c>
      <c r="G36" s="26" t="n">
        <v>227.0918017994711</v>
      </c>
      <c r="H36" s="27" t="n">
        <v>0.005127553366312754</v>
      </c>
      <c r="I36" s="26" t="n">
        <v>234.3517178571988</v>
      </c>
      <c r="J36" s="27" t="n">
        <v>0.00497246739223305</v>
      </c>
      <c r="K36" s="26" t="n">
        <v>227.2674909429498</v>
      </c>
      <c r="L36" s="27" t="n">
        <v>0.005139902154371888</v>
      </c>
      <c r="M36" s="26" t="n">
        <v>206.7913470802858</v>
      </c>
      <c r="N36" s="27" t="n">
        <v>0.00571347833761644</v>
      </c>
      <c r="O36" s="26" t="n">
        <v>149.9301596236308</v>
      </c>
      <c r="P36" s="27" t="n">
        <v>0.007782740087095623</v>
      </c>
      <c r="Q36" s="26" t="n">
        <v>190.4527030377206</v>
      </c>
      <c r="R36" s="27" t="n">
        <v>0.006349412220433352</v>
      </c>
      <c r="S36" s="26" t="n">
        <v>172.0769993770138</v>
      </c>
      <c r="T36" s="27" t="n">
        <v>0.007108504189218598</v>
      </c>
      <c r="U36" s="26" t="n">
        <v>199.4754331656503</v>
      </c>
      <c r="V36" s="27" t="n">
        <v>0.006006544571632568</v>
      </c>
      <c r="W36" s="26" t="n">
        <v>206.2704505873022</v>
      </c>
      <c r="X36" s="27" t="n">
        <v>0.005721649395741527</v>
      </c>
      <c r="Y36" s="26" t="n">
        <v>172.6633946668237</v>
      </c>
      <c r="Z36" s="27" t="n">
        <v>0.006663212997380411</v>
      </c>
      <c r="AA36" s="26" t="n">
        <v>195.9717592146385</v>
      </c>
      <c r="AB36" s="27" t="n">
        <v>0.006177362704099434</v>
      </c>
    </row>
    <row r="37">
      <c r="A37" s="26" t="n">
        <v>140.4744490353394</v>
      </c>
      <c r="B37" s="27" t="n">
        <v>0.008556613469365811</v>
      </c>
      <c r="C37" s="26" t="n">
        <v>155.0607212816198</v>
      </c>
      <c r="D37" s="27" t="n">
        <v>0.007738434310193929</v>
      </c>
      <c r="E37" s="26" t="n">
        <v>196.3576663707032</v>
      </c>
      <c r="F37" s="27" t="n">
        <v>0.00604579628630104</v>
      </c>
      <c r="G37" s="26" t="n">
        <v>227.1785242300767</v>
      </c>
      <c r="H37" s="27" t="n">
        <v>0.005152606341583669</v>
      </c>
      <c r="I37" s="26" t="n">
        <v>234.4321022856987</v>
      </c>
      <c r="J37" s="27" t="n">
        <v>0.004997083658394304</v>
      </c>
      <c r="K37" s="26" t="n">
        <v>227.3437334373062</v>
      </c>
      <c r="L37" s="27" t="n">
        <v>0.005165816797082581</v>
      </c>
      <c r="M37" s="26" t="n">
        <v>206.8826527823717</v>
      </c>
      <c r="N37" s="27" t="n">
        <v>0.005743934603209638</v>
      </c>
      <c r="O37" s="26" t="n">
        <v>150.0545643177194</v>
      </c>
      <c r="P37" s="27" t="n">
        <v>0.007817893378119327</v>
      </c>
      <c r="Q37" s="26" t="n">
        <v>190.5467898133536</v>
      </c>
      <c r="R37" s="27" t="n">
        <v>0.00638799330479364</v>
      </c>
      <c r="S37" s="26" t="n">
        <v>172.1834229850452</v>
      </c>
      <c r="T37" s="27" t="n">
        <v>0.007153598489116756</v>
      </c>
      <c r="U37" s="26" t="n">
        <v>199.5604784601026</v>
      </c>
      <c r="V37" s="27" t="n">
        <v>0.006041547592139148</v>
      </c>
      <c r="W37" s="26" t="n">
        <v>206.348636079355</v>
      </c>
      <c r="X37" s="27" t="n">
        <v>0.005752286290198077</v>
      </c>
      <c r="Y37" s="26" t="n">
        <v>172.7688358334306</v>
      </c>
      <c r="Z37" s="27" t="n">
        <v>0.006691487401786669</v>
      </c>
      <c r="AA37" s="26" t="n">
        <v>196.0519468763451</v>
      </c>
      <c r="AB37" s="27" t="n">
        <v>0.006215647285328686</v>
      </c>
    </row>
    <row r="38">
      <c r="A38" s="26" t="n">
        <v>140.6402106985447</v>
      </c>
      <c r="B38" s="27" t="n">
        <v>0.00859924325476118</v>
      </c>
      <c r="C38" s="26" t="n">
        <v>155.2007707954346</v>
      </c>
      <c r="D38" s="27" t="n">
        <v>0.007778660827547119</v>
      </c>
      <c r="E38" s="26" t="n">
        <v>196.4707240250599</v>
      </c>
      <c r="F38" s="27" t="n">
        <v>0.006077021378662843</v>
      </c>
      <c r="G38" s="26" t="n">
        <v>227.2652466606822</v>
      </c>
      <c r="H38" s="27" t="n">
        <v>0.005177782469531521</v>
      </c>
      <c r="I38" s="26" t="n">
        <v>234.5124867141986</v>
      </c>
      <c r="J38" s="27" t="n">
        <v>0.005021822365881348</v>
      </c>
      <c r="K38" s="26" t="n">
        <v>227.4199759316626</v>
      </c>
      <c r="L38" s="27" t="n">
        <v>0.00519186265174259</v>
      </c>
      <c r="M38" s="26" t="n">
        <v>206.9739584844575</v>
      </c>
      <c r="N38" s="27" t="n">
        <v>0.005774553941257211</v>
      </c>
      <c r="O38" s="26" t="n">
        <v>150.1789690118079</v>
      </c>
      <c r="P38" s="27" t="n">
        <v>0.007853210809946016</v>
      </c>
      <c r="Q38" s="26" t="n">
        <v>190.6408765889865</v>
      </c>
      <c r="R38" s="27" t="n">
        <v>0.006426806376167104</v>
      </c>
      <c r="S38" s="26" t="n">
        <v>172.2898465930765</v>
      </c>
      <c r="T38" s="27" t="n">
        <v>0.007198973372946612</v>
      </c>
      <c r="U38" s="26" t="n">
        <v>199.645523754555</v>
      </c>
      <c r="V38" s="27" t="n">
        <v>0.006076753719951594</v>
      </c>
      <c r="W38" s="26" t="n">
        <v>206.4268215714078</v>
      </c>
      <c r="X38" s="27" t="n">
        <v>0.005783087723251064</v>
      </c>
      <c r="Y38" s="26" t="n">
        <v>172.8742770000375</v>
      </c>
      <c r="Z38" s="27" t="n">
        <v>0.006719884286057985</v>
      </c>
      <c r="AA38" s="26" t="n">
        <v>196.1321345380517</v>
      </c>
      <c r="AB38" s="27" t="n">
        <v>0.006254166026142482</v>
      </c>
    </row>
    <row r="39">
      <c r="A39" s="26" t="n">
        <v>140.80597236175</v>
      </c>
      <c r="B39" s="27" t="n">
        <v>0.008642095151427399</v>
      </c>
      <c r="C39" s="26" t="n">
        <v>155.3408203092494</v>
      </c>
      <c r="D39" s="27" t="n">
        <v>0.007819101079433829</v>
      </c>
      <c r="E39" s="26" t="n">
        <v>196.5837816794166</v>
      </c>
      <c r="F39" s="27" t="n">
        <v>0.006108409389412936</v>
      </c>
      <c r="G39" s="26" t="n">
        <v>227.3519690912878</v>
      </c>
      <c r="H39" s="27" t="n">
        <v>0.005203082358469692</v>
      </c>
      <c r="I39" s="26" t="n">
        <v>234.5928711426986</v>
      </c>
      <c r="J39" s="27" t="n">
        <v>0.005046684126022569</v>
      </c>
      <c r="K39" s="26" t="n">
        <v>227.4962184260189</v>
      </c>
      <c r="L39" s="27" t="n">
        <v>0.005218040384789306</v>
      </c>
      <c r="M39" s="26" t="n">
        <v>207.0652641865433</v>
      </c>
      <c r="N39" s="27" t="n">
        <v>0.005805337224702304</v>
      </c>
      <c r="O39" s="26" t="n">
        <v>150.3033737058965</v>
      </c>
      <c r="P39" s="27" t="n">
        <v>0.007888693163066103</v>
      </c>
      <c r="Q39" s="26" t="n">
        <v>190.7349633646195</v>
      </c>
      <c r="R39" s="27" t="n">
        <v>0.006465852793206031</v>
      </c>
      <c r="S39" s="26" t="n">
        <v>172.3962702011079</v>
      </c>
      <c r="T39" s="27" t="n">
        <v>0.007244630513653045</v>
      </c>
      <c r="U39" s="26" t="n">
        <v>199.7305690490073</v>
      </c>
      <c r="V39" s="27" t="n">
        <v>0.006112164116256562</v>
      </c>
      <c r="W39" s="26" t="n">
        <v>206.5050070634607</v>
      </c>
      <c r="X39" s="27" t="n">
        <v>0.005814054577942108</v>
      </c>
      <c r="Y39" s="26" t="n">
        <v>172.9797181666444</v>
      </c>
      <c r="Z39" s="27" t="n">
        <v>0.006748404188089685</v>
      </c>
      <c r="AA39" s="26" t="n">
        <v>196.2123221997583</v>
      </c>
      <c r="AB39" s="27" t="n">
        <v>0.00629292031822321</v>
      </c>
    </row>
    <row r="40">
      <c r="A40" s="26" t="n">
        <v>140.9717340249554</v>
      </c>
      <c r="B40" s="27" t="n">
        <v>0.008685170320983317</v>
      </c>
      <c r="C40" s="26" t="n">
        <v>155.4808698230642</v>
      </c>
      <c r="D40" s="27" t="n">
        <v>0.007859756202747476</v>
      </c>
      <c r="E40" s="26" t="n">
        <v>196.6968393337733</v>
      </c>
      <c r="F40" s="27" t="n">
        <v>0.006139961171799369</v>
      </c>
      <c r="G40" s="26" t="n">
        <v>227.4386915218934</v>
      </c>
      <c r="H40" s="27" t="n">
        <v>0.005228506619726752</v>
      </c>
      <c r="I40" s="26" t="n">
        <v>234.6732555711985</v>
      </c>
      <c r="J40" s="27" t="n">
        <v>0.005071669553206446</v>
      </c>
      <c r="K40" s="26" t="n">
        <v>227.5724609203752</v>
      </c>
      <c r="L40" s="27" t="n">
        <v>0.005244350666049222</v>
      </c>
      <c r="M40" s="26" t="n">
        <v>207.1565698886292</v>
      </c>
      <c r="N40" s="27" t="n">
        <v>0.005836285331116973</v>
      </c>
      <c r="O40" s="26" t="n">
        <v>150.427778399985</v>
      </c>
      <c r="P40" s="27" t="n">
        <v>0.007924341221726557</v>
      </c>
      <c r="Q40" s="26" t="n">
        <v>190.8290501402524</v>
      </c>
      <c r="R40" s="27" t="n">
        <v>0.006505133922069441</v>
      </c>
      <c r="S40" s="26" t="n">
        <v>172.5026938091393</v>
      </c>
      <c r="T40" s="27" t="n">
        <v>0.00729057159330079</v>
      </c>
      <c r="U40" s="26" t="n">
        <v>199.8156143434596</v>
      </c>
      <c r="V40" s="27" t="n">
        <v>0.006147779948641582</v>
      </c>
      <c r="W40" s="26" t="n">
        <v>206.5831925555134</v>
      </c>
      <c r="X40" s="27" t="n">
        <v>0.00584518774201187</v>
      </c>
      <c r="Y40" s="26" t="n">
        <v>173.0851593332513</v>
      </c>
      <c r="Z40" s="27" t="n">
        <v>0.006777047648164008</v>
      </c>
      <c r="AA40" s="26" t="n">
        <v>196.2925098614649</v>
      </c>
      <c r="AB40" s="27" t="n">
        <v>0.006331911561039775</v>
      </c>
    </row>
    <row r="41">
      <c r="A41" s="26" t="n">
        <v>141.1374956881606</v>
      </c>
      <c r="B41" s="27" t="n">
        <v>0.008728469930985538</v>
      </c>
      <c r="C41" s="26" t="n">
        <v>155.6209193368789</v>
      </c>
      <c r="D41" s="27" t="n">
        <v>0.007900627340292569</v>
      </c>
      <c r="E41" s="26" t="n">
        <v>196.80989698813</v>
      </c>
      <c r="F41" s="27" t="n">
        <v>0.006171677583511507</v>
      </c>
      <c r="G41" s="26" t="n">
        <v>227.525413952499</v>
      </c>
      <c r="H41" s="27" t="n">
        <v>0.00525405586766159</v>
      </c>
      <c r="I41" s="26" t="n">
        <v>234.7536399996985</v>
      </c>
      <c r="J41" s="27" t="n">
        <v>0.005096779264896542</v>
      </c>
      <c r="K41" s="26" t="n">
        <v>227.6487034147316</v>
      </c>
      <c r="L41" s="27" t="n">
        <v>0.005270794168755105</v>
      </c>
      <c r="M41" s="26" t="n">
        <v>207.247875590715</v>
      </c>
      <c r="N41" s="27" t="n">
        <v>0.005867399142726345</v>
      </c>
      <c r="O41" s="26" t="n">
        <v>150.5521830940735</v>
      </c>
      <c r="P41" s="27" t="n">
        <v>0.007960155773949104</v>
      </c>
      <c r="Q41" s="26" t="n">
        <v>190.9231369158854</v>
      </c>
      <c r="R41" s="27" t="n">
        <v>0.006544651136458831</v>
      </c>
      <c r="S41" s="26" t="n">
        <v>172.6091174171707</v>
      </c>
      <c r="T41" s="27" t="n">
        <v>0.007336798303114633</v>
      </c>
      <c r="U41" s="26" t="n">
        <v>199.9006596379118</v>
      </c>
      <c r="V41" s="27" t="n">
        <v>0.006183602391127595</v>
      </c>
      <c r="W41" s="26" t="n">
        <v>206.6613780475662</v>
      </c>
      <c r="X41" s="27" t="n">
        <v>0.005876488107924002</v>
      </c>
      <c r="Y41" s="26" t="n">
        <v>173.1906004998582</v>
      </c>
      <c r="Z41" s="27" t="n">
        <v>0.006805815208960967</v>
      </c>
      <c r="AA41" s="26" t="n">
        <v>196.3726975231715</v>
      </c>
      <c r="AB41" s="27" t="n">
        <v>0.006371141161885419</v>
      </c>
    </row>
    <row r="42">
      <c r="A42" s="26" t="n">
        <v>141.303257351366</v>
      </c>
      <c r="B42" s="27" t="n">
        <v>0.008771995154956282</v>
      </c>
      <c r="C42" s="26" t="n">
        <v>155.7609688506937</v>
      </c>
      <c r="D42" s="27" t="n">
        <v>0.007941715640813345</v>
      </c>
      <c r="E42" s="26" t="n">
        <v>196.9229546424868</v>
      </c>
      <c r="F42" s="27" t="n">
        <v>0.006203559486702249</v>
      </c>
      <c r="G42" s="26" t="n">
        <v>227.6121363831045</v>
      </c>
      <c r="H42" s="27" t="n">
        <v>0.005279730719678166</v>
      </c>
      <c r="I42" s="26" t="n">
        <v>234.8340244281984</v>
      </c>
      <c r="J42" s="27" t="n">
        <v>0.005122013881647062</v>
      </c>
      <c r="K42" s="26" t="n">
        <v>227.7249459090879</v>
      </c>
      <c r="L42" s="27" t="n">
        <v>0.005297371569563209</v>
      </c>
      <c r="M42" s="26" t="n">
        <v>207.3391812928009</v>
      </c>
      <c r="N42" s="27" t="n">
        <v>0.005898679546432221</v>
      </c>
      <c r="O42" s="26" t="n">
        <v>150.6765877881621</v>
      </c>
      <c r="P42" s="27" t="n">
        <v>0.00799613761154817</v>
      </c>
      <c r="Q42" s="26" t="n">
        <v>191.0172236915183</v>
      </c>
      <c r="R42" s="27" t="n">
        <v>0.006584405817654734</v>
      </c>
      <c r="S42" s="26" t="n">
        <v>172.715541025202</v>
      </c>
      <c r="T42" s="27" t="n">
        <v>0.007383312343519137</v>
      </c>
      <c r="U42" s="26" t="n">
        <v>199.9857049323642</v>
      </c>
      <c r="V42" s="27" t="n">
        <v>0.006219632624201239</v>
      </c>
      <c r="W42" s="26" t="n">
        <v>206.7395635396191</v>
      </c>
      <c r="X42" s="27" t="n">
        <v>0.005907956572889898</v>
      </c>
      <c r="Y42" s="26" t="n">
        <v>173.2960416664651</v>
      </c>
      <c r="Z42" s="27" t="n">
        <v>0.006834707415569052</v>
      </c>
      <c r="AA42" s="26" t="n">
        <v>196.4528851848781</v>
      </c>
      <c r="AB42" s="27" t="n">
        <v>0.006410610535915802</v>
      </c>
    </row>
    <row r="43">
      <c r="A43" s="26" t="n">
        <v>141.4690190145713</v>
      </c>
      <c r="B43" s="27" t="n">
        <v>0.008815747172411192</v>
      </c>
      <c r="C43" s="26" t="n">
        <v>155.9010183645085</v>
      </c>
      <c r="D43" s="27" t="n">
        <v>0.007983022259022173</v>
      </c>
      <c r="E43" s="26" t="n">
        <v>197.0360122968435</v>
      </c>
      <c r="F43" s="27" t="n">
        <v>0.006235607748010761</v>
      </c>
      <c r="G43" s="26" t="n">
        <v>227.6988588137101</v>
      </c>
      <c r="H43" s="27" t="n">
        <v>0.005305531796240861</v>
      </c>
      <c r="I43" s="26" t="n">
        <v>234.9144088566983</v>
      </c>
      <c r="J43" s="27" t="n">
        <v>0.005147374027118169</v>
      </c>
      <c r="K43" s="26" t="n">
        <v>227.8011884034443</v>
      </c>
      <c r="L43" s="27" t="n">
        <v>0.005324083548570679</v>
      </c>
      <c r="M43" s="26" t="n">
        <v>207.4304869948867</v>
      </c>
      <c r="N43" s="27" t="n">
        <v>0.005930127433837342</v>
      </c>
      <c r="O43" s="26" t="n">
        <v>150.8009924822506</v>
      </c>
      <c r="P43" s="27" t="n">
        <v>0.008032287530149632</v>
      </c>
      <c r="Q43" s="26" t="n">
        <v>191.1113104671513</v>
      </c>
      <c r="R43" s="27" t="n">
        <v>0.006624399354552885</v>
      </c>
      <c r="S43" s="26" t="n">
        <v>172.8219646332334</v>
      </c>
      <c r="T43" s="27" t="n">
        <v>0.007430115424178998</v>
      </c>
      <c r="U43" s="26" t="n">
        <v>200.0707502268165</v>
      </c>
      <c r="V43" s="27" t="n">
        <v>0.006255871834847422</v>
      </c>
      <c r="W43" s="26" t="n">
        <v>206.8177490316718</v>
      </c>
      <c r="X43" s="27" t="n">
        <v>0.005939594038893005</v>
      </c>
      <c r="Y43" s="26" t="n">
        <v>173.401482833072</v>
      </c>
      <c r="Z43" s="27" t="n">
        <v>0.006863724815496188</v>
      </c>
      <c r="AA43" s="26" t="n">
        <v>196.5330728465847</v>
      </c>
      <c r="AB43" s="27" t="n">
        <v>0.006450321106186932</v>
      </c>
    </row>
    <row r="44">
      <c r="A44" s="26" t="n">
        <v>141.6347806777766</v>
      </c>
      <c r="B44" s="27" t="n">
        <v>0.008859727168887433</v>
      </c>
      <c r="C44" s="26" t="n">
        <v>156.0410678783232</v>
      </c>
      <c r="D44" s="27" t="n">
        <v>0.008024548355628189</v>
      </c>
      <c r="E44" s="26" t="n">
        <v>197.1490699512002</v>
      </c>
      <c r="F44" s="27" t="n">
        <v>0.006267823238585045</v>
      </c>
      <c r="G44" s="26" t="n">
        <v>227.7855812443157</v>
      </c>
      <c r="H44" s="27" t="n">
        <v>0.0053314597208896</v>
      </c>
      <c r="I44" s="26" t="n">
        <v>234.9947932851983</v>
      </c>
      <c r="J44" s="27" t="n">
        <v>0.005172860328091769</v>
      </c>
      <c r="K44" s="26" t="n">
        <v>227.8774308978007</v>
      </c>
      <c r="L44" s="27" t="n">
        <v>0.005350930789332965</v>
      </c>
      <c r="M44" s="26" t="n">
        <v>207.5217926969725</v>
      </c>
      <c r="N44" s="27" t="n">
        <v>0.005961743701269302</v>
      </c>
      <c r="O44" s="26" t="n">
        <v>150.9253971763392</v>
      </c>
      <c r="P44" s="27" t="n">
        <v>0.008068606329209029</v>
      </c>
      <c r="Q44" s="26" t="n">
        <v>191.2053972427842</v>
      </c>
      <c r="R44" s="27" t="n">
        <v>0.006664633143700691</v>
      </c>
      <c r="S44" s="26" t="n">
        <v>172.9283882412648</v>
      </c>
      <c r="T44" s="27" t="n">
        <v>0.007477209264038998</v>
      </c>
      <c r="U44" s="26" t="n">
        <v>200.1557955212688</v>
      </c>
      <c r="V44" s="27" t="n">
        <v>0.006292321216582079</v>
      </c>
      <c r="W44" s="26" t="n">
        <v>206.8959345237247</v>
      </c>
      <c r="X44" s="27" t="n">
        <v>0.005971401412713653</v>
      </c>
      <c r="Y44" s="26" t="n">
        <v>173.506923999679</v>
      </c>
      <c r="Z44" s="27" t="n">
        <v>0.006892867958680181</v>
      </c>
      <c r="AA44" s="26" t="n">
        <v>196.6132605082913</v>
      </c>
      <c r="AB44" s="27" t="n">
        <v>0.00649027430369374</v>
      </c>
    </row>
    <row r="45">
      <c r="A45" s="26" t="n">
        <v>141.8005423409819</v>
      </c>
      <c r="B45" s="27" t="n">
        <v>0.008903936335971597</v>
      </c>
      <c r="C45" s="26" t="n">
        <v>156.181117392138</v>
      </c>
      <c r="D45" s="27" t="n">
        <v>0.008066295097366493</v>
      </c>
      <c r="E45" s="26" t="n">
        <v>197.2621276055569</v>
      </c>
      <c r="F45" s="27" t="n">
        <v>0.006300206834104972</v>
      </c>
      <c r="G45" s="26" t="n">
        <v>227.8723036749213</v>
      </c>
      <c r="H45" s="27" t="n">
        <v>0.005357515120255058</v>
      </c>
      <c r="I45" s="26" t="n">
        <v>235.0751777136982</v>
      </c>
      <c r="J45" s="27" t="n">
        <v>0.005198473414486851</v>
      </c>
      <c r="K45" s="26" t="n">
        <v>227.953673392157</v>
      </c>
      <c r="L45" s="27" t="n">
        <v>0.005377913978881496</v>
      </c>
      <c r="M45" s="26" t="n">
        <v>207.6130983990583</v>
      </c>
      <c r="N45" s="27" t="n">
        <v>0.005993529249805083</v>
      </c>
      <c r="O45" s="26" t="n">
        <v>151.0498018704278</v>
      </c>
      <c r="P45" s="27" t="n">
        <v>0.008105094812030013</v>
      </c>
      <c r="Q45" s="26" t="n">
        <v>191.2994840184172</v>
      </c>
      <c r="R45" s="27" t="n">
        <v>0.006705108589333996</v>
      </c>
      <c r="S45" s="26" t="n">
        <v>173.0348118492961</v>
      </c>
      <c r="T45" s="27" t="n">
        <v>0.007524595591364126</v>
      </c>
      <c r="U45" s="26" t="n">
        <v>200.2408408157211</v>
      </c>
      <c r="V45" s="27" t="n">
        <v>0.00632898196948498</v>
      </c>
      <c r="W45" s="26" t="n">
        <v>206.9741200157775</v>
      </c>
      <c r="X45" s="27" t="n">
        <v>0.006003379605953808</v>
      </c>
      <c r="Y45" s="26" t="n">
        <v>173.6123651662859</v>
      </c>
      <c r="Z45" s="27" t="n">
        <v>0.006922137397499905</v>
      </c>
      <c r="AA45" s="26" t="n">
        <v>196.6934481699979</v>
      </c>
      <c r="AB45" s="27" t="n">
        <v>0.00653047156740807</v>
      </c>
    </row>
    <row r="46">
      <c r="A46" s="26" t="n">
        <v>141.9663040041872</v>
      </c>
      <c r="B46" s="27" t="n">
        <v>0.008948375871328119</v>
      </c>
      <c r="C46" s="26" t="n">
        <v>156.3211669059528</v>
      </c>
      <c r="D46" s="27" t="n">
        <v>0.008108263657026786</v>
      </c>
      <c r="E46" s="26" t="n">
        <v>197.3751852599137</v>
      </c>
      <c r="F46" s="27" t="n">
        <v>0.006332759414804843</v>
      </c>
      <c r="G46" s="26" t="n">
        <v>227.9590261055268</v>
      </c>
      <c r="H46" s="27" t="n">
        <v>0.005383698624073967</v>
      </c>
      <c r="I46" s="26" t="n">
        <v>235.1555621421981</v>
      </c>
      <c r="J46" s="27" t="n">
        <v>0.005224213919375342</v>
      </c>
      <c r="K46" s="26" t="n">
        <v>228.0299158865134</v>
      </c>
      <c r="L46" s="27" t="n">
        <v>0.005405033807740945</v>
      </c>
      <c r="M46" s="26" t="n">
        <v>207.7044041011442</v>
      </c>
      <c r="N46" s="27" t="n">
        <v>0.006025484985294978</v>
      </c>
      <c r="O46" s="26" t="n">
        <v>151.1742065645163</v>
      </c>
      <c r="P46" s="27" t="n">
        <v>0.008141753785782906</v>
      </c>
      <c r="Q46" s="26" t="n">
        <v>191.3935707940501</v>
      </c>
      <c r="R46" s="27" t="n">
        <v>0.006745827103413436</v>
      </c>
      <c r="S46" s="26" t="n">
        <v>173.1412354573275</v>
      </c>
      <c r="T46" s="27" t="n">
        <v>0.007572276143780159</v>
      </c>
      <c r="U46" s="26" t="n">
        <v>200.3258861101734</v>
      </c>
      <c r="V46" s="27" t="n">
        <v>0.00636585530023263</v>
      </c>
      <c r="W46" s="26" t="n">
        <v>207.0523055078303</v>
      </c>
      <c r="X46" s="27" t="n">
        <v>0.006035529535062052</v>
      </c>
      <c r="Y46" s="26" t="n">
        <v>173.7178063328928</v>
      </c>
      <c r="Z46" s="27" t="n">
        <v>0.006951533686786106</v>
      </c>
      <c r="AA46" s="26" t="n">
        <v>196.7736358317045</v>
      </c>
      <c r="AB46" s="27" t="n">
        <v>0.006570914344317361</v>
      </c>
    </row>
    <row r="47">
      <c r="A47" s="26" t="n">
        <v>142.1320656673925</v>
      </c>
      <c r="B47" s="27" t="n">
        <v>0.008993046978727206</v>
      </c>
      <c r="C47" s="26" t="n">
        <v>156.4612164197676</v>
      </c>
      <c r="D47" s="27" t="n">
        <v>0.008150455213482583</v>
      </c>
      <c r="E47" s="26" t="n">
        <v>197.4882429142704</v>
      </c>
      <c r="F47" s="27" t="n">
        <v>0.006365481865496613</v>
      </c>
      <c r="G47" s="26" t="n">
        <v>228.0457485361324</v>
      </c>
      <c r="H47" s="27" t="n">
        <v>0.005410010865204693</v>
      </c>
      <c r="I47" s="26" t="n">
        <v>235.2359465706981</v>
      </c>
      <c r="J47" s="27" t="n">
        <v>0.005250082478997884</v>
      </c>
      <c r="K47" s="26" t="n">
        <v>228.1061583808697</v>
      </c>
      <c r="L47" s="27" t="n">
        <v>0.005432290969947229</v>
      </c>
      <c r="M47" s="26" t="n">
        <v>207.79570980323</v>
      </c>
      <c r="N47" s="27" t="n">
        <v>0.006057611818387518</v>
      </c>
      <c r="O47" s="26" t="n">
        <v>151.2986112586048</v>
      </c>
      <c r="P47" s="27" t="n">
        <v>0.008178584061523692</v>
      </c>
      <c r="Q47" s="26" t="n">
        <v>191.4876575696831</v>
      </c>
      <c r="R47" s="27" t="n">
        <v>0.006786790105661384</v>
      </c>
      <c r="S47" s="26" t="n">
        <v>173.2476590653589</v>
      </c>
      <c r="T47" s="27" t="n">
        <v>0.007620252668313644</v>
      </c>
      <c r="U47" s="26" t="n">
        <v>200.4109314046257</v>
      </c>
      <c r="V47" s="27" t="n">
        <v>0.006402942422131152</v>
      </c>
      <c r="W47" s="26" t="n">
        <v>207.1304909998831</v>
      </c>
      <c r="X47" s="27" t="n">
        <v>0.006067852121358334</v>
      </c>
      <c r="Y47" s="26" t="n">
        <v>173.8232474994997</v>
      </c>
      <c r="Z47" s="27" t="n">
        <v>0.006981057383832401</v>
      </c>
      <c r="AA47" s="26" t="n">
        <v>196.8538234934111</v>
      </c>
      <c r="AB47" s="27" t="n">
        <v>0.006611604089463223</v>
      </c>
    </row>
    <row r="48">
      <c r="A48" s="26" t="n">
        <v>142.2978273305978</v>
      </c>
      <c r="B48" s="27" t="n">
        <v>0.009037950868073293</v>
      </c>
      <c r="C48" s="26" t="n">
        <v>156.6012659335823</v>
      </c>
      <c r="D48" s="27" t="n">
        <v>0.008192870951720234</v>
      </c>
      <c r="E48" s="26" t="n">
        <v>197.6013005686272</v>
      </c>
      <c r="F48" s="27" t="n">
        <v>0.006398375075592822</v>
      </c>
      <c r="G48" s="26" t="n">
        <v>228.132470966738</v>
      </c>
      <c r="H48" s="27" t="n">
        <v>0.005436452479642428</v>
      </c>
      <c r="I48" s="26" t="n">
        <v>235.316330999198</v>
      </c>
      <c r="J48" s="27" t="n">
        <v>0.005276079732779623</v>
      </c>
      <c r="K48" s="26" t="n">
        <v>228.1824008752261</v>
      </c>
      <c r="L48" s="27" t="n">
        <v>0.005459686163065218</v>
      </c>
      <c r="M48" s="26" t="n">
        <v>207.8870155053159</v>
      </c>
      <c r="N48" s="27" t="n">
        <v>0.006089910664553714</v>
      </c>
      <c r="O48" s="26" t="n">
        <v>151.4230159526934</v>
      </c>
      <c r="P48" s="27" t="n">
        <v>0.008215586454212314</v>
      </c>
      <c r="Q48" s="26" t="n">
        <v>191.581744345316</v>
      </c>
      <c r="R48" s="27" t="n">
        <v>0.006827999023598956</v>
      </c>
      <c r="S48" s="26" t="n">
        <v>173.3540826733903</v>
      </c>
      <c r="T48" s="27" t="n">
        <v>0.007668526921432379</v>
      </c>
      <c r="U48" s="26" t="n">
        <v>200.495976699078</v>
      </c>
      <c r="V48" s="27" t="n">
        <v>0.006440244555149914</v>
      </c>
      <c r="W48" s="26" t="n">
        <v>207.2086764919359</v>
      </c>
      <c r="X48" s="27" t="n">
        <v>0.006100348291059514</v>
      </c>
      <c r="Y48" s="26" t="n">
        <v>173.9286886661066</v>
      </c>
      <c r="Z48" s="27" t="n">
        <v>0.007010709048406308</v>
      </c>
      <c r="AA48" s="26" t="n">
        <v>196.9340111551177</v>
      </c>
      <c r="AB48" s="27" t="n">
        <v>0.006652542265979879</v>
      </c>
    </row>
    <row r="49">
      <c r="A49" s="26" t="n">
        <v>142.4635889938031</v>
      </c>
      <c r="B49" s="27" t="n">
        <v>0.009083088755433753</v>
      </c>
      <c r="C49" s="26" t="n">
        <v>156.7413154473971</v>
      </c>
      <c r="D49" s="27" t="n">
        <v>0.008235512062868332</v>
      </c>
      <c r="E49" s="26" t="n">
        <v>197.7143582229839</v>
      </c>
      <c r="F49" s="27" t="n">
        <v>0.006431439939129993</v>
      </c>
      <c r="G49" s="26" t="n">
        <v>228.2191933973435</v>
      </c>
      <c r="H49" s="27" t="n">
        <v>0.005463024106535049</v>
      </c>
      <c r="I49" s="26" t="n">
        <v>235.396715427698</v>
      </c>
      <c r="J49" s="27" t="n">
        <v>0.005302206323346108</v>
      </c>
      <c r="K49" s="26" t="n">
        <v>228.2586433695824</v>
      </c>
      <c r="L49" s="27" t="n">
        <v>0.005487220088206501</v>
      </c>
      <c r="M49" s="26" t="n">
        <v>207.9783212074017</v>
      </c>
      <c r="N49" s="27" t="n">
        <v>0.006122382444111896</v>
      </c>
      <c r="O49" s="26" t="n">
        <v>151.5474206467819</v>
      </c>
      <c r="P49" s="27" t="n">
        <v>0.008252761782731963</v>
      </c>
      <c r="Q49" s="26" t="n">
        <v>191.6758311209489</v>
      </c>
      <c r="R49" s="27" t="n">
        <v>0.006869455292582766</v>
      </c>
      <c r="S49" s="26" t="n">
        <v>173.4605062814217</v>
      </c>
      <c r="T49" s="27" t="n">
        <v>0.007717100669085838</v>
      </c>
      <c r="U49" s="26" t="n">
        <v>200.5810219935303</v>
      </c>
      <c r="V49" s="27" t="n">
        <v>0.00647776292595445</v>
      </c>
      <c r="W49" s="26" t="n">
        <v>207.2868619839887</v>
      </c>
      <c r="X49" s="27" t="n">
        <v>0.006133018975304382</v>
      </c>
      <c r="Y49" s="26" t="n">
        <v>174.0341298327135</v>
      </c>
      <c r="Z49" s="27" t="n">
        <v>0.007040489242760249</v>
      </c>
      <c r="AA49" s="26" t="n">
        <v>197.0141988168243</v>
      </c>
      <c r="AB49" s="27" t="n">
        <v>0.006693730345133364</v>
      </c>
    </row>
    <row r="50">
      <c r="A50" s="26" t="n">
        <v>142.6293506570084</v>
      </c>
      <c r="B50" s="27" t="n">
        <v>0.009128461863067028</v>
      </c>
      <c r="C50" s="26" t="n">
        <v>156.8813649612119</v>
      </c>
      <c r="D50" s="27" t="n">
        <v>0.008278379744227019</v>
      </c>
      <c r="E50" s="26" t="n">
        <v>197.8274158773406</v>
      </c>
      <c r="F50" s="27" t="n">
        <v>0.00646467735479187</v>
      </c>
      <c r="G50" s="26" t="n">
        <v>228.3059158279491</v>
      </c>
      <c r="H50" s="27" t="n">
        <v>0.005489726388198675</v>
      </c>
      <c r="I50" s="26" t="n">
        <v>235.4770998561979</v>
      </c>
      <c r="J50" s="27" t="n">
        <v>0.005328462896539465</v>
      </c>
      <c r="K50" s="26" t="n">
        <v>228.3348858639388</v>
      </c>
      <c r="L50" s="27" t="n">
        <v>0.005514893450047544</v>
      </c>
      <c r="M50" s="26" t="n">
        <v>208.0696269094876</v>
      </c>
      <c r="N50" s="27" t="n">
        <v>0.00615502808225245</v>
      </c>
      <c r="O50" s="26" t="n">
        <v>151.6718253408705</v>
      </c>
      <c r="P50" s="27" t="n">
        <v>0.008290110869907847</v>
      </c>
      <c r="Q50" s="26" t="n">
        <v>191.7699178965819</v>
      </c>
      <c r="R50" s="27" t="n">
        <v>0.006911160355842241</v>
      </c>
      <c r="S50" s="26" t="n">
        <v>173.566929889453</v>
      </c>
      <c r="T50" s="27" t="n">
        <v>0.00776597568674546</v>
      </c>
      <c r="U50" s="26" t="n">
        <v>200.6660672879826</v>
      </c>
      <c r="V50" s="27" t="n">
        <v>0.006515498767940061</v>
      </c>
      <c r="W50" s="26" t="n">
        <v>207.3650474760415</v>
      </c>
      <c r="X50" s="27" t="n">
        <v>0.006165865110178993</v>
      </c>
      <c r="Y50" s="26" t="n">
        <v>174.1395709993204</v>
      </c>
      <c r="Z50" s="27" t="n">
        <v>0.007070398531642809</v>
      </c>
      <c r="AA50" s="26" t="n">
        <v>197.0943864785309</v>
      </c>
      <c r="AB50" s="27" t="n">
        <v>0.006735169806360082</v>
      </c>
    </row>
    <row r="51">
      <c r="A51" s="26" t="n">
        <v>142.7951123202138</v>
      </c>
      <c r="B51" s="27" t="n">
        <v>0.009174071419451597</v>
      </c>
      <c r="C51" s="26" t="n">
        <v>157.0214144750267</v>
      </c>
      <c r="D51" s="27" t="n">
        <v>0.008321475199297374</v>
      </c>
      <c r="E51" s="26" t="n">
        <v>197.9404735316973</v>
      </c>
      <c r="F51" s="27" t="n">
        <v>0.006498088225932603</v>
      </c>
      <c r="G51" s="26" t="n">
        <v>228.3926382585547</v>
      </c>
      <c r="H51" s="27" t="n">
        <v>0.005516559970133154</v>
      </c>
      <c r="I51" s="26" t="n">
        <v>235.5574842846979</v>
      </c>
      <c r="J51" s="27" t="n">
        <v>0.005354850101434275</v>
      </c>
      <c r="K51" s="26" t="n">
        <v>228.4111283582951</v>
      </c>
      <c r="L51" s="27" t="n">
        <v>0.005542706956847552</v>
      </c>
      <c r="M51" s="26" t="n">
        <v>208.1609326115734</v>
      </c>
      <c r="N51" s="27" t="n">
        <v>0.006187848509062912</v>
      </c>
      <c r="O51" s="26" t="n">
        <v>151.796230034959</v>
      </c>
      <c r="P51" s="27" t="n">
        <v>0.008327634542526137</v>
      </c>
      <c r="Q51" s="26" t="n">
        <v>191.8640046722149</v>
      </c>
      <c r="R51" s="27" t="n">
        <v>0.00695311566451659</v>
      </c>
      <c r="S51" s="26" t="n">
        <v>173.6733534974844</v>
      </c>
      <c r="T51" s="27" t="n">
        <v>0.007815153759445369</v>
      </c>
      <c r="U51" s="26" t="n">
        <v>200.7511125824349</v>
      </c>
      <c r="V51" s="27" t="n">
        <v>0.006553453321265322</v>
      </c>
      <c r="W51" s="26" t="n">
        <v>207.4432329680943</v>
      </c>
      <c r="X51" s="27" t="n">
        <v>0.006198887636742436</v>
      </c>
      <c r="Y51" s="26" t="n">
        <v>174.2450121659273</v>
      </c>
      <c r="Z51" s="27" t="n">
        <v>0.007100437482309774</v>
      </c>
      <c r="AA51" s="26" t="n">
        <v>197.1745741402374</v>
      </c>
      <c r="AB51" s="27" t="n">
        <v>0.006776862137306002</v>
      </c>
    </row>
    <row r="52">
      <c r="A52" s="26" t="n">
        <v>142.960873983419</v>
      </c>
      <c r="B52" s="27" t="n">
        <v>0.009219918659314522</v>
      </c>
      <c r="C52" s="26" t="n">
        <v>157.1614639888415</v>
      </c>
      <c r="D52" s="27" t="n">
        <v>0.008364799637811353</v>
      </c>
      <c r="E52" s="26" t="n">
        <v>198.053531186054</v>
      </c>
      <c r="F52" s="27" t="n">
        <v>0.00653167346060079</v>
      </c>
      <c r="G52" s="26" t="n">
        <v>228.4793606891602</v>
      </c>
      <c r="H52" s="27" t="n">
        <v>0.005543525501038193</v>
      </c>
      <c r="I52" s="26" t="n">
        <v>235.6378687131977</v>
      </c>
      <c r="J52" s="27" t="n">
        <v>0.005381368590353858</v>
      </c>
      <c r="K52" s="26" t="n">
        <v>228.4873708526515</v>
      </c>
      <c r="L52" s="27" t="n">
        <v>0.005570661320466659</v>
      </c>
      <c r="M52" s="26" t="n">
        <v>208.2522383136592</v>
      </c>
      <c r="N52" s="27" t="n">
        <v>0.006220844659552811</v>
      </c>
      <c r="O52" s="26" t="n">
        <v>151.9206347290475</v>
      </c>
      <c r="P52" s="27" t="n">
        <v>0.008365333631353233</v>
      </c>
      <c r="Q52" s="26" t="n">
        <v>191.9580914478478</v>
      </c>
      <c r="R52" s="27" t="n">
        <v>0.0069953226776923</v>
      </c>
      <c r="S52" s="26" t="n">
        <v>173.7797771055158</v>
      </c>
      <c r="T52" s="27" t="n">
        <v>0.007864636681822816</v>
      </c>
      <c r="U52" s="26" t="n">
        <v>200.8361578768872</v>
      </c>
      <c r="V52" s="27" t="n">
        <v>0.006591627832885949</v>
      </c>
      <c r="W52" s="26" t="n">
        <v>207.5214184601471</v>
      </c>
      <c r="X52" s="27" t="n">
        <v>0.006232087501052156</v>
      </c>
      <c r="Y52" s="26" t="n">
        <v>174.3504533325342</v>
      </c>
      <c r="Z52" s="27" t="n">
        <v>0.007130606664535407</v>
      </c>
      <c r="AA52" s="26" t="n">
        <v>197.2547618019441</v>
      </c>
      <c r="AB52" s="27" t="n">
        <v>0.006818808833865769</v>
      </c>
    </row>
    <row r="53">
      <c r="A53" s="26" t="n">
        <v>143.1266356466244</v>
      </c>
      <c r="B53" s="27" t="n">
        <v>0.009266004823660365</v>
      </c>
      <c r="C53" s="26" t="n">
        <v>157.3015135026562</v>
      </c>
      <c r="D53" s="27" t="n">
        <v>0.008408354275761015</v>
      </c>
      <c r="E53" s="26" t="n">
        <v>198.1665888404108</v>
      </c>
      <c r="F53" s="27" t="n">
        <v>0.006565433971562548</v>
      </c>
      <c r="G53" s="26" t="n">
        <v>228.5660831197658</v>
      </c>
      <c r="H53" s="27" t="n">
        <v>0.005570623632829004</v>
      </c>
      <c r="I53" s="26" t="n">
        <v>235.7182531416977</v>
      </c>
      <c r="J53" s="27" t="n">
        <v>0.00540801901888659</v>
      </c>
      <c r="K53" s="26" t="n">
        <v>228.5636133470078</v>
      </c>
      <c r="L53" s="27" t="n">
        <v>0.00559875725638427</v>
      </c>
      <c r="M53" s="26" t="n">
        <v>208.3435440157451</v>
      </c>
      <c r="N53" s="27" t="n">
        <v>0.006254017473678927</v>
      </c>
      <c r="O53" s="26" t="n">
        <v>152.0450394231361</v>
      </c>
      <c r="P53" s="27" t="n">
        <v>0.008403208971155051</v>
      </c>
      <c r="Q53" s="26" t="n">
        <v>192.0521782234807</v>
      </c>
      <c r="R53" s="27" t="n">
        <v>0.007037782862440462</v>
      </c>
      <c r="S53" s="26" t="n">
        <v>173.8862007135472</v>
      </c>
      <c r="T53" s="27" t="n">
        <v>0.007914426258158656</v>
      </c>
      <c r="U53" s="26" t="n">
        <v>200.9212031713395</v>
      </c>
      <c r="V53" s="27" t="n">
        <v>0.006630023556588286</v>
      </c>
      <c r="W53" s="26" t="n">
        <v>207.5996039521999</v>
      </c>
      <c r="X53" s="27" t="n">
        <v>0.006265465654189848</v>
      </c>
      <c r="Y53" s="26" t="n">
        <v>174.4558944991412</v>
      </c>
      <c r="Z53" s="27" t="n">
        <v>0.007160906650623706</v>
      </c>
      <c r="AA53" s="26" t="n">
        <v>197.3349494636506</v>
      </c>
      <c r="AB53" s="27" t="n">
        <v>0.006861011400221937</v>
      </c>
    </row>
    <row r="54">
      <c r="A54" s="26" t="n">
        <v>143.2923973098297</v>
      </c>
      <c r="B54" s="27" t="n">
        <v>0.009312331159799984</v>
      </c>
      <c r="C54" s="26" t="n">
        <v>157.441563016471</v>
      </c>
      <c r="D54" s="27" t="n">
        <v>0.008452140335428576</v>
      </c>
      <c r="E54" s="26" t="n">
        <v>198.2796464947675</v>
      </c>
      <c r="F54" s="27" t="n">
        <v>0.006599370676325638</v>
      </c>
      <c r="G54" s="26" t="n">
        <v>228.6528055503714</v>
      </c>
      <c r="H54" s="27" t="n">
        <v>0.005597855020652323</v>
      </c>
      <c r="I54" s="26" t="n">
        <v>235.7986375701977</v>
      </c>
      <c r="J54" s="27" t="n">
        <v>0.005434802045901958</v>
      </c>
      <c r="K54" s="26" t="n">
        <v>228.6398558413642</v>
      </c>
      <c r="L54" s="27" t="n">
        <v>0.005626995483717229</v>
      </c>
      <c r="M54" s="26" t="n">
        <v>208.4348497178309</v>
      </c>
      <c r="N54" s="27" t="n">
        <v>0.006287367896370476</v>
      </c>
      <c r="O54" s="26" t="n">
        <v>152.1694441172247</v>
      </c>
      <c r="P54" s="27" t="n">
        <v>0.008441261400716016</v>
      </c>
      <c r="Q54" s="26" t="n">
        <v>192.1462649991137</v>
      </c>
      <c r="R54" s="27" t="n">
        <v>0.007080497693854365</v>
      </c>
      <c r="S54" s="26" t="n">
        <v>173.9926243215785</v>
      </c>
      <c r="T54" s="27" t="n">
        <v>0.007964524302418082</v>
      </c>
      <c r="U54" s="26" t="n">
        <v>201.0062484657918</v>
      </c>
      <c r="V54" s="27" t="n">
        <v>0.006668641753023616</v>
      </c>
      <c r="W54" s="26" t="n">
        <v>207.6777894442527</v>
      </c>
      <c r="X54" s="27" t="n">
        <v>0.006299023052287428</v>
      </c>
      <c r="Y54" s="26" t="n">
        <v>174.5613356657481</v>
      </c>
      <c r="Z54" s="27" t="n">
        <v>0.00719133801541977</v>
      </c>
      <c r="AA54" s="26" t="n">
        <v>197.4151371253573</v>
      </c>
      <c r="AB54" s="27" t="n">
        <v>0.006903471348884392</v>
      </c>
    </row>
    <row r="55">
      <c r="A55" s="26" t="n">
        <v>143.458158973035</v>
      </c>
      <c r="B55" s="27" t="n">
        <v>0.009358898921379883</v>
      </c>
      <c r="C55" s="26" t="n">
        <v>157.5816125302858</v>
      </c>
      <c r="D55" s="27" t="n">
        <v>0.008496159045416453</v>
      </c>
      <c r="E55" s="26" t="n">
        <v>198.3927041491242</v>
      </c>
      <c r="F55" s="27" t="n">
        <v>0.006633484497163143</v>
      </c>
      <c r="G55" s="26" t="n">
        <v>228.7395279809769</v>
      </c>
      <c r="H55" s="27" t="n">
        <v>0.005625220322902398</v>
      </c>
      <c r="I55" s="26" t="n">
        <v>235.8790219986976</v>
      </c>
      <c r="J55" s="27" t="n">
        <v>0.005461718333567354</v>
      </c>
      <c r="K55" s="26" t="n">
        <v>228.7160983357206</v>
      </c>
      <c r="L55" s="27" t="n">
        <v>0.005655376725238314</v>
      </c>
      <c r="M55" s="26" t="n">
        <v>208.5261554199167</v>
      </c>
      <c r="N55" s="27" t="n">
        <v>0.006320896877554669</v>
      </c>
      <c r="O55" s="26" t="n">
        <v>152.2938488113132</v>
      </c>
      <c r="P55" s="27" t="n">
        <v>0.008479491762858891</v>
      </c>
      <c r="Q55" s="26" t="n">
        <v>192.2403517747466</v>
      </c>
      <c r="R55" s="27" t="n">
        <v>0.00712346865508702</v>
      </c>
      <c r="S55" s="26" t="n">
        <v>174.0990479296099</v>
      </c>
      <c r="T55" s="27" t="n">
        <v>0.008014932638291302</v>
      </c>
      <c r="U55" s="26" t="n">
        <v>201.0912937602442</v>
      </c>
      <c r="V55" s="27" t="n">
        <v>0.006707483689741956</v>
      </c>
      <c r="W55" s="26" t="n">
        <v>207.7559749363055</v>
      </c>
      <c r="X55" s="27" t="n">
        <v>0.006332760656552859</v>
      </c>
      <c r="Y55" s="26" t="n">
        <v>174.666776832355</v>
      </c>
      <c r="Z55" s="27" t="n">
        <v>0.007221901336321132</v>
      </c>
      <c r="AA55" s="26" t="n">
        <v>197.4953247870639</v>
      </c>
      <c r="AB55" s="27" t="n">
        <v>0.006946190200729571</v>
      </c>
    </row>
    <row r="56">
      <c r="A56" s="26" t="n">
        <v>143.6239206362403</v>
      </c>
      <c r="B56" s="27" t="n">
        <v>0.00940570936841079</v>
      </c>
      <c r="C56" s="26" t="n">
        <v>157.7216620441006</v>
      </c>
      <c r="D56" s="27" t="n">
        <v>0.008540411640677013</v>
      </c>
      <c r="E56" s="26" t="n">
        <v>198.5057618034809</v>
      </c>
      <c r="F56" s="27" t="n">
        <v>0.006667776361137529</v>
      </c>
      <c r="G56" s="26" t="n">
        <v>228.8262504115825</v>
      </c>
      <c r="H56" s="27" t="n">
        <v>0.005652720201237213</v>
      </c>
      <c r="I56" s="26" t="n">
        <v>235.9594064271976</v>
      </c>
      <c r="J56" s="27" t="n">
        <v>0.005488768547364234</v>
      </c>
      <c r="K56" s="26" t="n">
        <v>228.7923408300769</v>
      </c>
      <c r="L56" s="27" t="n">
        <v>0.005683901707394752</v>
      </c>
      <c r="M56" s="26" t="n">
        <v>208.6174611220026</v>
      </c>
      <c r="N56" s="27" t="n">
        <v>0.006354605372181953</v>
      </c>
      <c r="O56" s="26" t="n">
        <v>152.4182535054018</v>
      </c>
      <c r="P56" s="27" t="n">
        <v>0.008517900904464045</v>
      </c>
      <c r="Q56" s="26" t="n">
        <v>192.3344385503796</v>
      </c>
      <c r="R56" s="27" t="n">
        <v>0.007166697237388783</v>
      </c>
      <c r="S56" s="26" t="n">
        <v>174.2054715376413</v>
      </c>
      <c r="T56" s="27" t="n">
        <v>0.008065653099234049</v>
      </c>
      <c r="U56" s="26" t="n">
        <v>201.1763390546965</v>
      </c>
      <c r="V56" s="27" t="n">
        <v>0.006746550641226339</v>
      </c>
      <c r="W56" s="26" t="n">
        <v>207.8341604283583</v>
      </c>
      <c r="X56" s="27" t="n">
        <v>0.006366679433296251</v>
      </c>
      <c r="Y56" s="26" t="n">
        <v>174.7722179989619</v>
      </c>
      <c r="Z56" s="27" t="n">
        <v>0.007252597193289174</v>
      </c>
      <c r="AA56" s="26" t="n">
        <v>197.5755124487704</v>
      </c>
      <c r="AB56" s="27" t="n">
        <v>0.006989169485040328</v>
      </c>
    </row>
    <row r="57">
      <c r="A57" s="26" t="n">
        <v>143.7896822994456</v>
      </c>
      <c r="B57" s="27" t="n">
        <v>0.009452763767297395</v>
      </c>
      <c r="C57" s="26" t="n">
        <v>157.8617115579154</v>
      </c>
      <c r="D57" s="27" t="n">
        <v>0.008584899362542931</v>
      </c>
      <c r="E57" s="26" t="n">
        <v>198.6188194578377</v>
      </c>
      <c r="F57" s="27" t="n">
        <v>0.006702247200124509</v>
      </c>
      <c r="G57" s="26" t="n">
        <v>228.9129728421881</v>
      </c>
      <c r="H57" s="27" t="n">
        <v>0.005680355320594456</v>
      </c>
      <c r="I57" s="26" t="n">
        <v>236.0397908556975</v>
      </c>
      <c r="J57" s="27" t="n">
        <v>0.005515953356104796</v>
      </c>
      <c r="K57" s="26" t="n">
        <v>228.8685833244332</v>
      </c>
      <c r="L57" s="27" t="n">
        <v>0.005712571160326738</v>
      </c>
      <c r="M57" s="26" t="n">
        <v>208.7087668240884</v>
      </c>
      <c r="N57" s="27" t="n">
        <v>0.006388494340251965</v>
      </c>
      <c r="O57" s="26" t="n">
        <v>152.5426581994903</v>
      </c>
      <c r="P57" s="27" t="n">
        <v>0.008556489676488827</v>
      </c>
      <c r="Q57" s="26" t="n">
        <v>192.4285253260126</v>
      </c>
      <c r="R57" s="27" t="n">
        <v>0.007210184940145446</v>
      </c>
      <c r="S57" s="26" t="n">
        <v>174.3118951456727</v>
      </c>
      <c r="T57" s="27" t="n">
        <v>0.00811668752850858</v>
      </c>
      <c r="U57" s="26" t="n">
        <v>201.2613843491488</v>
      </c>
      <c r="V57" s="27" t="n">
        <v>0.006785843888927248</v>
      </c>
      <c r="W57" s="26" t="n">
        <v>207.9123459204112</v>
      </c>
      <c r="X57" s="27" t="n">
        <v>0.006400780353956194</v>
      </c>
      <c r="Y57" s="26" t="n">
        <v>174.8776591655688</v>
      </c>
      <c r="Z57" s="27" t="n">
        <v>0.007283426168860722</v>
      </c>
      <c r="AA57" s="26" t="n">
        <v>197.655700110477</v>
      </c>
      <c r="AB57" s="27" t="n">
        <v>0.007032410739545471</v>
      </c>
    </row>
    <row r="58">
      <c r="A58" s="26" t="n">
        <v>143.9554439626509</v>
      </c>
      <c r="B58" s="27" t="n">
        <v>0.009500063390867425</v>
      </c>
      <c r="C58" s="26" t="n">
        <v>158.0017610717301</v>
      </c>
      <c r="D58" s="27" t="n">
        <v>0.008629623458757237</v>
      </c>
      <c r="E58" s="26" t="n">
        <v>198.7318771121944</v>
      </c>
      <c r="F58" s="27" t="n">
        <v>0.006736897950837533</v>
      </c>
      <c r="G58" s="26" t="n">
        <v>228.9996952727937</v>
      </c>
      <c r="H58" s="27" t="n">
        <v>0.005708126349208001</v>
      </c>
      <c r="I58" s="26" t="n">
        <v>236.1201752841974</v>
      </c>
      <c r="J58" s="27" t="n">
        <v>0.005543273431948808</v>
      </c>
      <c r="K58" s="26" t="n">
        <v>228.9448258187896</v>
      </c>
      <c r="L58" s="27" t="n">
        <v>0.005741385817886227</v>
      </c>
      <c r="M58" s="26" t="n">
        <v>208.8000725261743</v>
      </c>
      <c r="N58" s="27" t="n">
        <v>0.006422564746838931</v>
      </c>
      <c r="O58" s="26" t="n">
        <v>152.6670628935788</v>
      </c>
      <c r="P58" s="27" t="n">
        <v>0.008595258933987812</v>
      </c>
      <c r="Q58" s="26" t="n">
        <v>192.5226121016455</v>
      </c>
      <c r="R58" s="27" t="n">
        <v>0.007253933270915844</v>
      </c>
      <c r="S58" s="26" t="n">
        <v>174.418318753704</v>
      </c>
      <c r="T58" s="27" t="n">
        <v>0.008168037779224119</v>
      </c>
      <c r="U58" s="26" t="n">
        <v>201.3464296436011</v>
      </c>
      <c r="V58" s="27" t="n">
        <v>0.006825364721296918</v>
      </c>
      <c r="W58" s="26" t="n">
        <v>207.990531412464</v>
      </c>
      <c r="X58" s="27" t="n">
        <v>0.006435064395126073</v>
      </c>
      <c r="Y58" s="26" t="n">
        <v>174.9831003321757</v>
      </c>
      <c r="Z58" s="27" t="n">
        <v>0.007314388848159363</v>
      </c>
      <c r="AA58" s="26" t="n">
        <v>197.7358877721836</v>
      </c>
      <c r="AB58" s="27" t="n">
        <v>0.007075915510459492</v>
      </c>
    </row>
    <row r="59">
      <c r="A59" s="26" t="n">
        <v>144.1212056258562</v>
      </c>
      <c r="B59" s="27" t="n">
        <v>0.009547609518400824</v>
      </c>
      <c r="C59" s="26" t="n">
        <v>158.1418105855449</v>
      </c>
      <c r="D59" s="27" t="n">
        <v>0.008674585183503803</v>
      </c>
      <c r="E59" s="26" t="n">
        <v>198.8449347665511</v>
      </c>
      <c r="F59" s="27" t="n">
        <v>0.006771729554851765</v>
      </c>
      <c r="G59" s="26" t="n">
        <v>229.0864177033993</v>
      </c>
      <c r="H59" s="27" t="n">
        <v>0.005736033958624112</v>
      </c>
      <c r="I59" s="26" t="n">
        <v>236.2005597126973</v>
      </c>
      <c r="J59" s="27" t="n">
        <v>0.005570729450420081</v>
      </c>
      <c r="K59" s="26" t="n">
        <v>229.0210683131459</v>
      </c>
      <c r="L59" s="27" t="n">
        <v>0.005770346417655637</v>
      </c>
      <c r="M59" s="26" t="n">
        <v>208.8913782282601</v>
      </c>
      <c r="N59" s="27" t="n">
        <v>0.006456817562117722</v>
      </c>
      <c r="O59" s="26" t="n">
        <v>152.7914675876674</v>
      </c>
      <c r="P59" s="27" t="n">
        <v>0.008634209536131995</v>
      </c>
      <c r="Q59" s="26" t="n">
        <v>192.6166988772784</v>
      </c>
      <c r="R59" s="27" t="n">
        <v>0.007297943745470086</v>
      </c>
      <c r="S59" s="26" t="n">
        <v>174.5247423617354</v>
      </c>
      <c r="T59" s="27" t="n">
        <v>0.008219705714377915</v>
      </c>
      <c r="U59" s="26" t="n">
        <v>201.4314749380534</v>
      </c>
      <c r="V59" s="27" t="n">
        <v>0.006865114433823881</v>
      </c>
      <c r="W59" s="26" t="n">
        <v>208.0687169045167</v>
      </c>
      <c r="X59" s="27" t="n">
        <v>0.006469532538580568</v>
      </c>
      <c r="Y59" s="26" t="n">
        <v>175.0885414987826</v>
      </c>
      <c r="Z59" s="27" t="n">
        <v>0.007345485818907186</v>
      </c>
      <c r="AA59" s="26" t="n">
        <v>197.8160754338902</v>
      </c>
      <c r="AB59" s="27" t="n">
        <v>0.007119685352522514</v>
      </c>
    </row>
    <row r="60">
      <c r="A60" s="26" t="n">
        <v>144.2869672890615</v>
      </c>
      <c r="B60" s="27" t="n">
        <v>0.009595403435659698</v>
      </c>
      <c r="C60" s="26" t="n">
        <v>158.2818600993597</v>
      </c>
      <c r="D60" s="27" t="n">
        <v>0.008719785797437778</v>
      </c>
      <c r="E60" s="26" t="n">
        <v>198.9579924209078</v>
      </c>
      <c r="F60" s="27" t="n">
        <v>0.006806742958628687</v>
      </c>
      <c r="G60" s="26" t="n">
        <v>229.1731401340048</v>
      </c>
      <c r="H60" s="27" t="n">
        <v>0.005764078823717903</v>
      </c>
      <c r="I60" s="26" t="n">
        <v>236.2809441411973</v>
      </c>
      <c r="J60" s="27" t="n">
        <v>0.005598322090423311</v>
      </c>
      <c r="K60" s="26" t="n">
        <v>229.0973108075023</v>
      </c>
      <c r="L60" s="27" t="n">
        <v>0.005799453700966785</v>
      </c>
      <c r="M60" s="26" t="n">
        <v>208.9826839303459</v>
      </c>
      <c r="N60" s="27" t="n">
        <v>0.006491253761389876</v>
      </c>
      <c r="O60" s="26" t="n">
        <v>152.9158722817559</v>
      </c>
      <c r="P60" s="27" t="n">
        <v>0.008673342346229112</v>
      </c>
      <c r="Q60" s="26" t="n">
        <v>192.7107856529114</v>
      </c>
      <c r="R60" s="27" t="n">
        <v>0.007342217887827618</v>
      </c>
      <c r="S60" s="26" t="n">
        <v>174.6311659697668</v>
      </c>
      <c r="T60" s="27" t="n">
        <v>0.008271693206895993</v>
      </c>
      <c r="U60" s="26" t="n">
        <v>201.5165202325057</v>
      </c>
      <c r="V60" s="27" t="n">
        <v>0.006905094329067802</v>
      </c>
      <c r="W60" s="26" t="n">
        <v>208.1469023965695</v>
      </c>
      <c r="X60" s="27" t="n">
        <v>0.00650418577130224</v>
      </c>
      <c r="Y60" s="26" t="n">
        <v>175.1939826653895</v>
      </c>
      <c r="Z60" s="27" t="n">
        <v>0.007376717671436433</v>
      </c>
      <c r="AA60" s="26" t="n">
        <v>197.8962630955968</v>
      </c>
      <c r="AB60" s="27" t="n">
        <v>0.007163721829040236</v>
      </c>
    </row>
    <row r="61">
      <c r="A61" s="26" t="n">
        <v>144.4527289522669</v>
      </c>
      <c r="B61" s="27" t="n">
        <v>0.009643446434917545</v>
      </c>
      <c r="C61" s="26" t="n">
        <v>158.4219096131745</v>
      </c>
      <c r="D61" s="27" t="n">
        <v>0.00876522656771605</v>
      </c>
      <c r="E61" s="26" t="n">
        <v>199.0710500752646</v>
      </c>
      <c r="F61" s="27" t="n">
        <v>0.006841939113540519</v>
      </c>
      <c r="G61" s="26" t="n">
        <v>229.2598625646104</v>
      </c>
      <c r="H61" s="27" t="n">
        <v>0.005792261622709894</v>
      </c>
      <c r="I61" s="26" t="n">
        <v>236.3613285696973</v>
      </c>
      <c r="J61" s="27" t="n">
        <v>0.005626052034261295</v>
      </c>
      <c r="K61" s="26" t="n">
        <v>229.1735533018586</v>
      </c>
      <c r="L61" s="27" t="n">
        <v>0.005828708412919687</v>
      </c>
      <c r="M61" s="26" t="n">
        <v>209.0739896324318</v>
      </c>
      <c r="N61" s="27" t="n">
        <v>0.006525874325109426</v>
      </c>
      <c r="O61" s="26" t="n">
        <v>153.0402769758444</v>
      </c>
      <c r="P61" s="27" t="n">
        <v>0.008712658231743267</v>
      </c>
      <c r="Q61" s="26" t="n">
        <v>192.8048724285443</v>
      </c>
      <c r="R61" s="27" t="n">
        <v>0.007386757230295231</v>
      </c>
      <c r="S61" s="26" t="n">
        <v>174.7375895777982</v>
      </c>
      <c r="T61" s="27" t="n">
        <v>0.008324002139673818</v>
      </c>
      <c r="U61" s="26" t="n">
        <v>201.601565526958</v>
      </c>
      <c r="V61" s="27" t="n">
        <v>0.006945305716694248</v>
      </c>
      <c r="W61" s="26" t="n">
        <v>208.2250878886224</v>
      </c>
      <c r="X61" s="27" t="n">
        <v>0.006539025085508202</v>
      </c>
      <c r="Y61" s="26" t="n">
        <v>175.2994238319964</v>
      </c>
      <c r="Z61" s="27" t="n">
        <v>0.007408084998701033</v>
      </c>
      <c r="AA61" s="26" t="n">
        <v>197.9764507573034</v>
      </c>
      <c r="AB61" s="27" t="n">
        <v>0.007208026511924129</v>
      </c>
    </row>
    <row r="62">
      <c r="A62" s="26" t="n">
        <v>144.6184906154722</v>
      </c>
      <c r="B62" s="27" t="n">
        <v>0.009691739814989017</v>
      </c>
      <c r="C62" s="26" t="n">
        <v>158.5619591269892</v>
      </c>
      <c r="D62" s="27" t="n">
        <v>0.008810908768027993</v>
      </c>
      <c r="E62" s="26" t="n">
        <v>199.1841077296213</v>
      </c>
      <c r="F62" s="27" t="n">
        <v>0.006877318975894763</v>
      </c>
      <c r="G62" s="26" t="n">
        <v>229.346584995216</v>
      </c>
      <c r="H62" s="27" t="n">
        <v>0.005820583037182536</v>
      </c>
      <c r="I62" s="26" t="n">
        <v>236.4417129981972</v>
      </c>
      <c r="J62" s="27" t="n">
        <v>0.005653919967651523</v>
      </c>
      <c r="K62" s="26" t="n">
        <v>229.249795796215</v>
      </c>
      <c r="L62" s="27" t="n">
        <v>0.005858111302401895</v>
      </c>
      <c r="M62" s="26" t="n">
        <v>209.1652953345176</v>
      </c>
      <c r="N62" s="27" t="n">
        <v>0.00656068023890947</v>
      </c>
      <c r="O62" s="26" t="n">
        <v>153.164681669933</v>
      </c>
      <c r="P62" s="27" t="n">
        <v>0.008752158064315152</v>
      </c>
      <c r="Q62" s="26" t="n">
        <v>192.8989592041773</v>
      </c>
      <c r="R62" s="27" t="n">
        <v>0.007431563313505667</v>
      </c>
      <c r="S62" s="26" t="n">
        <v>174.8440131858295</v>
      </c>
      <c r="T62" s="27" t="n">
        <v>0.008376634405617374</v>
      </c>
      <c r="U62" s="26" t="n">
        <v>201.6866108214103</v>
      </c>
      <c r="V62" s="27" t="n">
        <v>0.006985749913509533</v>
      </c>
      <c r="W62" s="26" t="n">
        <v>208.3032733806752</v>
      </c>
      <c r="X62" s="27" t="n">
        <v>0.006574051478677109</v>
      </c>
      <c r="Y62" s="26" t="n">
        <v>175.4048649986033</v>
      </c>
      <c r="Z62" s="27" t="n">
        <v>0.007439588396288498</v>
      </c>
      <c r="AA62" s="26" t="n">
        <v>198.05663841901</v>
      </c>
      <c r="AB62" s="27" t="n">
        <v>0.007252600981731497</v>
      </c>
    </row>
    <row r="63">
      <c r="A63" s="26" t="n">
        <v>144.7842522786775</v>
      </c>
      <c r="B63" s="27" t="n">
        <v>0.009740284881259784</v>
      </c>
      <c r="C63" s="26" t="n">
        <v>158.702008640804</v>
      </c>
      <c r="D63" s="27" t="n">
        <v>0.008856833678626363</v>
      </c>
      <c r="E63" s="26" t="n">
        <v>199.297165383978</v>
      </c>
      <c r="F63" s="27" t="n">
        <v>0.006912883506959094</v>
      </c>
      <c r="G63" s="26" t="n">
        <v>229.4333074258216</v>
      </c>
      <c r="H63" s="27" t="n">
        <v>0.005849043752096818</v>
      </c>
      <c r="I63" s="26" t="n">
        <v>236.5220974266971</v>
      </c>
      <c r="J63" s="27" t="n">
        <v>0.005681926579743384</v>
      </c>
      <c r="K63" s="26" t="n">
        <v>229.3260382905714</v>
      </c>
      <c r="L63" s="27" t="n">
        <v>0.005887663122107417</v>
      </c>
      <c r="M63" s="26" t="n">
        <v>209.2566010366035</v>
      </c>
      <c r="N63" s="27" t="n">
        <v>0.006595672493628127</v>
      </c>
      <c r="O63" s="26" t="n">
        <v>153.2890863640216</v>
      </c>
      <c r="P63" s="27" t="n">
        <v>0.008791842719782315</v>
      </c>
      <c r="Q63" s="26" t="n">
        <v>192.9930459798102</v>
      </c>
      <c r="R63" s="27" t="n">
        <v>0.007476637686455781</v>
      </c>
      <c r="S63" s="26" t="n">
        <v>174.9504367938609</v>
      </c>
      <c r="T63" s="27" t="n">
        <v>0.008429591907683972</v>
      </c>
      <c r="U63" s="26" t="n">
        <v>201.7716561158626</v>
      </c>
      <c r="V63" s="27" t="n">
        <v>0.007026428243495864</v>
      </c>
      <c r="W63" s="26" t="n">
        <v>208.381458872728</v>
      </c>
      <c r="X63" s="27" t="n">
        <v>0.00660926595357594</v>
      </c>
      <c r="Y63" s="26" t="n">
        <v>175.5103061652102</v>
      </c>
      <c r="Z63" s="27" t="n">
        <v>0.007471228462431624</v>
      </c>
      <c r="AA63" s="26" t="n">
        <v>198.1368260807166</v>
      </c>
      <c r="AB63" s="27" t="n">
        <v>0.007297446827705789</v>
      </c>
    </row>
    <row r="64">
      <c r="A64" s="26" t="n">
        <v>144.9500139418828</v>
      </c>
      <c r="B64" s="27" t="n">
        <v>0.009789082945716281</v>
      </c>
      <c r="C64" s="26" t="n">
        <v>158.8420581546188</v>
      </c>
      <c r="D64" s="27" t="n">
        <v>0.008903002586357846</v>
      </c>
      <c r="E64" s="26" t="n">
        <v>199.4102230383347</v>
      </c>
      <c r="F64" s="27" t="n">
        <v>0.006948633672986113</v>
      </c>
      <c r="G64" s="26" t="n">
        <v>229.5200298564271</v>
      </c>
      <c r="H64" s="27" t="n">
        <v>0.005877644455809234</v>
      </c>
      <c r="I64" s="26" t="n">
        <v>236.6024818551971</v>
      </c>
      <c r="J64" s="27" t="n">
        <v>0.005710072563135516</v>
      </c>
      <c r="K64" s="26" t="n">
        <v>229.4022807849277</v>
      </c>
      <c r="L64" s="27" t="n">
        <v>0.00591736462855608</v>
      </c>
      <c r="M64" s="26" t="n">
        <v>209.3479067386893</v>
      </c>
      <c r="N64" s="27" t="n">
        <v>0.006630852085335361</v>
      </c>
      <c r="O64" s="26" t="n">
        <v>153.4134910581101</v>
      </c>
      <c r="P64" s="27" t="n">
        <v>0.008831713078199117</v>
      </c>
      <c r="Q64" s="26" t="n">
        <v>193.0871327554432</v>
      </c>
      <c r="R64" s="27" t="n">
        <v>0.007521981906545185</v>
      </c>
      <c r="S64" s="26" t="n">
        <v>175.0568604018923</v>
      </c>
      <c r="T64" s="27" t="n">
        <v>0.008482876558923168</v>
      </c>
      <c r="U64" s="26" t="n">
        <v>201.8567014103149</v>
      </c>
      <c r="V64" s="27" t="n">
        <v>0.007067342037846554</v>
      </c>
      <c r="W64" s="26" t="n">
        <v>208.4596443647808</v>
      </c>
      <c r="X64" s="27" t="n">
        <v>0.00664466951828731</v>
      </c>
      <c r="Y64" s="26" t="n">
        <v>175.6157473318171</v>
      </c>
      <c r="Z64" s="27" t="n">
        <v>0.007503005798020341</v>
      </c>
      <c r="AA64" s="26" t="n">
        <v>198.2170137424232</v>
      </c>
      <c r="AB64" s="27" t="n">
        <v>0.007342565647817003</v>
      </c>
    </row>
    <row r="65">
      <c r="A65" s="26" t="n">
        <v>145.1157756050881</v>
      </c>
      <c r="B65" s="27" t="n">
        <v>0.009838135326975734</v>
      </c>
      <c r="C65" s="26" t="n">
        <v>158.9821076684336</v>
      </c>
      <c r="D65" s="27" t="n">
        <v>0.008949416784694445</v>
      </c>
      <c r="E65" s="26" t="n">
        <v>199.5232806926915</v>
      </c>
      <c r="F65" s="27" t="n">
        <v>0.006984570445238238</v>
      </c>
      <c r="G65" s="26" t="n">
        <v>229.6067522870327</v>
      </c>
      <c r="H65" s="27" t="n">
        <v>0.005906385840088321</v>
      </c>
      <c r="I65" s="26" t="n">
        <v>236.682866283697</v>
      </c>
      <c r="J65" s="27" t="n">
        <v>0.005738358613892702</v>
      </c>
      <c r="K65" s="26" t="n">
        <v>229.478523279284</v>
      </c>
      <c r="L65" s="27" t="n">
        <v>0.005947216582112865</v>
      </c>
      <c r="M65" s="26" t="n">
        <v>209.4392124407751</v>
      </c>
      <c r="N65" s="27" t="n">
        <v>0.006666220015359184</v>
      </c>
      <c r="O65" s="26" t="n">
        <v>153.5378957521987</v>
      </c>
      <c r="P65" s="27" t="n">
        <v>0.008871770023857275</v>
      </c>
      <c r="Q65" s="26" t="n">
        <v>193.1812195310761</v>
      </c>
      <c r="R65" s="27" t="n">
        <v>0.007567597539614834</v>
      </c>
      <c r="S65" s="26" t="n">
        <v>175.1632840099236</v>
      </c>
      <c r="T65" s="27" t="n">
        <v>0.008536490282517665</v>
      </c>
      <c r="U65" s="26" t="n">
        <v>201.9417467047672</v>
      </c>
      <c r="V65" s="27" t="n">
        <v>0.007108492635001382</v>
      </c>
      <c r="W65" s="26" t="n">
        <v>208.5378298568336</v>
      </c>
      <c r="X65" s="27" t="n">
        <v>0.006680263186236523</v>
      </c>
      <c r="Y65" s="26" t="n">
        <v>175.7211884984241</v>
      </c>
      <c r="Z65" s="27" t="n">
        <v>0.007534921006613671</v>
      </c>
      <c r="AA65" s="26" t="n">
        <v>198.2972014041298</v>
      </c>
      <c r="AB65" s="27" t="n">
        <v>0.007387959048802366</v>
      </c>
    </row>
    <row r="66">
      <c r="A66" s="26" t="n">
        <v>145.2815372682934</v>
      </c>
      <c r="B66" s="27" t="n">
        <v>0.009887443350316055</v>
      </c>
      <c r="C66" s="26" t="n">
        <v>159.1221571822484</v>
      </c>
      <c r="D66" s="27" t="n">
        <v>0.008996077573764204</v>
      </c>
      <c r="E66" s="26" t="n">
        <v>199.6363383470482</v>
      </c>
      <c r="F66" s="27" t="n">
        <v>0.007020694800012806</v>
      </c>
      <c r="G66" s="26" t="n">
        <v>229.6934747176383</v>
      </c>
      <c r="H66" s="27" t="n">
        <v>0.005935268600131861</v>
      </c>
      <c r="I66" s="26" t="n">
        <v>236.7632507121969</v>
      </c>
      <c r="J66" s="27" t="n">
        <v>0.005766785431563446</v>
      </c>
      <c r="K66" s="26" t="n">
        <v>229.5547657736404</v>
      </c>
      <c r="L66" s="27" t="n">
        <v>0.005977219747007288</v>
      </c>
      <c r="M66" s="26" t="n">
        <v>209.530518142861</v>
      </c>
      <c r="N66" s="27" t="n">
        <v>0.006701777290312671</v>
      </c>
      <c r="O66" s="26" t="n">
        <v>153.6623004462872</v>
      </c>
      <c r="P66" s="27" t="n">
        <v>0.008912014445306307</v>
      </c>
      <c r="Q66" s="26" t="n">
        <v>193.2753063067091</v>
      </c>
      <c r="R66" s="27" t="n">
        <v>0.00761348615998541</v>
      </c>
      <c r="S66" s="26" t="n">
        <v>175.269707617955</v>
      </c>
      <c r="T66" s="27" t="n">
        <v>0.008590435011824256</v>
      </c>
      <c r="U66" s="26" t="n">
        <v>202.0267919992195</v>
      </c>
      <c r="V66" s="27" t="n">
        <v>0.007149881380681782</v>
      </c>
      <c r="W66" s="26" t="n">
        <v>208.6160153488864</v>
      </c>
      <c r="X66" s="27" t="n">
        <v>0.006716047976218973</v>
      </c>
      <c r="Y66" s="26" t="n">
        <v>175.826629665031</v>
      </c>
      <c r="Z66" s="27" t="n">
        <v>0.007566974694451677</v>
      </c>
      <c r="AA66" s="26" t="n">
        <v>198.3773890658364</v>
      </c>
      <c r="AB66" s="27" t="n">
        <v>0.007433628646206496</v>
      </c>
    </row>
    <row r="67">
      <c r="A67" s="26" t="n">
        <v>145.4472989314987</v>
      </c>
      <c r="B67" s="27" t="n">
        <v>0.009937008347706186</v>
      </c>
      <c r="C67" s="26" t="n">
        <v>159.2622066960631</v>
      </c>
      <c r="D67" s="27" t="n">
        <v>0.00904298626038277</v>
      </c>
      <c r="E67" s="26" t="n">
        <v>199.7493960014049</v>
      </c>
      <c r="F67" s="27" t="n">
        <v>0.007057007718667297</v>
      </c>
      <c r="G67" s="26" t="n">
        <v>229.7801971482438</v>
      </c>
      <c r="H67" s="27" t="n">
        <v>0.005964293434583636</v>
      </c>
      <c r="I67" s="26" t="n">
        <v>236.8436351406969</v>
      </c>
      <c r="J67" s="27" t="n">
        <v>0.005795353719197291</v>
      </c>
      <c r="K67" s="26" t="n">
        <v>229.6310082679967</v>
      </c>
      <c r="L67" s="27" t="n">
        <v>0.006007374891352992</v>
      </c>
      <c r="M67" s="26" t="n">
        <v>209.6218238449468</v>
      </c>
      <c r="N67" s="27" t="n">
        <v>0.006737524922120501</v>
      </c>
      <c r="O67" s="26" t="n">
        <v>153.7867051403757</v>
      </c>
      <c r="P67" s="27" t="n">
        <v>0.008952447235374106</v>
      </c>
      <c r="Q67" s="26" t="n">
        <v>193.369393082342</v>
      </c>
      <c r="R67" s="27" t="n">
        <v>0.007659649350496464</v>
      </c>
      <c r="S67" s="26" t="n">
        <v>175.3761312259864</v>
      </c>
      <c r="T67" s="27" t="n">
        <v>0.008644712690414742</v>
      </c>
      <c r="U67" s="26" t="n">
        <v>202.1118372936718</v>
      </c>
      <c r="V67" s="27" t="n">
        <v>0.007191509627926812</v>
      </c>
      <c r="W67" s="26" t="n">
        <v>208.6942008409392</v>
      </c>
      <c r="X67" s="27" t="n">
        <v>0.006752024912427763</v>
      </c>
      <c r="Y67" s="26" t="n">
        <v>175.9320708316379</v>
      </c>
      <c r="Z67" s="27" t="n">
        <v>0.007599167470467327</v>
      </c>
      <c r="AA67" s="26" t="n">
        <v>198.457576727543</v>
      </c>
      <c r="AB67" s="27" t="n">
        <v>0.007479576064422532</v>
      </c>
    </row>
    <row r="68">
      <c r="A68" s="26" t="n">
        <v>145.613060594704</v>
      </c>
      <c r="B68" s="27" t="n">
        <v>0.009986831657836212</v>
      </c>
      <c r="C68" s="26" t="n">
        <v>159.4022562098779</v>
      </c>
      <c r="D68" s="27" t="n">
        <v>0.009090144158084353</v>
      </c>
      <c r="E68" s="26" t="n">
        <v>199.8624536557616</v>
      </c>
      <c r="F68" s="27" t="n">
        <v>0.007093510187644514</v>
      </c>
      <c r="G68" s="26" t="n">
        <v>229.8669195788494</v>
      </c>
      <c r="H68" s="27" t="n">
        <v>0.005993461045550638</v>
      </c>
      <c r="I68" s="26" t="n">
        <v>236.9240195691968</v>
      </c>
      <c r="J68" s="27" t="n">
        <v>0.005824064183362379</v>
      </c>
      <c r="K68" s="26" t="n">
        <v>229.7072507623531</v>
      </c>
      <c r="L68" s="27" t="n">
        <v>0.006037682787167365</v>
      </c>
      <c r="M68" s="26" t="n">
        <v>209.7131295470326</v>
      </c>
      <c r="N68" s="27" t="n">
        <v>0.006773463928046071</v>
      </c>
      <c r="O68" s="26" t="n">
        <v>153.9111098344643</v>
      </c>
      <c r="P68" s="27" t="n">
        <v>0.008993069291187299</v>
      </c>
      <c r="Q68" s="26" t="n">
        <v>193.463479857975</v>
      </c>
      <c r="R68" s="27" t="n">
        <v>0.007706088702545181</v>
      </c>
      <c r="S68" s="26" t="n">
        <v>175.4825548340178</v>
      </c>
      <c r="T68" s="27" t="n">
        <v>0.008699325272117074</v>
      </c>
      <c r="U68" s="26" t="n">
        <v>202.1968825881241</v>
      </c>
      <c r="V68" s="27" t="n">
        <v>0.007233378737128418</v>
      </c>
      <c r="W68" s="26" t="n">
        <v>208.772386332992</v>
      </c>
      <c r="X68" s="27" t="n">
        <v>0.00678819502448109</v>
      </c>
      <c r="Y68" s="26" t="n">
        <v>176.0375119982448</v>
      </c>
      <c r="Z68" s="27" t="n">
        <v>0.00763149994629875</v>
      </c>
      <c r="AA68" s="26" t="n">
        <v>198.5377643892496</v>
      </c>
      <c r="AB68" s="27" t="n">
        <v>0.0075258029367327</v>
      </c>
    </row>
    <row r="69">
      <c r="A69" s="26" t="n">
        <v>145.7788222579093</v>
      </c>
      <c r="B69" s="27" t="n">
        <v>0.0100369146261478</v>
      </c>
      <c r="C69" s="26" t="n">
        <v>159.5423057236927</v>
      </c>
      <c r="D69" s="27" t="n">
        <v>0.009137552587153397</v>
      </c>
      <c r="E69" s="26" t="n">
        <v>199.9755113101183</v>
      </c>
      <c r="F69" s="27" t="n">
        <v>0.007130203198498083</v>
      </c>
      <c r="G69" s="26" t="n">
        <v>229.9536420094549</v>
      </c>
      <c r="H69" s="27" t="n">
        <v>0.006022772138620239</v>
      </c>
      <c r="I69" s="26" t="n">
        <v>237.0044039976968</v>
      </c>
      <c r="J69" s="27" t="n">
        <v>0.00585291753416291</v>
      </c>
      <c r="K69" s="26" t="n">
        <v>229.7834932567094</v>
      </c>
      <c r="L69" s="27" t="n">
        <v>0.006068144210391356</v>
      </c>
      <c r="M69" s="26" t="n">
        <v>209.8044352491185</v>
      </c>
      <c r="N69" s="27" t="n">
        <v>0.006809595330718526</v>
      </c>
      <c r="O69" s="26" t="n">
        <v>154.0355145285528</v>
      </c>
      <c r="P69" s="27" t="n">
        <v>0.009033881514192394</v>
      </c>
      <c r="Q69" s="26" t="n">
        <v>193.5575666336079</v>
      </c>
      <c r="R69" s="27" t="n">
        <v>0.007752805816125146</v>
      </c>
      <c r="S69" s="26" t="n">
        <v>175.5889784420492</v>
      </c>
      <c r="T69" s="27" t="n">
        <v>0.008754274721056034</v>
      </c>
      <c r="U69" s="26" t="n">
        <v>202.2819278825764</v>
      </c>
      <c r="V69" s="27" t="n">
        <v>0.007275490076067507</v>
      </c>
      <c r="W69" s="26" t="n">
        <v>208.8505718250448</v>
      </c>
      <c r="X69" s="27" t="n">
        <v>0.0068245593474501</v>
      </c>
      <c r="Y69" s="26" t="n">
        <v>176.1429531648517</v>
      </c>
      <c r="Z69" s="27" t="n">
        <v>0.007663972736301129</v>
      </c>
      <c r="AA69" s="26" t="n">
        <v>198.6179520509562</v>
      </c>
      <c r="AB69" s="27" t="n">
        <v>0.00757231090534916</v>
      </c>
    </row>
    <row r="70">
      <c r="A70" s="26" t="n">
        <v>145.9445839211147</v>
      </c>
      <c r="B70" s="27" t="n">
        <v>0.01008725860486426</v>
      </c>
      <c r="C70" s="26" t="n">
        <v>159.6823552375075</v>
      </c>
      <c r="D70" s="27" t="n">
        <v>0.009185212874656084</v>
      </c>
      <c r="E70" s="26" t="n">
        <v>200.0885689644751</v>
      </c>
      <c r="F70" s="27" t="n">
        <v>0.007167087747917905</v>
      </c>
      <c r="G70" s="26" t="n">
        <v>230.0403644400605</v>
      </c>
      <c r="H70" s="27" t="n">
        <v>0.006052227422877356</v>
      </c>
      <c r="I70" s="26" t="n">
        <v>237.0847884261967</v>
      </c>
      <c r="J70" s="27" t="n">
        <v>0.005881914485256835</v>
      </c>
      <c r="K70" s="26" t="n">
        <v>229.8597357510658</v>
      </c>
      <c r="L70" s="27" t="n">
        <v>0.006098759940909059</v>
      </c>
      <c r="M70" s="26" t="n">
        <v>209.8957409512043</v>
      </c>
      <c r="N70" s="27" t="n">
        <v>0.006845920158159805</v>
      </c>
      <c r="O70" s="26" t="n">
        <v>154.1599192226414</v>
      </c>
      <c r="P70" s="27" t="n">
        <v>0.00907488481017628</v>
      </c>
      <c r="Q70" s="26" t="n">
        <v>193.6516534092409</v>
      </c>
      <c r="R70" s="27" t="n">
        <v>0.007799802299865614</v>
      </c>
      <c r="S70" s="26" t="n">
        <v>175.6954020500805</v>
      </c>
      <c r="T70" s="27" t="n">
        <v>0.008809563011694469</v>
      </c>
      <c r="U70" s="26" t="n">
        <v>202.3669731770287</v>
      </c>
      <c r="V70" s="27" t="n">
        <v>0.007317845019949881</v>
      </c>
      <c r="W70" s="26" t="n">
        <v>208.9287573170976</v>
      </c>
      <c r="X70" s="27" t="n">
        <v>0.006861118921886687</v>
      </c>
      <c r="Y70" s="26" t="n">
        <v>176.2483943314586</v>
      </c>
      <c r="Z70" s="27" t="n">
        <v>0.007696586457559221</v>
      </c>
      <c r="AA70" s="26" t="n">
        <v>198.6981397126628</v>
      </c>
      <c r="AB70" s="27" t="n">
        <v>0.007619101621455071</v>
      </c>
    </row>
    <row r="71">
      <c r="A71" s="26" t="n">
        <v>146.1103455843199</v>
      </c>
      <c r="B71" s="27" t="n">
        <v>0.01013786495302144</v>
      </c>
      <c r="C71" s="26" t="n">
        <v>159.8224047513222</v>
      </c>
      <c r="D71" s="27" t="n">
        <v>0.009233126354471616</v>
      </c>
      <c r="E71" s="26" t="n">
        <v>200.2016266188318</v>
      </c>
      <c r="F71" s="27" t="n">
        <v>0.007204164837755693</v>
      </c>
      <c r="G71" s="26" t="n">
        <v>230.1270868706661</v>
      </c>
      <c r="H71" s="27" t="n">
        <v>0.006081827610921894</v>
      </c>
      <c r="I71" s="26" t="n">
        <v>237.1651728546967</v>
      </c>
      <c r="J71" s="27" t="n">
        <v>0.005911055753873792</v>
      </c>
      <c r="K71" s="26" t="n">
        <v>229.9359782454222</v>
      </c>
      <c r="L71" s="27" t="n">
        <v>0.006129530762567878</v>
      </c>
      <c r="M71" s="26" t="n">
        <v>209.9870466532901</v>
      </c>
      <c r="N71" s="27" t="n">
        <v>0.006882439443812025</v>
      </c>
      <c r="O71" s="26" t="n">
        <v>154.2843239167299</v>
      </c>
      <c r="P71" s="27" t="n">
        <v>0.009116080089287291</v>
      </c>
      <c r="Q71" s="26" t="n">
        <v>193.7457401848738</v>
      </c>
      <c r="R71" s="27" t="n">
        <v>0.007847079771070338</v>
      </c>
      <c r="S71" s="26" t="n">
        <v>175.8018256581119</v>
      </c>
      <c r="T71" s="27" t="n">
        <v>0.008865192128874138</v>
      </c>
      <c r="U71" s="26" t="n">
        <v>202.452018471481</v>
      </c>
      <c r="V71" s="27" t="n">
        <v>0.007360444951442134</v>
      </c>
      <c r="W71" s="26" t="n">
        <v>209.0069428091504</v>
      </c>
      <c r="X71" s="27" t="n">
        <v>0.006897874793851651</v>
      </c>
      <c r="Y71" s="26" t="n">
        <v>176.3538354980655</v>
      </c>
      <c r="Z71" s="27" t="n">
        <v>0.00772934172989915</v>
      </c>
      <c r="AA71" s="26" t="n">
        <v>198.7783273743694</v>
      </c>
      <c r="AB71" s="27" t="n">
        <v>0.007666176745245637</v>
      </c>
    </row>
    <row r="72">
      <c r="A72" s="26" t="n">
        <v>146.2761072475253</v>
      </c>
      <c r="B72" s="27" t="n">
        <v>0.01018873503649825</v>
      </c>
      <c r="C72" s="26" t="n">
        <v>159.962454265137</v>
      </c>
      <c r="D72" s="27" t="n">
        <v>0.009281294367324519</v>
      </c>
      <c r="E72" s="26" t="n">
        <v>200.3146842731885</v>
      </c>
      <c r="F72" s="27" t="n">
        <v>0.007241435475050998</v>
      </c>
      <c r="G72" s="26" t="n">
        <v>230.2138093012717</v>
      </c>
      <c r="H72" s="27" t="n">
        <v>0.00611157341888601</v>
      </c>
      <c r="I72" s="26" t="n">
        <v>237.2455572831965</v>
      </c>
      <c r="J72" s="27" t="n">
        <v>0.005940342060832686</v>
      </c>
      <c r="K72" s="26" t="n">
        <v>230.0122207397785</v>
      </c>
      <c r="L72" s="27" t="n">
        <v>0.006160457463198567</v>
      </c>
      <c r="M72" s="26" t="n">
        <v>210.078352355376</v>
      </c>
      <c r="N72" s="27" t="n">
        <v>0.006919154226564907</v>
      </c>
      <c r="O72" s="26" t="n">
        <v>154.4087286108185</v>
      </c>
      <c r="P72" s="27" t="n">
        <v>0.009157468266056353</v>
      </c>
      <c r="Q72" s="26" t="n">
        <v>193.8398269605068</v>
      </c>
      <c r="R72" s="27" t="n">
        <v>0.007894639855757243</v>
      </c>
      <c r="S72" s="26" t="n">
        <v>175.9082492661433</v>
      </c>
      <c r="T72" s="27" t="n">
        <v>0.008921164067856828</v>
      </c>
      <c r="U72" s="26" t="n">
        <v>202.5370637659333</v>
      </c>
      <c r="V72" s="27" t="n">
        <v>0.007403291260707929</v>
      </c>
      <c r="W72" s="26" t="n">
        <v>209.0851283012032</v>
      </c>
      <c r="X72" s="27" t="n">
        <v>0.006934828014942519</v>
      </c>
      <c r="Y72" s="26" t="n">
        <v>176.4592766646724</v>
      </c>
      <c r="Z72" s="27" t="n">
        <v>0.007762239175901012</v>
      </c>
      <c r="AA72" s="26" t="n">
        <v>198.858515036076</v>
      </c>
      <c r="AB72" s="27" t="n">
        <v>0.007713537945969225</v>
      </c>
    </row>
    <row r="73">
      <c r="A73" s="26" t="n">
        <v>146.4418689107306</v>
      </c>
      <c r="B73" s="27" t="n">
        <v>0.01023987022804696</v>
      </c>
      <c r="C73" s="26" t="n">
        <v>160.1025037789518</v>
      </c>
      <c r="D73" s="27" t="n">
        <v>0.009329718260816017</v>
      </c>
      <c r="E73" s="26" t="n">
        <v>200.4277419275452</v>
      </c>
      <c r="F73" s="27" t="n">
        <v>0.007278900672056675</v>
      </c>
      <c r="G73" s="26" t="n">
        <v>230.3005317318773</v>
      </c>
      <c r="H73" s="27" t="n">
        <v>0.006141465566451818</v>
      </c>
      <c r="I73" s="26" t="n">
        <v>237.3259417116965</v>
      </c>
      <c r="J73" s="27" t="n">
        <v>0.00596977413055985</v>
      </c>
      <c r="K73" s="26" t="n">
        <v>230.0884632341348</v>
      </c>
      <c r="L73" s="27" t="n">
        <v>0.006191540834635084</v>
      </c>
      <c r="M73" s="26" t="n">
        <v>210.1696580574618</v>
      </c>
      <c r="N73" s="27" t="n">
        <v>0.006956065550783343</v>
      </c>
      <c r="O73" s="26" t="n">
        <v>154.533133304907</v>
      </c>
      <c r="P73" s="27" t="n">
        <v>0.009199050259417772</v>
      </c>
      <c r="Q73" s="26" t="n">
        <v>193.9339137361397</v>
      </c>
      <c r="R73" s="27" t="n">
        <v>0.007942484188697193</v>
      </c>
      <c r="S73" s="26" t="n">
        <v>176.0146728741746</v>
      </c>
      <c r="T73" s="27" t="n">
        <v>0.008977480834365109</v>
      </c>
      <c r="U73" s="26" t="n">
        <v>202.6221090603856</v>
      </c>
      <c r="V73" s="27" t="n">
        <v>0.007446385345444267</v>
      </c>
      <c r="W73" s="26" t="n">
        <v>209.163313793256</v>
      </c>
      <c r="X73" s="27" t="n">
        <v>0.006971979642322107</v>
      </c>
      <c r="Y73" s="26" t="n">
        <v>176.5647178312794</v>
      </c>
      <c r="Z73" s="27" t="n">
        <v>0.007795279420910982</v>
      </c>
      <c r="AA73" s="26" t="n">
        <v>198.9387026977826</v>
      </c>
      <c r="AB73" s="27" t="n">
        <v>0.00776118690196868</v>
      </c>
    </row>
    <row r="74">
      <c r="A74" s="26" t="n">
        <v>146.6076305739359</v>
      </c>
      <c r="B74" s="27" t="n">
        <v>0.01029127190732455</v>
      </c>
      <c r="C74" s="26" t="n">
        <v>160.2425532927666</v>
      </c>
      <c r="D74" s="27" t="n">
        <v>0.00937839938945619</v>
      </c>
      <c r="E74" s="26" t="n">
        <v>200.540799581902</v>
      </c>
      <c r="F74" s="27" t="n">
        <v>0.00731656144626502</v>
      </c>
      <c r="G74" s="26" t="n">
        <v>230.3872541624828</v>
      </c>
      <c r="H74" s="27" t="n">
        <v>0.006171504776868839</v>
      </c>
      <c r="I74" s="26" t="n">
        <v>237.4063261401965</v>
      </c>
      <c r="J74" s="27" t="n">
        <v>0.005999352691106848</v>
      </c>
      <c r="K74" s="26" t="n">
        <v>230.1647057284912</v>
      </c>
      <c r="L74" s="27" t="n">
        <v>0.00622278167273508</v>
      </c>
      <c r="M74" s="26" t="n">
        <v>210.2609637595477</v>
      </c>
      <c r="N74" s="27" t="n">
        <v>0.006993174466334971</v>
      </c>
      <c r="O74" s="26" t="n">
        <v>154.6575379989956</v>
      </c>
      <c r="P74" s="27" t="n">
        <v>0.009240826992730895</v>
      </c>
      <c r="Q74" s="26" t="n">
        <v>194.0280005117727</v>
      </c>
      <c r="R74" s="27" t="n">
        <v>0.007990614413453717</v>
      </c>
      <c r="S74" s="26" t="n">
        <v>176.121096482206</v>
      </c>
      <c r="T74" s="27" t="n">
        <v>0.009034144444623571</v>
      </c>
      <c r="U74" s="26" t="n">
        <v>202.7071543548379</v>
      </c>
      <c r="V74" s="27" t="n">
        <v>0.007489728610917938</v>
      </c>
      <c r="W74" s="26" t="n">
        <v>209.2414992853088</v>
      </c>
      <c r="X74" s="27" t="n">
        <v>0.007009330738746578</v>
      </c>
      <c r="Y74" s="26" t="n">
        <v>176.6701589978863</v>
      </c>
      <c r="Z74" s="27" t="n">
        <v>0.007828463093053999</v>
      </c>
      <c r="AA74" s="26" t="n">
        <v>199.0188903594892</v>
      </c>
      <c r="AB74" s="27" t="n">
        <v>0.007809125300722583</v>
      </c>
    </row>
    <row r="75">
      <c r="A75" s="26" t="n">
        <v>146.7733922371412</v>
      </c>
      <c r="B75" s="27" t="n">
        <v>0.01034294146092306</v>
      </c>
      <c r="C75" s="26" t="n">
        <v>160.3826028065814</v>
      </c>
      <c r="D75" s="27" t="n">
        <v>0.00942733911469577</v>
      </c>
      <c r="E75" s="26" t="n">
        <v>200.6538572362587</v>
      </c>
      <c r="F75" s="27" t="n">
        <v>0.007354418820433974</v>
      </c>
      <c r="G75" s="26" t="n">
        <v>230.4739765930884</v>
      </c>
      <c r="H75" s="27" t="n">
        <v>0.006201691776971668</v>
      </c>
      <c r="I75" s="26" t="n">
        <v>237.4867105686964</v>
      </c>
      <c r="J75" s="27" t="n">
        <v>0.00602907847416877</v>
      </c>
      <c r="K75" s="26" t="n">
        <v>230.2409482228475</v>
      </c>
      <c r="L75" s="27" t="n">
        <v>0.006254180777400112</v>
      </c>
      <c r="M75" s="26" t="n">
        <v>210.3522694616335</v>
      </c>
      <c r="N75" s="27" t="n">
        <v>0.007030482028617963</v>
      </c>
      <c r="O75" s="26" t="n">
        <v>154.7819426930841</v>
      </c>
      <c r="P75" s="27" t="n">
        <v>0.00928279939380108</v>
      </c>
      <c r="Q75" s="26" t="n">
        <v>194.1220872874056</v>
      </c>
      <c r="R75" s="27" t="n">
        <v>0.008039032182422448</v>
      </c>
      <c r="S75" s="26" t="n">
        <v>176.2275200902374</v>
      </c>
      <c r="T75" s="27" t="n">
        <v>0.009091156925399548</v>
      </c>
      <c r="U75" s="26" t="n">
        <v>202.7921996492902</v>
      </c>
      <c r="V75" s="27" t="n">
        <v>0.007533322470002038</v>
      </c>
      <c r="W75" s="26" t="n">
        <v>209.3196847773616</v>
      </c>
      <c r="X75" s="27" t="n">
        <v>0.007046882372594277</v>
      </c>
      <c r="Y75" s="26" t="n">
        <v>176.7756001644932</v>
      </c>
      <c r="Z75" s="27" t="n">
        <v>0.007861790823245788</v>
      </c>
      <c r="AA75" s="26" t="n">
        <v>199.0990780211958</v>
      </c>
      <c r="AB75" s="27" t="n">
        <v>0.007857354838886759</v>
      </c>
    </row>
    <row r="76">
      <c r="A76" s="26" t="n">
        <v>146.9391539003465</v>
      </c>
      <c r="B76" s="27" t="n">
        <v>0.01039488028240078</v>
      </c>
      <c r="C76" s="26" t="n">
        <v>160.5226523203961</v>
      </c>
      <c r="D76" s="27" t="n">
        <v>0.009476538804958835</v>
      </c>
      <c r="E76" s="26" t="n">
        <v>200.7669148906154</v>
      </c>
      <c r="F76" s="27" t="n">
        <v>0.007392473822613072</v>
      </c>
      <c r="G76" s="26" t="n">
        <v>230.560699023694</v>
      </c>
      <c r="H76" s="27" t="n">
        <v>0.006232027297197783</v>
      </c>
      <c r="I76" s="26" t="n">
        <v>237.5670949971964</v>
      </c>
      <c r="J76" s="27" t="n">
        <v>0.006058952215102338</v>
      </c>
      <c r="K76" s="26" t="n">
        <v>230.3171907172039</v>
      </c>
      <c r="L76" s="27" t="n">
        <v>0.006285738952596087</v>
      </c>
      <c r="M76" s="26" t="n">
        <v>210.4435751637193</v>
      </c>
      <c r="N76" s="27" t="n">
        <v>0.007067989298589098</v>
      </c>
      <c r="O76" s="26" t="n">
        <v>154.9063473871727</v>
      </c>
      <c r="P76" s="27" t="n">
        <v>0.009324968394901344</v>
      </c>
      <c r="Q76" s="26" t="n">
        <v>194.2161740630386</v>
      </c>
      <c r="R76" s="27" t="n">
        <v>0.008087739156870402</v>
      </c>
      <c r="S76" s="26" t="n">
        <v>176.3339436982688</v>
      </c>
      <c r="T76" s="27" t="n">
        <v>0.009148520314044355</v>
      </c>
      <c r="U76" s="26" t="n">
        <v>202.8772449437425</v>
      </c>
      <c r="V76" s="27" t="n">
        <v>0.007577168343212619</v>
      </c>
      <c r="W76" s="26" t="n">
        <v>209.3978702694144</v>
      </c>
      <c r="X76" s="27" t="n">
        <v>0.007084635617894095</v>
      </c>
      <c r="Y76" s="26" t="n">
        <v>176.8810413311001</v>
      </c>
      <c r="Z76" s="27" t="n">
        <v>0.007895263245205777</v>
      </c>
      <c r="AA76" s="26" t="n">
        <v>199.1792656829024</v>
      </c>
      <c r="AB76" s="27" t="n">
        <v>0.00790587722233561</v>
      </c>
    </row>
    <row r="77">
      <c r="A77" s="26" t="n">
        <v>147.1049155635518</v>
      </c>
      <c r="B77" s="27" t="n">
        <v>0.0104470897723133</v>
      </c>
      <c r="C77" s="26" t="n">
        <v>160.6627018342109</v>
      </c>
      <c r="D77" s="27" t="n">
        <v>0.009525999835674457</v>
      </c>
      <c r="E77" s="26" t="n">
        <v>200.8799725449722</v>
      </c>
      <c r="F77" s="27" t="n">
        <v>0.007430727486169927</v>
      </c>
      <c r="G77" s="26" t="n">
        <v>230.6474214542996</v>
      </c>
      <c r="H77" s="27" t="n">
        <v>0.00626251207160539</v>
      </c>
      <c r="I77" s="26" t="n">
        <v>237.6474794256963</v>
      </c>
      <c r="J77" s="27" t="n">
        <v>0.00608897465294413</v>
      </c>
      <c r="K77" s="26" t="n">
        <v>230.3934332115603</v>
      </c>
      <c r="L77" s="27" t="n">
        <v>0.006317457006373744</v>
      </c>
      <c r="M77" s="26" t="n">
        <v>210.5348808658051</v>
      </c>
      <c r="N77" s="27" t="n">
        <v>0.007105697342791484</v>
      </c>
      <c r="O77" s="26" t="n">
        <v>155.0307520812612</v>
      </c>
      <c r="P77" s="27" t="n">
        <v>0.009367334932793783</v>
      </c>
      <c r="Q77" s="26" t="n">
        <v>194.3102608386715</v>
      </c>
      <c r="R77" s="27" t="n">
        <v>0.008136737006976114</v>
      </c>
      <c r="S77" s="26" t="n">
        <v>176.4403673063001</v>
      </c>
      <c r="T77" s="27" t="n">
        <v>0.009206236658534055</v>
      </c>
      <c r="U77" s="26" t="n">
        <v>202.9622902381948</v>
      </c>
      <c r="V77" s="27" t="n">
        <v>0.007621267658745447</v>
      </c>
      <c r="W77" s="26" t="n">
        <v>209.4760557614672</v>
      </c>
      <c r="X77" s="27" t="n">
        <v>0.007122591554354392</v>
      </c>
      <c r="Y77" s="26" t="n">
        <v>176.986482497707</v>
      </c>
      <c r="Z77" s="27" t="n">
        <v>0.007928880995469449</v>
      </c>
      <c r="AA77" s="26" t="n">
        <v>199.259453344609</v>
      </c>
      <c r="AB77" s="27" t="n">
        <v>0.007954694166204106</v>
      </c>
    </row>
    <row r="78">
      <c r="A78" s="26" t="n">
        <v>147.2706772267571</v>
      </c>
      <c r="B78" s="27" t="n">
        <v>0.01049957133824442</v>
      </c>
      <c r="C78" s="26" t="n">
        <v>160.8027513480257</v>
      </c>
      <c r="D78" s="27" t="n">
        <v>0.009575723589309294</v>
      </c>
      <c r="E78" s="26" t="n">
        <v>200.9930301993289</v>
      </c>
      <c r="F78" s="27" t="n">
        <v>0.007469180849816601</v>
      </c>
      <c r="G78" s="26" t="n">
        <v>230.7341438849051</v>
      </c>
      <c r="H78" s="27" t="n">
        <v>0.006293146837891402</v>
      </c>
      <c r="I78" s="26" t="n">
        <v>237.7278638541962</v>
      </c>
      <c r="J78" s="27" t="n">
        <v>0.006119146530429209</v>
      </c>
      <c r="K78" s="26" t="n">
        <v>230.4696757059166</v>
      </c>
      <c r="L78" s="27" t="n">
        <v>0.006349335750889315</v>
      </c>
      <c r="M78" s="26" t="n">
        <v>210.626186567891</v>
      </c>
      <c r="N78" s="27" t="n">
        <v>0.007143607233383057</v>
      </c>
      <c r="O78" s="26" t="n">
        <v>155.1551567753497</v>
      </c>
      <c r="P78" s="27" t="n">
        <v>0.009409899948751186</v>
      </c>
      <c r="Q78" s="26" t="n">
        <v>194.4043476143045</v>
      </c>
      <c r="R78" s="27" t="n">
        <v>0.008186027411868645</v>
      </c>
      <c r="S78" s="26" t="n">
        <v>176.5467909143315</v>
      </c>
      <c r="T78" s="27" t="n">
        <v>0.009264308017510386</v>
      </c>
      <c r="U78" s="26" t="n">
        <v>203.0473355326471</v>
      </c>
      <c r="V78" s="27" t="n">
        <v>0.007665621852513036</v>
      </c>
      <c r="W78" s="26" t="n">
        <v>209.55424125352</v>
      </c>
      <c r="X78" s="27" t="n">
        <v>0.00716075126739173</v>
      </c>
      <c r="Y78" s="26" t="n">
        <v>177.0919236643139</v>
      </c>
      <c r="Z78" s="27" t="n">
        <v>0.007962644713400881</v>
      </c>
      <c r="AA78" s="26" t="n">
        <v>199.3396410063156</v>
      </c>
      <c r="AB78" s="27" t="n">
        <v>0.008003807394928977</v>
      </c>
    </row>
    <row r="79">
      <c r="A79" s="26" t="n">
        <v>147.4364388899624</v>
      </c>
      <c r="B79" s="27" t="n">
        <v>0.01055232639483768</v>
      </c>
      <c r="C79" s="26" t="n">
        <v>160.9428008618405</v>
      </c>
      <c r="D79" s="27" t="n">
        <v>0.009625711455400225</v>
      </c>
      <c r="E79" s="26" t="n">
        <v>201.1060878536856</v>
      </c>
      <c r="F79" s="27" t="n">
        <v>0.007507834957636042</v>
      </c>
      <c r="G79" s="26" t="n">
        <v>230.8208663155107</v>
      </c>
      <c r="H79" s="27" t="n">
        <v>0.006323932337409388</v>
      </c>
      <c r="I79" s="26" t="n">
        <v>237.8082482826961</v>
      </c>
      <c r="J79" s="27" t="n">
        <v>0.006149468594009258</v>
      </c>
      <c r="K79" s="26" t="n">
        <v>230.545918200273</v>
      </c>
      <c r="L79" s="27" t="n">
        <v>0.006381376002425242</v>
      </c>
      <c r="M79" s="26" t="n">
        <v>210.7174922699768</v>
      </c>
      <c r="N79" s="27" t="n">
        <v>0.007181720048164635</v>
      </c>
      <c r="O79" s="26" t="n">
        <v>155.2795614694383</v>
      </c>
      <c r="P79" s="27" t="n">
        <v>0.009452664388578971</v>
      </c>
      <c r="Q79" s="26" t="n">
        <v>194.4984343899374</v>
      </c>
      <c r="R79" s="27" t="n">
        <v>0.008235612059667986</v>
      </c>
      <c r="S79" s="26" t="n">
        <v>176.6532145223629</v>
      </c>
      <c r="T79" s="27" t="n">
        <v>0.009322736460321815</v>
      </c>
      <c r="U79" s="26" t="n">
        <v>203.1323808270994</v>
      </c>
      <c r="V79" s="27" t="n">
        <v>0.007710232368181515</v>
      </c>
      <c r="W79" s="26" t="n">
        <v>209.6324267455728</v>
      </c>
      <c r="X79" s="27" t="n">
        <v>0.007199115848160142</v>
      </c>
      <c r="Y79" s="26" t="n">
        <v>177.1973648309208</v>
      </c>
      <c r="Z79" s="27" t="n">
        <v>0.007996555041205611</v>
      </c>
      <c r="AA79" s="26" t="n">
        <v>199.4198286680221</v>
      </c>
      <c r="AB79" s="27" t="n">
        <v>0.008053218642290841</v>
      </c>
    </row>
    <row r="80">
      <c r="A80" s="26" t="n">
        <v>147.6022005531677</v>
      </c>
      <c r="B80" s="27" t="n">
        <v>0.01060535636382725</v>
      </c>
      <c r="C80" s="26" t="n">
        <v>161.0828503756553</v>
      </c>
      <c r="D80" s="27" t="n">
        <v>0.009675964830586725</v>
      </c>
      <c r="E80" s="26" t="n">
        <v>201.2191455080423</v>
      </c>
      <c r="F80" s="27" t="n">
        <v>0.007546690859108951</v>
      </c>
      <c r="G80" s="26" t="n">
        <v>230.9075887461163</v>
      </c>
      <c r="H80" s="27" t="n">
        <v>0.006354869315187693</v>
      </c>
      <c r="I80" s="26" t="n">
        <v>237.8886327111961</v>
      </c>
      <c r="J80" s="27" t="n">
        <v>0.006179941593871314</v>
      </c>
      <c r="K80" s="26" t="n">
        <v>230.6221606946293</v>
      </c>
      <c r="L80" s="27" t="n">
        <v>0.006413578581411047</v>
      </c>
      <c r="M80" s="26" t="n">
        <v>210.8087979720627</v>
      </c>
      <c r="N80" s="27" t="n">
        <v>0.007220036870608314</v>
      </c>
      <c r="O80" s="26" t="n">
        <v>155.4039661635268</v>
      </c>
      <c r="P80" s="27" t="n">
        <v>0.009495629202636718</v>
      </c>
      <c r="Q80" s="26" t="n">
        <v>194.5925211655704</v>
      </c>
      <c r="R80" s="27" t="n">
        <v>0.00828549264752467</v>
      </c>
      <c r="S80" s="26" t="n">
        <v>176.7596381303943</v>
      </c>
      <c r="T80" s="27" t="n">
        <v>0.009381524067064384</v>
      </c>
      <c r="U80" s="26" t="n">
        <v>203.2174261215517</v>
      </c>
      <c r="V80" s="27" t="n">
        <v>0.007755100657207685</v>
      </c>
      <c r="W80" s="26" t="n">
        <v>209.7106122376256</v>
      </c>
      <c r="X80" s="27" t="n">
        <v>0.007237686393580061</v>
      </c>
      <c r="Y80" s="26" t="n">
        <v>177.3028059975277</v>
      </c>
      <c r="Z80" s="27" t="n">
        <v>0.008030612623943332</v>
      </c>
      <c r="AA80" s="26" t="n">
        <v>199.5000163297288</v>
      </c>
      <c r="AB80" s="27" t="n">
        <v>0.008102929651455863</v>
      </c>
    </row>
    <row r="81">
      <c r="A81" s="26" t="n">
        <v>147.7679622163731</v>
      </c>
      <c r="B81" s="27" t="n">
        <v>0.01065866267406959</v>
      </c>
      <c r="C81" s="26" t="n">
        <v>161.22289988947</v>
      </c>
      <c r="D81" s="27" t="n">
        <v>0.009726485118643456</v>
      </c>
      <c r="E81" s="26" t="n">
        <v>201.3322031623991</v>
      </c>
      <c r="F81" s="27" t="n">
        <v>0.007585749609140261</v>
      </c>
      <c r="G81" s="26" t="n">
        <v>230.9943111767218</v>
      </c>
      <c r="H81" s="27" t="n">
        <v>0.006385958519947722</v>
      </c>
      <c r="I81" s="26" t="n">
        <v>237.9690171396961</v>
      </c>
      <c r="J81" s="27" t="n">
        <v>0.006210566283956454</v>
      </c>
      <c r="K81" s="26" t="n">
        <v>230.6984031889857</v>
      </c>
      <c r="L81" s="27" t="n">
        <v>0.006445944312444146</v>
      </c>
      <c r="M81" s="26" t="n">
        <v>210.9001036741485</v>
      </c>
      <c r="N81" s="27" t="n">
        <v>0.007258558789886188</v>
      </c>
      <c r="O81" s="26" t="n">
        <v>155.5283708576154</v>
      </c>
      <c r="P81" s="27" t="n">
        <v>0.009538795345860468</v>
      </c>
      <c r="Q81" s="26" t="n">
        <v>194.6866079412033</v>
      </c>
      <c r="R81" s="27" t="n">
        <v>0.008335670881659634</v>
      </c>
      <c r="S81" s="26" t="n">
        <v>176.8660617384256</v>
      </c>
      <c r="T81" s="27" t="n">
        <v>0.009440672928622528</v>
      </c>
      <c r="U81" s="26" t="n">
        <v>203.3024714160041</v>
      </c>
      <c r="V81" s="27" t="n">
        <v>0.007800228178876681</v>
      </c>
      <c r="W81" s="26" t="n">
        <v>209.7887977296784</v>
      </c>
      <c r="X81" s="27" t="n">
        <v>0.0072764640063677</v>
      </c>
      <c r="Y81" s="26" t="n">
        <v>177.4082471641346</v>
      </c>
      <c r="Z81" s="27" t="n">
        <v>0.008064818109540437</v>
      </c>
      <c r="AA81" s="26" t="n">
        <v>199.5802039914354</v>
      </c>
      <c r="AB81" s="27" t="n">
        <v>0.008152942175017844</v>
      </c>
    </row>
    <row r="82">
      <c r="A82" s="26" t="n">
        <v>147.9337238795783</v>
      </c>
      <c r="B82" s="27" t="n">
        <v>0.01071224676157483</v>
      </c>
      <c r="C82" s="26" t="n">
        <v>161.3629494032848</v>
      </c>
      <c r="D82" s="27" t="n">
        <v>0.009777273730513243</v>
      </c>
      <c r="E82" s="26" t="n">
        <v>201.4452608167558</v>
      </c>
      <c r="F82" s="27" t="n">
        <v>0.007625012268086336</v>
      </c>
      <c r="G82" s="26" t="n">
        <v>231.0810336073274</v>
      </c>
      <c r="H82" s="27" t="n">
        <v>0.00641720070412207</v>
      </c>
      <c r="I82" s="26" t="n">
        <v>238.049401568196</v>
      </c>
      <c r="J82" s="27" t="n">
        <v>0.006241343421978406</v>
      </c>
      <c r="K82" s="26" t="n">
        <v>230.774645683342</v>
      </c>
      <c r="L82" s="27" t="n">
        <v>0.006478474024310982</v>
      </c>
      <c r="M82" s="26" t="n">
        <v>210.9914093762343</v>
      </c>
      <c r="N82" s="27" t="n">
        <v>0.007297286900898822</v>
      </c>
      <c r="O82" s="26" t="n">
        <v>155.6527755517039</v>
      </c>
      <c r="P82" s="27" t="n">
        <v>0.009582163777784312</v>
      </c>
      <c r="Q82" s="26" t="n">
        <v>194.7806947168363</v>
      </c>
      <c r="R82" s="27" t="n">
        <v>0.008386148477404366</v>
      </c>
      <c r="S82" s="26" t="n">
        <v>176.972485346457</v>
      </c>
      <c r="T82" s="27" t="n">
        <v>0.009500185146710093</v>
      </c>
      <c r="U82" s="26" t="n">
        <v>203.3875167104564</v>
      </c>
      <c r="V82" s="27" t="n">
        <v>0.007845616400338892</v>
      </c>
      <c r="W82" s="26" t="n">
        <v>209.8669832217312</v>
      </c>
      <c r="X82" s="27" t="n">
        <v>0.00731544979506452</v>
      </c>
      <c r="Y82" s="26" t="n">
        <v>177.5136883307415</v>
      </c>
      <c r="Z82" s="27" t="n">
        <v>0.008099172148803124</v>
      </c>
      <c r="AA82" s="26" t="n">
        <v>199.660391653142</v>
      </c>
      <c r="AB82" s="27" t="n">
        <v>0.00820325797504003</v>
      </c>
    </row>
    <row r="83">
      <c r="A83" s="26" t="n">
        <v>148.0994855427837</v>
      </c>
      <c r="B83" s="27" t="n">
        <v>0.01076611006953834</v>
      </c>
      <c r="C83" s="26" t="n">
        <v>161.5029989170995</v>
      </c>
      <c r="D83" s="27" t="n">
        <v>0.009828332084339884</v>
      </c>
      <c r="E83" s="26" t="n">
        <v>201.5583184711125</v>
      </c>
      <c r="F83" s="27" t="n">
        <v>0.007664479901781714</v>
      </c>
      <c r="G83" s="26" t="n">
        <v>231.167756037933</v>
      </c>
      <c r="H83" s="27" t="n">
        <v>0.006448596623873084</v>
      </c>
      <c r="I83" s="26" t="n">
        <v>238.1297859966959</v>
      </c>
      <c r="J83" s="27" t="n">
        <v>0.006272273769442593</v>
      </c>
      <c r="K83" s="26" t="n">
        <v>230.8508881776984</v>
      </c>
      <c r="L83" s="27" t="n">
        <v>0.006511168550008059</v>
      </c>
      <c r="M83" s="26" t="n">
        <v>211.0827150783202</v>
      </c>
      <c r="N83" s="27" t="n">
        <v>0.007336222304304119</v>
      </c>
      <c r="O83" s="26" t="n">
        <v>155.7771802457925</v>
      </c>
      <c r="P83" s="27" t="n">
        <v>0.009625735462562988</v>
      </c>
      <c r="Q83" s="26" t="n">
        <v>194.8747814924692</v>
      </c>
      <c r="R83" s="27" t="n">
        <v>0.008436927159240845</v>
      </c>
      <c r="S83" s="26" t="n">
        <v>177.0789089544884</v>
      </c>
      <c r="T83" s="27" t="n">
        <v>0.009560062833910888</v>
      </c>
      <c r="U83" s="26" t="n">
        <v>203.4725620049086</v>
      </c>
      <c r="V83" s="27" t="n">
        <v>0.007891266796647664</v>
      </c>
      <c r="W83" s="26" t="n">
        <v>209.945168713784</v>
      </c>
      <c r="X83" s="27" t="n">
        <v>0.007354644874066622</v>
      </c>
      <c r="Y83" s="26" t="n">
        <v>177.6191294973484</v>
      </c>
      <c r="Z83" s="27" t="n">
        <v>0.00813367539543036</v>
      </c>
      <c r="AA83" s="26" t="n">
        <v>199.7405793148486</v>
      </c>
      <c r="AB83" s="27" t="n">
        <v>0.008253878823097392</v>
      </c>
    </row>
    <row r="84">
      <c r="A84" s="26" t="n">
        <v>148.265247205989</v>
      </c>
      <c r="B84" s="27" t="n">
        <v>0.01082025404837235</v>
      </c>
      <c r="C84" s="26" t="n">
        <v>161.6430484309143</v>
      </c>
      <c r="D84" s="27" t="n">
        <v>0.00987966160550109</v>
      </c>
      <c r="E84" s="26" t="n">
        <v>201.6713761254692</v>
      </c>
      <c r="F84" s="27" t="n">
        <v>0.007704153581566369</v>
      </c>
      <c r="G84" s="26" t="n">
        <v>231.2544784685385</v>
      </c>
      <c r="H84" s="27" t="n">
        <v>0.006480147039111196</v>
      </c>
      <c r="I84" s="26" t="n">
        <v>238.2101704251959</v>
      </c>
      <c r="J84" s="27" t="n">
        <v>0.006303358091664699</v>
      </c>
      <c r="K84" s="26" t="n">
        <v>230.9271306720547</v>
      </c>
      <c r="L84" s="27" t="n">
        <v>0.006544028726763419</v>
      </c>
      <c r="M84" s="26" t="n">
        <v>211.174020780406</v>
      </c>
      <c r="N84" s="27" t="n">
        <v>0.007375366106546159</v>
      </c>
      <c r="O84" s="26" t="n">
        <v>155.901584939881</v>
      </c>
      <c r="P84" s="27" t="n">
        <v>0.009669511368993768</v>
      </c>
      <c r="Q84" s="26" t="n">
        <v>194.9688682681021</v>
      </c>
      <c r="R84" s="27" t="n">
        <v>0.008488008660841971</v>
      </c>
      <c r="S84" s="26" t="n">
        <v>177.1853325625198</v>
      </c>
      <c r="T84" s="27" t="n">
        <v>0.00962030811371987</v>
      </c>
      <c r="U84" s="26" t="n">
        <v>203.5576072993609</v>
      </c>
      <c r="V84" s="27" t="n">
        <v>0.007937180850796989</v>
      </c>
      <c r="W84" s="26" t="n">
        <v>210.0233542058368</v>
      </c>
      <c r="X84" s="27" t="n">
        <v>0.007394050363654699</v>
      </c>
      <c r="Y84" s="26" t="n">
        <v>177.7245706639553</v>
      </c>
      <c r="Z84" s="27" t="n">
        <v>0.008168328506026504</v>
      </c>
      <c r="AA84" s="26" t="n">
        <v>199.8207669765551</v>
      </c>
      <c r="AB84" s="27" t="n">
        <v>0.008304806500318718</v>
      </c>
    </row>
    <row r="85">
      <c r="A85" s="26" t="n">
        <v>148.4310088691943</v>
      </c>
      <c r="B85" s="27" t="n">
        <v>0.01087468015573747</v>
      </c>
      <c r="C85" s="26" t="n">
        <v>161.7830979447291</v>
      </c>
      <c r="D85" s="27" t="n">
        <v>0.009931263726641448</v>
      </c>
      <c r="E85" s="26" t="n">
        <v>201.784433779826</v>
      </c>
      <c r="F85" s="27" t="n">
        <v>0.007744034384312821</v>
      </c>
      <c r="G85" s="26" t="n">
        <v>231.3412008991441</v>
      </c>
      <c r="H85" s="27" t="n">
        <v>0.006511852713513656</v>
      </c>
      <c r="I85" s="26" t="n">
        <v>238.2905548536958</v>
      </c>
      <c r="J85" s="27" t="n">
        <v>0.006334597157790182</v>
      </c>
      <c r="K85" s="26" t="n">
        <v>231.0033731664111</v>
      </c>
      <c r="L85" s="27" t="n">
        <v>0.006577055396057604</v>
      </c>
      <c r="M85" s="26" t="n">
        <v>211.2653264824918</v>
      </c>
      <c r="N85" s="27" t="n">
        <v>0.007414719419884251</v>
      </c>
      <c r="O85" s="26" t="n">
        <v>156.0259896339696</v>
      </c>
      <c r="P85" s="27" t="n">
        <v>0.009713492470539231</v>
      </c>
      <c r="Q85" s="26" t="n">
        <v>195.0629550437351</v>
      </c>
      <c r="R85" s="27" t="n">
        <v>0.008539394725111425</v>
      </c>
      <c r="S85" s="26" t="n">
        <v>177.2917561705511</v>
      </c>
      <c r="T85" s="27" t="n">
        <v>0.009680923120583588</v>
      </c>
      <c r="U85" s="26" t="n">
        <v>203.6426525938133</v>
      </c>
      <c r="V85" s="27" t="n">
        <v>0.007983360053758971</v>
      </c>
      <c r="W85" s="26" t="n">
        <v>210.1015396978896</v>
      </c>
      <c r="X85" s="27" t="n">
        <v>0.007433667390023488</v>
      </c>
      <c r="Y85" s="26" t="n">
        <v>177.8300118305623</v>
      </c>
      <c r="Z85" s="27" t="n">
        <v>0.008203132140114616</v>
      </c>
      <c r="AA85" s="26" t="n">
        <v>199.9009546382617</v>
      </c>
      <c r="AB85" s="27" t="n">
        <v>0.008356042797428744</v>
      </c>
    </row>
    <row r="86">
      <c r="A86" s="26" t="n">
        <v>148.5967705323996</v>
      </c>
      <c r="B86" s="27" t="n">
        <v>0.01092938985657477</v>
      </c>
      <c r="C86" s="26" t="n">
        <v>161.9231474585439</v>
      </c>
      <c r="D86" s="27" t="n">
        <v>0.009983139887705942</v>
      </c>
      <c r="E86" s="26" t="n">
        <v>201.8974914341827</v>
      </c>
      <c r="F86" s="27" t="n">
        <v>0.007784123392453655</v>
      </c>
      <c r="G86" s="26" t="n">
        <v>231.4279233297497</v>
      </c>
      <c r="H86" s="27" t="n">
        <v>0.006543714414542939</v>
      </c>
      <c r="I86" s="26" t="n">
        <v>238.3709392821957</v>
      </c>
      <c r="J86" s="27" t="n">
        <v>0.006365991740812809</v>
      </c>
      <c r="K86" s="26" t="n">
        <v>231.0796156607674</v>
      </c>
      <c r="L86" s="27" t="n">
        <v>0.006610249403645478</v>
      </c>
      <c r="M86" s="26" t="n">
        <v>211.3566321845777</v>
      </c>
      <c r="N86" s="27" t="n">
        <v>0.007454283362422143</v>
      </c>
      <c r="O86" s="26" t="n">
        <v>156.1503943280581</v>
      </c>
      <c r="P86" s="27" t="n">
        <v>0.009757679745349197</v>
      </c>
      <c r="Q86" s="26" t="n">
        <v>195.157041819368</v>
      </c>
      <c r="R86" s="27" t="n">
        <v>0.008591087104224278</v>
      </c>
      <c r="S86" s="26" t="n">
        <v>177.3981797785825</v>
      </c>
      <c r="T86" s="27" t="n">
        <v>0.009741909999941114</v>
      </c>
      <c r="U86" s="26" t="n">
        <v>203.7276978882656</v>
      </c>
      <c r="V86" s="27" t="n">
        <v>0.008029805904522042</v>
      </c>
      <c r="W86" s="26" t="n">
        <v>210.1797251899424</v>
      </c>
      <c r="X86" s="27" t="n">
        <v>0.007473497085312111</v>
      </c>
      <c r="Y86" s="26" t="n">
        <v>177.9354529971692</v>
      </c>
      <c r="Z86" s="27" t="n">
        <v>0.008238086960149403</v>
      </c>
      <c r="AA86" s="26" t="n">
        <v>199.9811422999683</v>
      </c>
      <c r="AB86" s="27" t="n">
        <v>0.008407589514790648</v>
      </c>
    </row>
    <row r="87">
      <c r="A87" s="26" t="n">
        <v>148.7625321956049</v>
      </c>
      <c r="B87" s="27" t="n">
        <v>0.01098438462313758</v>
      </c>
      <c r="C87" s="26" t="n">
        <v>162.0631969723587</v>
      </c>
      <c r="D87" s="27" t="n">
        <v>0.01003529153597289</v>
      </c>
      <c r="E87" s="26" t="n">
        <v>202.0105490885394</v>
      </c>
      <c r="F87" s="27" t="n">
        <v>0.007824421694008857</v>
      </c>
      <c r="G87" s="26" t="n">
        <v>231.5146457603553</v>
      </c>
      <c r="H87" s="27" t="n">
        <v>0.006575732913465594</v>
      </c>
      <c r="I87" s="26" t="n">
        <v>238.4513237106957</v>
      </c>
      <c r="J87" s="27" t="n">
        <v>0.00639754261759447</v>
      </c>
      <c r="K87" s="26" t="n">
        <v>231.1558581551238</v>
      </c>
      <c r="L87" s="27" t="n">
        <v>0.006643611599577436</v>
      </c>
      <c r="M87" s="26" t="n">
        <v>211.4479378866635</v>
      </c>
      <c r="N87" s="27" t="n">
        <v>0.007494059058137336</v>
      </c>
      <c r="O87" s="26" t="n">
        <v>156.2747990221467</v>
      </c>
      <c r="P87" s="27" t="n">
        <v>0.009802074176283726</v>
      </c>
      <c r="Q87" s="26" t="n">
        <v>195.251128595001</v>
      </c>
      <c r="R87" s="27" t="n">
        <v>0.008643087559667176</v>
      </c>
      <c r="S87" s="26" t="n">
        <v>177.5046033866139</v>
      </c>
      <c r="T87" s="27" t="n">
        <v>0.009803270908264536</v>
      </c>
      <c r="U87" s="26" t="n">
        <v>203.8127431827179</v>
      </c>
      <c r="V87" s="27" t="n">
        <v>0.008076519910128494</v>
      </c>
      <c r="W87" s="26" t="n">
        <v>210.2579106819952</v>
      </c>
      <c r="X87" s="27" t="n">
        <v>0.007513540587633919</v>
      </c>
      <c r="Y87" s="26" t="n">
        <v>178.0408941637761</v>
      </c>
      <c r="Z87" s="27" t="n">
        <v>0.008273193631530416</v>
      </c>
      <c r="AA87" s="26" t="n">
        <v>200.0613299616749</v>
      </c>
      <c r="AB87" s="27" t="n">
        <v>0.008459448462448357</v>
      </c>
    </row>
    <row r="88">
      <c r="A88" s="26" t="n">
        <v>148.9282938588102</v>
      </c>
      <c r="B88" s="27" t="n">
        <v>0.01103966593502332</v>
      </c>
      <c r="C88" s="26" t="n">
        <v>162.2032464861734</v>
      </c>
      <c r="D88" s="27" t="n">
        <v>0.01008772012608742</v>
      </c>
      <c r="E88" s="26" t="n">
        <v>202.1236067428961</v>
      </c>
      <c r="F88" s="27" t="n">
        <v>0.007864930382613473</v>
      </c>
      <c r="G88" s="26" t="n">
        <v>231.6013681909608</v>
      </c>
      <c r="H88" s="27" t="n">
        <v>0.006607908985371246</v>
      </c>
      <c r="I88" s="26" t="n">
        <v>238.5317081391956</v>
      </c>
      <c r="J88" s="27" t="n">
        <v>0.006429250568883929</v>
      </c>
      <c r="K88" s="26" t="n">
        <v>231.2321006494801</v>
      </c>
      <c r="L88" s="27" t="n">
        <v>0.006677142838221461</v>
      </c>
      <c r="M88" s="26" t="n">
        <v>211.5392435887494</v>
      </c>
      <c r="N88" s="27" t="n">
        <v>0.007534047636910312</v>
      </c>
      <c r="O88" s="26" t="n">
        <v>156.3992037162352</v>
      </c>
      <c r="P88" s="27" t="n">
        <v>0.009846676750935609</v>
      </c>
      <c r="Q88" s="26" t="n">
        <v>195.3452153706339</v>
      </c>
      <c r="R88" s="27" t="n">
        <v>0.008695397862278771</v>
      </c>
      <c r="S88" s="26" t="n">
        <v>177.6110269946453</v>
      </c>
      <c r="T88" s="27" t="n">
        <v>0.009865008013099875</v>
      </c>
      <c r="U88" s="26" t="n">
        <v>203.8977884771702</v>
      </c>
      <c r="V88" s="27" t="n">
        <v>0.008123503585713005</v>
      </c>
      <c r="W88" s="26" t="n">
        <v>210.336096174048</v>
      </c>
      <c r="X88" s="27" t="n">
        <v>0.007553799041106703</v>
      </c>
      <c r="Y88" s="26" t="n">
        <v>178.146335330383</v>
      </c>
      <c r="Z88" s="27" t="n">
        <v>0.008308452822615189</v>
      </c>
      <c r="AA88" s="26" t="n">
        <v>200.1415176233815</v>
      </c>
      <c r="AB88" s="27" t="n">
        <v>0.008511621460169011</v>
      </c>
    </row>
    <row r="89">
      <c r="A89" s="26" t="n">
        <v>149.0940555220155</v>
      </c>
      <c r="B89" s="27" t="n">
        <v>0.01109523527920558</v>
      </c>
      <c r="C89" s="26" t="n">
        <v>162.3432959999882</v>
      </c>
      <c r="D89" s="27" t="n">
        <v>0.01014042712009505</v>
      </c>
      <c r="E89" s="26" t="n">
        <v>202.2366643972529</v>
      </c>
      <c r="F89" s="27" t="n">
        <v>0.007905650557545232</v>
      </c>
      <c r="G89" s="26" t="n">
        <v>231.6880906215664</v>
      </c>
      <c r="H89" s="27" t="n">
        <v>0.006640243409191248</v>
      </c>
      <c r="I89" s="26" t="n">
        <v>238.6120925676956</v>
      </c>
      <c r="J89" s="27" t="n">
        <v>0.006461116379336636</v>
      </c>
      <c r="K89" s="26" t="n">
        <v>231.3083431438365</v>
      </c>
      <c r="L89" s="27" t="n">
        <v>0.006710843978284456</v>
      </c>
      <c r="M89" s="26" t="n">
        <v>211.6305492908352</v>
      </c>
      <c r="N89" s="27" t="n">
        <v>0.007574250234554236</v>
      </c>
      <c r="O89" s="26" t="n">
        <v>156.5236084103237</v>
      </c>
      <c r="P89" s="27" t="n">
        <v>0.009891488461653089</v>
      </c>
      <c r="Q89" s="26" t="n">
        <v>195.4393021462669</v>
      </c>
      <c r="R89" s="27" t="n">
        <v>0.008748019792290392</v>
      </c>
      <c r="S89" s="26" t="n">
        <v>177.7174506026766</v>
      </c>
      <c r="T89" s="27" t="n">
        <v>0.009927123493107514</v>
      </c>
      <c r="U89" s="26" t="n">
        <v>203.9828337716225</v>
      </c>
      <c r="V89" s="27" t="n">
        <v>0.008170758454540517</v>
      </c>
      <c r="W89" s="26" t="n">
        <v>210.4142816661008</v>
      </c>
      <c r="X89" s="27" t="n">
        <v>0.007594273595883204</v>
      </c>
      <c r="Y89" s="26" t="n">
        <v>178.2517764969899</v>
      </c>
      <c r="Z89" s="27" t="n">
        <v>0.008343865204732572</v>
      </c>
      <c r="AA89" s="26" t="n">
        <v>200.2217052850881</v>
      </c>
      <c r="AB89" s="27" t="n">
        <v>0.008564110337485506</v>
      </c>
    </row>
    <row r="90">
      <c r="A90" s="26" t="n">
        <v>149.2598171852208</v>
      </c>
      <c r="B90" s="27" t="n">
        <v>0.01115109415006645</v>
      </c>
      <c r="C90" s="26" t="n">
        <v>162.483345513803</v>
      </c>
      <c r="D90" s="27" t="n">
        <v>0.01019341398747511</v>
      </c>
      <c r="E90" s="26" t="n">
        <v>202.3497220516096</v>
      </c>
      <c r="F90" s="27" t="n">
        <v>0.007946583323752494</v>
      </c>
      <c r="G90" s="26" t="n">
        <v>231.774813052172</v>
      </c>
      <c r="H90" s="27" t="n">
        <v>0.00667273696771786</v>
      </c>
      <c r="I90" s="26" t="n">
        <v>238.6924769961955</v>
      </c>
      <c r="J90" s="27" t="n">
        <v>0.006493140837533919</v>
      </c>
      <c r="K90" s="26" t="n">
        <v>231.3845856381928</v>
      </c>
      <c r="L90" s="27" t="n">
        <v>0.006744715882834479</v>
      </c>
      <c r="M90" s="26" t="n">
        <v>211.721854992921</v>
      </c>
      <c r="N90" s="27" t="n">
        <v>0.007614667992844505</v>
      </c>
      <c r="O90" s="26" t="n">
        <v>156.6480131044123</v>
      </c>
      <c r="P90" s="27" t="n">
        <v>0.009936510305563024</v>
      </c>
      <c r="Q90" s="26" t="n">
        <v>195.5333889218998</v>
      </c>
      <c r="R90" s="27" t="n">
        <v>0.008800955139366348</v>
      </c>
      <c r="S90" s="26" t="n">
        <v>177.823874210708</v>
      </c>
      <c r="T90" s="27" t="n">
        <v>0.009989619538102653</v>
      </c>
      <c r="U90" s="26" t="n">
        <v>204.0678790660748</v>
      </c>
      <c r="V90" s="27" t="n">
        <v>0.008218286048044504</v>
      </c>
      <c r="W90" s="26" t="n">
        <v>210.4924671581536</v>
      </c>
      <c r="X90" s="27" t="n">
        <v>0.007634965408181424</v>
      </c>
      <c r="Y90" s="26" t="n">
        <v>178.3572176635968</v>
      </c>
      <c r="Z90" s="27" t="n">
        <v>0.008379431452195931</v>
      </c>
      <c r="AA90" s="26" t="n">
        <v>200.3018929467947</v>
      </c>
      <c r="AB90" s="27" t="n">
        <v>0.008616916933738899</v>
      </c>
    </row>
    <row r="91">
      <c r="A91" s="26" t="n">
        <v>149.4255788484261</v>
      </c>
      <c r="B91" s="27" t="n">
        <v>0.01120724404942841</v>
      </c>
      <c r="C91" s="26" t="n">
        <v>162.6233950276178</v>
      </c>
      <c r="D91" s="27" t="n">
        <v>0.01024668220517463</v>
      </c>
      <c r="E91" s="26" t="n">
        <v>202.4627797059663</v>
      </c>
      <c r="F91" s="27" t="n">
        <v>0.00798772979188199</v>
      </c>
      <c r="G91" s="26" t="n">
        <v>231.8615354827776</v>
      </c>
      <c r="H91" s="27" t="n">
        <v>0.006705390447623316</v>
      </c>
      <c r="I91" s="26" t="n">
        <v>238.7728614246955</v>
      </c>
      <c r="J91" s="27" t="n">
        <v>0.006525324736002825</v>
      </c>
      <c r="K91" s="26" t="n">
        <v>231.4608281325492</v>
      </c>
      <c r="L91" s="27" t="n">
        <v>0.006778759419322416</v>
      </c>
      <c r="M91" s="26" t="n">
        <v>211.8131606950069</v>
      </c>
      <c r="N91" s="27" t="n">
        <v>0.007655302059548752</v>
      </c>
      <c r="O91" s="26" t="n">
        <v>156.7724177985008</v>
      </c>
      <c r="P91" s="27" t="n">
        <v>0.009981743284593518</v>
      </c>
      <c r="Q91" s="26" t="n">
        <v>195.6274756975328</v>
      </c>
      <c r="R91" s="27" t="n">
        <v>0.008854205702644807</v>
      </c>
      <c r="S91" s="26" t="n">
        <v>177.9302978187394</v>
      </c>
      <c r="T91" s="27" t="n">
        <v>0.01005249834909624</v>
      </c>
      <c r="U91" s="26" t="n">
        <v>204.1529243605271</v>
      </c>
      <c r="V91" s="27" t="n">
        <v>0.008266087905865752</v>
      </c>
      <c r="W91" s="26" t="n">
        <v>210.5706526502065</v>
      </c>
      <c r="X91" s="27" t="n">
        <v>0.007675875640315485</v>
      </c>
      <c r="Y91" s="26" t="n">
        <v>178.4626588302037</v>
      </c>
      <c r="Z91" s="27" t="n">
        <v>0.008415152242316638</v>
      </c>
      <c r="AA91" s="26" t="n">
        <v>200.3820806085013</v>
      </c>
      <c r="AB91" s="27" t="n">
        <v>0.008670043098121451</v>
      </c>
    </row>
    <row r="92">
      <c r="A92" s="26" t="n">
        <v>149.5913405116315</v>
      </c>
      <c r="B92" s="27" t="n">
        <v>0.01126368648658668</v>
      </c>
      <c r="C92" s="26" t="n">
        <v>162.7634445414325</v>
      </c>
      <c r="D92" s="27" t="n">
        <v>0.01030023325764201</v>
      </c>
      <c r="E92" s="26" t="n">
        <v>202.575837360323</v>
      </c>
      <c r="F92" s="27" t="n">
        <v>0.008029091078307076</v>
      </c>
      <c r="G92" s="26" t="n">
        <v>231.9482579133831</v>
      </c>
      <c r="H92" s="27" t="n">
        <v>0.006738204639479058</v>
      </c>
      <c r="I92" s="26" t="n">
        <v>238.8532458531953</v>
      </c>
      <c r="J92" s="27" t="n">
        <v>0.006557668871235533</v>
      </c>
      <c r="K92" s="26" t="n">
        <v>231.5370706269055</v>
      </c>
      <c r="L92" s="27" t="n">
        <v>0.006812975459604302</v>
      </c>
      <c r="M92" s="26" t="n">
        <v>211.9044663970927</v>
      </c>
      <c r="N92" s="27" t="n">
        <v>0.007696153588456491</v>
      </c>
      <c r="O92" s="26" t="n">
        <v>156.8968224925894</v>
      </c>
      <c r="P92" s="27" t="n">
        <v>0.01002718840549719</v>
      </c>
      <c r="Q92" s="26" t="n">
        <v>195.7215624731658</v>
      </c>
      <c r="R92" s="27" t="n">
        <v>0.008907773290778241</v>
      </c>
      <c r="S92" s="26" t="n">
        <v>178.0367214267708</v>
      </c>
      <c r="T92" s="27" t="n">
        <v>0.01011576213833479</v>
      </c>
      <c r="U92" s="26" t="n">
        <v>204.2379696549794</v>
      </c>
      <c r="V92" s="27" t="n">
        <v>0.008314165575890488</v>
      </c>
      <c r="W92" s="26" t="n">
        <v>210.6488381422593</v>
      </c>
      <c r="X92" s="27" t="n">
        <v>0.007717005460725988</v>
      </c>
      <c r="Y92" s="26" t="n">
        <v>178.5680999968106</v>
      </c>
      <c r="Z92" s="27" t="n">
        <v>0.008451028255417478</v>
      </c>
      <c r="AA92" s="26" t="n">
        <v>200.4622682702079</v>
      </c>
      <c r="AB92" s="27" t="n">
        <v>0.008723490689718975</v>
      </c>
    </row>
    <row r="93">
      <c r="A93" s="26" t="n">
        <v>149.7571021748367</v>
      </c>
      <c r="B93" s="27" t="n">
        <v>0.01132042297834186</v>
      </c>
      <c r="C93" s="26" t="n">
        <v>162.9034940552473</v>
      </c>
      <c r="D93" s="27" t="n">
        <v>0.01035406863686065</v>
      </c>
      <c r="E93" s="26" t="n">
        <v>202.6888950146798</v>
      </c>
      <c r="F93" s="27" t="n">
        <v>0.008070668305155881</v>
      </c>
      <c r="G93" s="26" t="n">
        <v>232.0349803439887</v>
      </c>
      <c r="H93" s="27" t="n">
        <v>0.006771180337775023</v>
      </c>
      <c r="I93" s="26" t="n">
        <v>238.9336302816953</v>
      </c>
      <c r="J93" s="27" t="n">
        <v>0.006590174043709375</v>
      </c>
      <c r="K93" s="26" t="n">
        <v>231.6133131212619</v>
      </c>
      <c r="L93" s="27" t="n">
        <v>0.006847364879963429</v>
      </c>
      <c r="M93" s="26" t="n">
        <v>211.9957720991785</v>
      </c>
      <c r="N93" s="27" t="n">
        <v>0.007737223739409308</v>
      </c>
      <c r="O93" s="26" t="n">
        <v>157.0212271866779</v>
      </c>
      <c r="P93" s="27" t="n">
        <v>0.01007284667987448</v>
      </c>
      <c r="Q93" s="26" t="n">
        <v>195.8156492487987</v>
      </c>
      <c r="R93" s="27" t="n">
        <v>0.008961659721974369</v>
      </c>
      <c r="S93" s="26" t="n">
        <v>178.1431450348021</v>
      </c>
      <c r="T93" s="27" t="n">
        <v>0.01017941312934147</v>
      </c>
      <c r="U93" s="26" t="n">
        <v>204.3230149494318</v>
      </c>
      <c r="V93" s="27" t="n">
        <v>0.008362520614289269</v>
      </c>
      <c r="W93" s="26" t="n">
        <v>210.727023634312</v>
      </c>
      <c r="X93" s="27" t="n">
        <v>0.007758356044011453</v>
      </c>
      <c r="Y93" s="26" t="n">
        <v>178.6735411634175</v>
      </c>
      <c r="Z93" s="27" t="n">
        <v>0.008487060174846012</v>
      </c>
      <c r="AA93" s="26" t="n">
        <v>200.5424559319145</v>
      </c>
      <c r="AB93" s="27" t="n">
        <v>0.008777261577553975</v>
      </c>
    </row>
    <row r="94">
      <c r="A94" s="26" t="n">
        <v>149.9228638380421</v>
      </c>
      <c r="B94" s="27" t="n">
        <v>0.0113774550490319</v>
      </c>
      <c r="C94" s="26" t="n">
        <v>163.0435435690621</v>
      </c>
      <c r="D94" s="27" t="n">
        <v>0.01040818984238342</v>
      </c>
      <c r="E94" s="26" t="n">
        <v>202.8019526690365</v>
      </c>
      <c r="F94" s="27" t="n">
        <v>0.008112462600339572</v>
      </c>
      <c r="G94" s="26" t="n">
        <v>232.1217027745942</v>
      </c>
      <c r="H94" s="27" t="n">
        <v>0.006804318340938987</v>
      </c>
      <c r="I94" s="26" t="n">
        <v>239.0140147101953</v>
      </c>
      <c r="J94" s="27" t="n">
        <v>0.006622841057906574</v>
      </c>
      <c r="K94" s="26" t="n">
        <v>231.6895556156182</v>
      </c>
      <c r="L94" s="27" t="n">
        <v>0.006881928561132625</v>
      </c>
      <c r="M94" s="26" t="n">
        <v>212.0870778012643</v>
      </c>
      <c r="N94" s="27" t="n">
        <v>0.007778513678331151</v>
      </c>
      <c r="O94" s="26" t="n">
        <v>157.1456318807665</v>
      </c>
      <c r="P94" s="27" t="n">
        <v>0.01011871912419674</v>
      </c>
      <c r="Q94" s="26" t="n">
        <v>195.9097360244316</v>
      </c>
      <c r="R94" s="27" t="n">
        <v>0.009015866824036826</v>
      </c>
      <c r="S94" s="26" t="n">
        <v>178.2495686428335</v>
      </c>
      <c r="T94" s="27" t="n">
        <v>0.01024345355695588</v>
      </c>
      <c r="U94" s="26" t="n">
        <v>204.408060243884</v>
      </c>
      <c r="V94" s="27" t="n">
        <v>0.008411154585555617</v>
      </c>
      <c r="W94" s="26" t="n">
        <v>210.8052091263648</v>
      </c>
      <c r="X94" s="27" t="n">
        <v>0.007799928570958816</v>
      </c>
      <c r="Y94" s="26" t="n">
        <v>178.7789823300245</v>
      </c>
      <c r="Z94" s="27" t="n">
        <v>0.008523248686988335</v>
      </c>
      <c r="AA94" s="26" t="n">
        <v>200.6226435936211</v>
      </c>
      <c r="AB94" s="27" t="n">
        <v>0.00883135764062809</v>
      </c>
    </row>
    <row r="95">
      <c r="A95" s="26" t="n">
        <v>150.0886255012474</v>
      </c>
      <c r="B95" s="27" t="n">
        <v>0.01143478423056503</v>
      </c>
      <c r="C95" s="26" t="n">
        <v>163.1835930828769</v>
      </c>
      <c r="D95" s="27" t="n">
        <v>0.01046259838136636</v>
      </c>
      <c r="E95" s="26" t="n">
        <v>202.9150103233932</v>
      </c>
      <c r="F95" s="27" t="n">
        <v>0.008154475097580641</v>
      </c>
      <c r="G95" s="26" t="n">
        <v>232.2084252051998</v>
      </c>
      <c r="H95" s="27" t="n">
        <v>0.006837619451356095</v>
      </c>
      <c r="I95" s="26" t="n">
        <v>239.0943991386952</v>
      </c>
      <c r="J95" s="27" t="n">
        <v>0.006655670722334323</v>
      </c>
      <c r="K95" s="26" t="n">
        <v>231.7657981099746</v>
      </c>
      <c r="L95" s="27" t="n">
        <v>0.0069166673883166</v>
      </c>
      <c r="M95" s="26" t="n">
        <v>212.1783835033502</v>
      </c>
      <c r="N95" s="27" t="n">
        <v>0.007820024577258285</v>
      </c>
      <c r="O95" s="26" t="n">
        <v>157.270036574855</v>
      </c>
      <c r="P95" s="27" t="n">
        <v>0.01016480675982987</v>
      </c>
      <c r="Q95" s="26" t="n">
        <v>196.0038228000646</v>
      </c>
      <c r="R95" s="27" t="n">
        <v>0.00907039643440603</v>
      </c>
      <c r="S95" s="26" t="n">
        <v>178.3559922508649</v>
      </c>
      <c r="T95" s="27" t="n">
        <v>0.01030788566737458</v>
      </c>
      <c r="U95" s="26" t="n">
        <v>204.4931055383363</v>
      </c>
      <c r="V95" s="27" t="n">
        <v>0.008460069062545077</v>
      </c>
      <c r="W95" s="26" t="n">
        <v>210.8833946184176</v>
      </c>
      <c r="X95" s="27" t="n">
        <v>0.007841724228575021</v>
      </c>
      <c r="Y95" s="26" t="n">
        <v>178.8844234966314</v>
      </c>
      <c r="Z95" s="27" t="n">
        <v>0.008559594481282603</v>
      </c>
      <c r="AA95" s="26" t="n">
        <v>200.7028312553277</v>
      </c>
      <c r="AB95" s="27" t="n">
        <v>0.008885780767965369</v>
      </c>
    </row>
    <row r="96">
      <c r="A96" s="26" t="n">
        <v>150.2543871644527</v>
      </c>
      <c r="B96" s="27" t="n">
        <v>0.01149241206245216</v>
      </c>
      <c r="C96" s="26" t="n">
        <v>163.3236425966917</v>
      </c>
      <c r="D96" s="27" t="n">
        <v>0.01051729576860298</v>
      </c>
      <c r="E96" s="26" t="n">
        <v>203.0280679777499</v>
      </c>
      <c r="F96" s="27" t="n">
        <v>0.008196706936441643</v>
      </c>
      <c r="G96" s="26" t="n">
        <v>232.2951476358054</v>
      </c>
      <c r="H96" s="27" t="n">
        <v>0.00687108447538853</v>
      </c>
      <c r="I96" s="26" t="n">
        <v>239.1747835671951</v>
      </c>
      <c r="J96" s="27" t="n">
        <v>0.006688663849544606</v>
      </c>
      <c r="K96" s="26" t="n">
        <v>231.842040604331</v>
      </c>
      <c r="L96" s="27" t="n">
        <v>0.006951582251214646</v>
      </c>
      <c r="M96" s="26" t="n">
        <v>212.2696892054361</v>
      </c>
      <c r="N96" s="27" t="n">
        <v>0.007861757614370168</v>
      </c>
      <c r="O96" s="26" t="n">
        <v>157.3944412689436</v>
      </c>
      <c r="P96" s="27" t="n">
        <v>0.01021111061305771</v>
      </c>
      <c r="Q96" s="26" t="n">
        <v>196.0979095756975</v>
      </c>
      <c r="R96" s="27" t="n">
        <v>0.009125250400200121</v>
      </c>
      <c r="S96" s="26" t="n">
        <v>178.4624158588962</v>
      </c>
      <c r="T96" s="27" t="n">
        <v>0.01037271171819129</v>
      </c>
      <c r="U96" s="26" t="n">
        <v>204.5781508327887</v>
      </c>
      <c r="V96" s="27" t="n">
        <v>0.008509265626513879</v>
      </c>
      <c r="W96" s="26" t="n">
        <v>210.9615801104705</v>
      </c>
      <c r="X96" s="27" t="n">
        <v>0.007883744210117954</v>
      </c>
      <c r="Y96" s="26" t="n">
        <v>178.9898646632383</v>
      </c>
      <c r="Z96" s="27" t="n">
        <v>0.00859609825023272</v>
      </c>
      <c r="AA96" s="26" t="n">
        <v>200.7830189170343</v>
      </c>
      <c r="AB96" s="27" t="n">
        <v>0.008940532858654968</v>
      </c>
    </row>
    <row r="97">
      <c r="A97" s="26" t="n">
        <v>150.420148827658</v>
      </c>
      <c r="B97" s="27" t="n">
        <v>0.01155034009183938</v>
      </c>
      <c r="C97" s="26" t="n">
        <v>163.4636921105064</v>
      </c>
      <c r="D97" s="27" t="n">
        <v>0.01057228352655849</v>
      </c>
      <c r="E97" s="26" t="n">
        <v>203.1411256321067</v>
      </c>
      <c r="F97" s="27" t="n">
        <v>0.008239159262353872</v>
      </c>
      <c r="G97" s="26" t="n">
        <v>232.381870066411</v>
      </c>
      <c r="H97" s="27" t="n">
        <v>0.006904714223394951</v>
      </c>
      <c r="I97" s="26" t="n">
        <v>239.255167995695</v>
      </c>
      <c r="J97" s="27" t="n">
        <v>0.006721821256154724</v>
      </c>
      <c r="K97" s="26" t="n">
        <v>231.9182830986873</v>
      </c>
      <c r="L97" s="27" t="n">
        <v>0.006986674044043124</v>
      </c>
      <c r="M97" s="26" t="n">
        <v>212.3609949075219</v>
      </c>
      <c r="N97" s="27" t="n">
        <v>0.007903713974019564</v>
      </c>
      <c r="O97" s="26" t="n">
        <v>157.5188459630321</v>
      </c>
      <c r="P97" s="27" t="n">
        <v>0.01025763171510587</v>
      </c>
      <c r="Q97" s="26" t="n">
        <v>196.1919963513305</v>
      </c>
      <c r="R97" s="27" t="n">
        <v>0.009180430578255955</v>
      </c>
      <c r="S97" s="26" t="n">
        <v>178.5688394669276</v>
      </c>
      <c r="T97" s="27" t="n">
        <v>0.01043793397843692</v>
      </c>
      <c r="U97" s="26" t="n">
        <v>204.663196127241</v>
      </c>
      <c r="V97" s="27" t="n">
        <v>0.008558745867158352</v>
      </c>
      <c r="W97" s="26" t="n">
        <v>211.0397656025233</v>
      </c>
      <c r="X97" s="27" t="n">
        <v>0.007925989715128213</v>
      </c>
      <c r="Y97" s="26" t="n">
        <v>179.0953058298452</v>
      </c>
      <c r="Z97" s="27" t="n">
        <v>0.008632760689421924</v>
      </c>
      <c r="AA97" s="26" t="n">
        <v>200.8632065787409</v>
      </c>
      <c r="AB97" s="27" t="n">
        <v>0.008995615821894403</v>
      </c>
    </row>
    <row r="98">
      <c r="A98" s="26" t="n">
        <v>150.5859104908633</v>
      </c>
      <c r="B98" s="27" t="n">
        <v>0.01160856987354117</v>
      </c>
      <c r="C98" s="26" t="n">
        <v>163.6037416243212</v>
      </c>
      <c r="D98" s="27" t="n">
        <v>0.01062756318540412</v>
      </c>
      <c r="E98" s="26" t="n">
        <v>203.2541832864634</v>
      </c>
      <c r="F98" s="27" t="n">
        <v>0.008281833226645816</v>
      </c>
      <c r="G98" s="26" t="n">
        <v>232.4685924970165</v>
      </c>
      <c r="H98" s="27" t="n">
        <v>0.006938509509750475</v>
      </c>
      <c r="I98" s="26" t="n">
        <v>239.335552424195</v>
      </c>
      <c r="J98" s="27" t="n">
        <v>0.006755143762867354</v>
      </c>
      <c r="K98" s="26" t="n">
        <v>231.9945255930436</v>
      </c>
      <c r="L98" s="27" t="n">
        <v>0.007021943665558248</v>
      </c>
      <c r="M98" s="26" t="n">
        <v>212.4523006096077</v>
      </c>
      <c r="N98" s="27" t="n">
        <v>0.007945894846763717</v>
      </c>
      <c r="O98" s="26" t="n">
        <v>157.6432506571206</v>
      </c>
      <c r="P98" s="27" t="n">
        <v>0.01030437110216527</v>
      </c>
      <c r="Q98" s="26" t="n">
        <v>196.2860831269634</v>
      </c>
      <c r="R98" s="27" t="n">
        <v>0.009235938835169998</v>
      </c>
      <c r="S98" s="26" t="n">
        <v>178.675263074959</v>
      </c>
      <c r="T98" s="27" t="n">
        <v>0.0105035547286198</v>
      </c>
      <c r="U98" s="26" t="n">
        <v>204.7482414216933</v>
      </c>
      <c r="V98" s="27" t="n">
        <v>0.00860851138265389</v>
      </c>
      <c r="W98" s="26" t="n">
        <v>211.1179510945761</v>
      </c>
      <c r="X98" s="27" t="n">
        <v>0.007968461949460531</v>
      </c>
      <c r="Y98" s="26" t="n">
        <v>179.2007469964521</v>
      </c>
      <c r="Z98" s="27" t="n">
        <v>0.008669582497526931</v>
      </c>
      <c r="AA98" s="26" t="n">
        <v>200.9433942404475</v>
      </c>
      <c r="AB98" s="27" t="n">
        <v>0.009051031577032508</v>
      </c>
    </row>
    <row r="99">
      <c r="A99" s="26" t="n">
        <v>150.7516721540686</v>
      </c>
      <c r="B99" s="27" t="n">
        <v>0.01166710297007268</v>
      </c>
      <c r="C99" s="26" t="n">
        <v>163.743791138136</v>
      </c>
      <c r="D99" s="27" t="n">
        <v>0.0106831362830517</v>
      </c>
      <c r="E99" s="26" t="n">
        <v>203.3672409408201</v>
      </c>
      <c r="F99" s="27" t="n">
        <v>0.008324729986572512</v>
      </c>
      <c r="G99" s="26" t="n">
        <v>232.5553149276221</v>
      </c>
      <c r="H99" s="27" t="n">
        <v>0.006972471152866625</v>
      </c>
      <c r="I99" s="26" t="n">
        <v>239.4159368526949</v>
      </c>
      <c r="J99" s="27" t="n">
        <v>0.006788632194490857</v>
      </c>
      <c r="K99" s="26" t="n">
        <v>232.0707680874</v>
      </c>
      <c r="L99" s="27" t="n">
        <v>0.007057392019078903</v>
      </c>
      <c r="M99" s="26" t="n">
        <v>212.5436063116936</v>
      </c>
      <c r="N99" s="27" t="n">
        <v>0.007988301429394802</v>
      </c>
      <c r="O99" s="26" t="n">
        <v>157.7676553512092</v>
      </c>
      <c r="P99" s="27" t="n">
        <v>0.01035132981541603</v>
      </c>
      <c r="Q99" s="26" t="n">
        <v>196.3801699025964</v>
      </c>
      <c r="R99" s="27" t="n">
        <v>0.009291777047339609</v>
      </c>
      <c r="S99" s="26" t="n">
        <v>178.7816866829904</v>
      </c>
      <c r="T99" s="27" t="n">
        <v>0.0105695762607654</v>
      </c>
      <c r="U99" s="26" t="n">
        <v>204.8332867161456</v>
      </c>
      <c r="V99" s="27" t="n">
        <v>0.008658563779694425</v>
      </c>
      <c r="W99" s="26" t="n">
        <v>211.1961365866289</v>
      </c>
      <c r="X99" s="27" t="n">
        <v>0.008011162125315444</v>
      </c>
      <c r="Y99" s="26" t="n">
        <v>179.306188163059</v>
      </c>
      <c r="Z99" s="27" t="n">
        <v>0.00870656437633149</v>
      </c>
      <c r="AA99" s="26" t="n">
        <v>201.0235819021541</v>
      </c>
      <c r="AB99" s="27" t="n">
        <v>0.009106782053612426</v>
      </c>
    </row>
    <row r="100">
      <c r="A100" s="26" t="n">
        <v>150.9174338172739</v>
      </c>
      <c r="B100" s="27" t="n">
        <v>0.01172594095168287</v>
      </c>
      <c r="C100" s="26" t="n">
        <v>163.8838406519508</v>
      </c>
      <c r="D100" s="27" t="n">
        <v>0.01073900436518822</v>
      </c>
      <c r="E100" s="26" t="n">
        <v>203.4802985951769</v>
      </c>
      <c r="F100" s="27" t="n">
        <v>0.008367850705344123</v>
      </c>
      <c r="G100" s="26" t="n">
        <v>232.6420373582277</v>
      </c>
      <c r="H100" s="27" t="n">
        <v>0.007006599975210913</v>
      </c>
      <c r="I100" s="26" t="n">
        <v>239.4963212811949</v>
      </c>
      <c r="J100" s="27" t="n">
        <v>0.006822287379959909</v>
      </c>
      <c r="K100" s="26" t="n">
        <v>232.1470105817563</v>
      </c>
      <c r="L100" s="27" t="n">
        <v>0.007093020012509634</v>
      </c>
      <c r="M100" s="26" t="n">
        <v>212.6349120137794</v>
      </c>
      <c r="N100" s="27" t="n">
        <v>0.008030934924970898</v>
      </c>
      <c r="O100" s="26" t="n">
        <v>157.8920600452977</v>
      </c>
      <c r="P100" s="27" t="n">
        <v>0.01039850890105161</v>
      </c>
      <c r="Q100" s="26" t="n">
        <v>196.4742566782293</v>
      </c>
      <c r="R100" s="27" t="n">
        <v>0.009347947101003796</v>
      </c>
      <c r="S100" s="26" t="n">
        <v>178.8881102910217</v>
      </c>
      <c r="T100" s="27" t="n">
        <v>0.01063600087845647</v>
      </c>
      <c r="U100" s="26" t="n">
        <v>204.9183320105979</v>
      </c>
      <c r="V100" s="27" t="n">
        <v>0.008708904673531675</v>
      </c>
      <c r="W100" s="26" t="n">
        <v>211.2743220786817</v>
      </c>
      <c r="X100" s="27" t="n">
        <v>0.008054091461271244</v>
      </c>
      <c r="Y100" s="26" t="n">
        <v>179.4116293296659</v>
      </c>
      <c r="Z100" s="27" t="n">
        <v>0.008743707030740481</v>
      </c>
      <c r="AA100" s="26" t="n">
        <v>201.1037695638607</v>
      </c>
      <c r="AB100" s="27" t="n">
        <v>0.009162869191415089</v>
      </c>
    </row>
    <row r="101">
      <c r="A101" s="26" t="n">
        <v>151.0831954804792</v>
      </c>
      <c r="B101" s="27" t="n">
        <v>0.01178508539638753</v>
      </c>
      <c r="C101" s="26" t="n">
        <v>164.0238901657655</v>
      </c>
      <c r="D101" s="27" t="n">
        <v>0.01079516898531026</v>
      </c>
      <c r="E101" s="26" t="n">
        <v>203.5933562495335</v>
      </c>
      <c r="F101" s="27" t="n">
        <v>0.008411196552155486</v>
      </c>
      <c r="G101" s="26" t="n">
        <v>232.7287597888333</v>
      </c>
      <c r="H101" s="27" t="n">
        <v>0.007040896803327313</v>
      </c>
      <c r="I101" s="26" t="n">
        <v>239.5767057096948</v>
      </c>
      <c r="J101" s="27" t="n">
        <v>0.006856110152355961</v>
      </c>
      <c r="K101" s="26" t="n">
        <v>232.2232530761127</v>
      </c>
      <c r="L101" s="27" t="n">
        <v>0.007128828558363754</v>
      </c>
      <c r="M101" s="26" t="n">
        <v>212.7262177158652</v>
      </c>
      <c r="N101" s="27" t="n">
        <v>0.008073796542847272</v>
      </c>
      <c r="O101" s="26" t="n">
        <v>158.0164647393863</v>
      </c>
      <c r="P101" s="27" t="n">
        <v>0.01044590941030281</v>
      </c>
      <c r="Q101" s="26" t="n">
        <v>196.5683434538623</v>
      </c>
      <c r="R101" s="27" t="n">
        <v>0.009404450892284661</v>
      </c>
      <c r="S101" s="26" t="n">
        <v>178.9945338990531</v>
      </c>
      <c r="T101" s="27" t="n">
        <v>0.01070283089687269</v>
      </c>
      <c r="U101" s="26" t="n">
        <v>205.0033773050502</v>
      </c>
      <c r="V101" s="27" t="n">
        <v>0.008759535688014915</v>
      </c>
      <c r="W101" s="26" t="n">
        <v>211.3525075707345</v>
      </c>
      <c r="X101" s="27" t="n">
        <v>0.00809725118231589</v>
      </c>
      <c r="Y101" s="26" t="n">
        <v>179.5170704962728</v>
      </c>
      <c r="Z101" s="27" t="n">
        <v>0.008781011168793752</v>
      </c>
      <c r="AA101" s="26" t="n">
        <v>201.1839572255673</v>
      </c>
      <c r="AB101" s="27" t="n">
        <v>0.009219294940502226</v>
      </c>
    </row>
    <row r="102">
      <c r="A102" s="26" t="n">
        <v>151.2489571436845</v>
      </c>
      <c r="B102" s="27" t="n">
        <v>0.01184453789000231</v>
      </c>
      <c r="C102" s="26" t="n">
        <v>164.1639396795803</v>
      </c>
      <c r="D102" s="27" t="n">
        <v>0.0108516317047588</v>
      </c>
      <c r="E102" s="26" t="n">
        <v>203.7064139038903</v>
      </c>
      <c r="F102" s="27" t="n">
        <v>0.008454768702215017</v>
      </c>
      <c r="G102" s="26" t="n">
        <v>232.8154822194388</v>
      </c>
      <c r="H102" s="27" t="n">
        <v>0.007075362467856269</v>
      </c>
      <c r="I102" s="26" t="n">
        <v>239.6570901381947</v>
      </c>
      <c r="J102" s="27" t="n">
        <v>0.006890101348927979</v>
      </c>
      <c r="K102" s="26" t="n">
        <v>232.299495570469</v>
      </c>
      <c r="L102" s="27" t="n">
        <v>0.007164818573786415</v>
      </c>
      <c r="M102" s="26" t="n">
        <v>212.8175234179511</v>
      </c>
      <c r="N102" s="27" t="n">
        <v>0.008116887498707556</v>
      </c>
      <c r="O102" s="26" t="n">
        <v>158.1408694334748</v>
      </c>
      <c r="P102" s="27" t="n">
        <v>0.01049353239946194</v>
      </c>
      <c r="Q102" s="26" t="n">
        <v>196.6624302294952</v>
      </c>
      <c r="R102" s="27" t="n">
        <v>0.009461290327228495</v>
      </c>
      <c r="S102" s="26" t="n">
        <v>179.1009575070845</v>
      </c>
      <c r="T102" s="27" t="n">
        <v>0.01077006864283063</v>
      </c>
      <c r="U102" s="26" t="n">
        <v>205.0884225995025</v>
      </c>
      <c r="V102" s="27" t="n">
        <v>0.00881045845563027</v>
      </c>
      <c r="W102" s="26" t="n">
        <v>211.4306930627873</v>
      </c>
      <c r="X102" s="27" t="n">
        <v>0.00814064251987922</v>
      </c>
      <c r="Y102" s="26" t="n">
        <v>179.6225116628797</v>
      </c>
      <c r="Z102" s="27" t="n">
        <v>0.008818477501680359</v>
      </c>
      <c r="AA102" s="26" t="n">
        <v>201.2641448872739</v>
      </c>
      <c r="AB102" s="27" t="n">
        <v>0.009276061261259726</v>
      </c>
    </row>
    <row r="103">
      <c r="A103" s="26" t="n">
        <v>151.4147188068899</v>
      </c>
      <c r="B103" s="27" t="n">
        <v>0.01190430002617555</v>
      </c>
      <c r="C103" s="26" t="n">
        <v>164.3039891933951</v>
      </c>
      <c r="D103" s="27" t="n">
        <v>0.01090839409275435</v>
      </c>
      <c r="E103" s="26" t="n">
        <v>203.819471558247</v>
      </c>
      <c r="F103" s="27" t="n">
        <v>0.008498568336774245</v>
      </c>
      <c r="G103" s="26" t="n">
        <v>232.9022046500444</v>
      </c>
      <c r="H103" s="27" t="n">
        <v>0.007109997803554893</v>
      </c>
      <c r="I103" s="26" t="n">
        <v>239.7374745666947</v>
      </c>
      <c r="J103" s="27" t="n">
        <v>0.006924261811113113</v>
      </c>
      <c r="K103" s="26" t="n">
        <v>232.3757380648254</v>
      </c>
      <c r="L103" s="27" t="n">
        <v>0.007200990980577991</v>
      </c>
      <c r="M103" s="26" t="n">
        <v>212.9088291200369</v>
      </c>
      <c r="N103" s="27" t="n">
        <v>0.008160209014594839</v>
      </c>
      <c r="O103" s="26" t="n">
        <v>158.2652741275634</v>
      </c>
      <c r="P103" s="27" t="n">
        <v>0.01054137892990716</v>
      </c>
      <c r="Q103" s="26" t="n">
        <v>196.7565170051282</v>
      </c>
      <c r="R103" s="27" t="n">
        <v>0.009518467321847071</v>
      </c>
      <c r="S103" s="26" t="n">
        <v>179.2073811151159</v>
      </c>
      <c r="T103" s="27" t="n">
        <v>0.01083771645482295</v>
      </c>
      <c r="U103" s="26" t="n">
        <v>205.1734678939548</v>
      </c>
      <c r="V103" s="27" t="n">
        <v>0.008861674617540772</v>
      </c>
      <c r="W103" s="26" t="n">
        <v>211.5088785548401</v>
      </c>
      <c r="X103" s="27" t="n">
        <v>0.008184266711865265</v>
      </c>
      <c r="Y103" s="26" t="n">
        <v>179.7279528294866</v>
      </c>
      <c r="Z103" s="27" t="n">
        <v>0.008856106743752578</v>
      </c>
      <c r="AA103" s="26" t="n">
        <v>201.3443325489805</v>
      </c>
      <c r="AB103" s="27" t="n">
        <v>0.009333170124440886</v>
      </c>
    </row>
    <row r="104">
      <c r="A104" s="26" t="n">
        <v>151.5804804700952</v>
      </c>
      <c r="B104" s="27" t="n">
        <v>0.0119643734064217</v>
      </c>
      <c r="C104" s="26" t="n">
        <v>164.4440387072099</v>
      </c>
      <c r="D104" s="27" t="n">
        <v>0.01096545772643146</v>
      </c>
      <c r="E104" s="26" t="n">
        <v>203.9325292126037</v>
      </c>
      <c r="F104" s="27" t="n">
        <v>0.008542596643157435</v>
      </c>
      <c r="G104" s="26" t="n">
        <v>232.98892708065</v>
      </c>
      <c r="H104" s="27" t="n">
        <v>0.007144803649317324</v>
      </c>
      <c r="I104" s="26" t="n">
        <v>239.8178589951946</v>
      </c>
      <c r="J104" s="27" t="n">
        <v>0.006958592384557692</v>
      </c>
      <c r="K104" s="26" t="n">
        <v>232.4519805591818</v>
      </c>
      <c r="L104" s="27" t="n">
        <v>0.007237346705217541</v>
      </c>
      <c r="M104" s="26" t="n">
        <v>213.0001348221228</v>
      </c>
      <c r="N104" s="27" t="n">
        <v>0.008203762318943385</v>
      </c>
      <c r="O104" s="26" t="n">
        <v>158.3896788216519</v>
      </c>
      <c r="P104" s="27" t="n">
        <v>0.01058945006812687</v>
      </c>
      <c r="Q104" s="26" t="n">
        <v>196.8506037807611</v>
      </c>
      <c r="R104" s="27" t="n">
        <v>0.009575983802158813</v>
      </c>
      <c r="S104" s="26" t="n">
        <v>179.3138047231473</v>
      </c>
      <c r="T104" s="27" t="n">
        <v>0.01090577668305838</v>
      </c>
      <c r="U104" s="26" t="n">
        <v>205.2585131884071</v>
      </c>
      <c r="V104" s="27" t="n">
        <v>0.008913185823626003</v>
      </c>
      <c r="W104" s="26" t="n">
        <v>211.5870640468929</v>
      </c>
      <c r="X104" s="27" t="n">
        <v>0.008228125002684409</v>
      </c>
      <c r="Y104" s="26" t="n">
        <v>179.8333939960935</v>
      </c>
      <c r="Z104" s="27" t="n">
        <v>0.008893899612540083</v>
      </c>
      <c r="AA104" s="26" t="n">
        <v>201.4245202106871</v>
      </c>
      <c r="AB104" s="27" t="n">
        <v>0.009390623511209863</v>
      </c>
    </row>
    <row r="105">
      <c r="A105" s="26" t="n">
        <v>151.7462421333005</v>
      </c>
      <c r="B105" s="27" t="n">
        <v>0.01202475964015462</v>
      </c>
      <c r="C105" s="26" t="n">
        <v>164.5840882210247</v>
      </c>
      <c r="D105" s="27" t="n">
        <v>0.01102282419087388</v>
      </c>
      <c r="E105" s="26" t="n">
        <v>204.0455868669604</v>
      </c>
      <c r="F105" s="27" t="n">
        <v>0.008586854814790972</v>
      </c>
      <c r="G105" s="26" t="n">
        <v>233.0756495112555</v>
      </c>
      <c r="H105" s="27" t="n">
        <v>0.007179780848195351</v>
      </c>
      <c r="I105" s="26" t="n">
        <v>239.8982434236946</v>
      </c>
      <c r="J105" s="27" t="n">
        <v>0.006993093919138023</v>
      </c>
      <c r="K105" s="26" t="n">
        <v>232.5282230535381</v>
      </c>
      <c r="L105" s="27" t="n">
        <v>0.007273886678886193</v>
      </c>
      <c r="M105" s="26" t="n">
        <v>213.0914405242086</v>
      </c>
      <c r="N105" s="27" t="n">
        <v>0.008247548646610261</v>
      </c>
      <c r="O105" s="26" t="n">
        <v>158.5140835157405</v>
      </c>
      <c r="P105" s="27" t="n">
        <v>0.01063774688574439</v>
      </c>
      <c r="Q105" s="26" t="n">
        <v>196.9446905563941</v>
      </c>
      <c r="R105" s="27" t="n">
        <v>0.009633841704230225</v>
      </c>
      <c r="S105" s="26" t="n">
        <v>179.4202283311786</v>
      </c>
      <c r="T105" s="27" t="n">
        <v>0.01097425168950098</v>
      </c>
      <c r="U105" s="26" t="n">
        <v>205.3435584828594</v>
      </c>
      <c r="V105" s="27" t="n">
        <v>0.008964993732522087</v>
      </c>
      <c r="W105" s="26" t="n">
        <v>211.6652495389457</v>
      </c>
      <c r="X105" s="27" t="n">
        <v>0.008272218643286157</v>
      </c>
      <c r="Y105" s="26" t="n">
        <v>179.9388351627005</v>
      </c>
      <c r="Z105" s="27" t="n">
        <v>0.00893185682876416</v>
      </c>
      <c r="AA105" s="26" t="n">
        <v>201.5047078723937</v>
      </c>
      <c r="AB105" s="27" t="n">
        <v>0.009448423413184968</v>
      </c>
    </row>
    <row r="106">
      <c r="A106" s="26" t="n">
        <v>151.9120037965058</v>
      </c>
      <c r="B106" s="27" t="n">
        <v>0.01208546034472062</v>
      </c>
      <c r="C106" s="26" t="n">
        <v>164.7241377348394</v>
      </c>
      <c r="D106" s="27" t="n">
        <v>0.0110804950791499</v>
      </c>
      <c r="E106" s="26" t="n">
        <v>204.1586445213172</v>
      </c>
      <c r="F106" s="27" t="n">
        <v>0.00863134405123323</v>
      </c>
      <c r="G106" s="26" t="n">
        <v>233.1623719418611</v>
      </c>
      <c r="H106" s="27" t="n">
        <v>0.00721493024741876</v>
      </c>
      <c r="I106" s="26" t="n">
        <v>239.9786278521945</v>
      </c>
      <c r="J106" s="27" t="n">
        <v>0.007027767268981673</v>
      </c>
      <c r="K106" s="26" t="n">
        <v>232.6044655478944</v>
      </c>
      <c r="L106" s="27" t="n">
        <v>0.007310611837490933</v>
      </c>
      <c r="M106" s="26" t="n">
        <v>213.1827462262944</v>
      </c>
      <c r="N106" s="27" t="n">
        <v>0.00829156923890683</v>
      </c>
      <c r="O106" s="26" t="n">
        <v>158.638488209829</v>
      </c>
      <c r="P106" s="27" t="n">
        <v>0.0106862704595425</v>
      </c>
      <c r="Q106" s="26" t="n">
        <v>197.038777332027</v>
      </c>
      <c r="R106" s="27" t="n">
        <v>0.009692042974216998</v>
      </c>
      <c r="S106" s="26" t="n">
        <v>179.52665193921</v>
      </c>
      <c r="T106" s="27" t="n">
        <v>0.01104314384790945</v>
      </c>
      <c r="U106" s="26" t="n">
        <v>205.4286037773117</v>
      </c>
      <c r="V106" s="27" t="n">
        <v>0.009017100011661833</v>
      </c>
      <c r="W106" s="26" t="n">
        <v>211.7434350309985</v>
      </c>
      <c r="X106" s="27" t="n">
        <v>0.008316548891191881</v>
      </c>
      <c r="Y106" s="26" t="n">
        <v>180.0442763293074</v>
      </c>
      <c r="Z106" s="27" t="n">
        <v>0.008969979116352113</v>
      </c>
      <c r="AA106" s="26" t="n">
        <v>201.5848955341003</v>
      </c>
      <c r="AB106" s="27" t="n">
        <v>0.009506571832482245</v>
      </c>
    </row>
    <row r="107">
      <c r="A107" s="26" t="n">
        <v>152.0777654597111</v>
      </c>
      <c r="B107" s="27" t="n">
        <v>0.01214647714543203</v>
      </c>
      <c r="C107" s="26" t="n">
        <v>164.8641872486542</v>
      </c>
      <c r="D107" s="27" t="n">
        <v>0.01113847199234718</v>
      </c>
      <c r="E107" s="26" t="n">
        <v>204.2717021756739</v>
      </c>
      <c r="F107" s="27" t="n">
        <v>0.008676065558204552</v>
      </c>
      <c r="G107" s="26" t="n">
        <v>233.2490943724667</v>
      </c>
      <c r="H107" s="27" t="n">
        <v>0.007250252698416212</v>
      </c>
      <c r="I107" s="26" t="n">
        <v>240.0590122806944</v>
      </c>
      <c r="J107" s="27" t="n">
        <v>0.007062613292488463</v>
      </c>
      <c r="K107" s="26" t="n">
        <v>232.6807080422508</v>
      </c>
      <c r="L107" s="27" t="n">
        <v>0.007347523121688121</v>
      </c>
      <c r="M107" s="26" t="n">
        <v>213.2740519283803</v>
      </c>
      <c r="N107" s="27" t="n">
        <v>0.008335825343630865</v>
      </c>
      <c r="O107" s="26" t="n">
        <v>158.7628929039176</v>
      </c>
      <c r="P107" s="27" t="n">
        <v>0.01073502187148813</v>
      </c>
      <c r="Q107" s="26" t="n">
        <v>197.1328641076599</v>
      </c>
      <c r="R107" s="27" t="n">
        <v>0.009750589568405786</v>
      </c>
      <c r="S107" s="26" t="n">
        <v>179.6330755472414</v>
      </c>
      <c r="T107" s="27" t="n">
        <v>0.01111245554387632</v>
      </c>
      <c r="U107" s="26" t="n">
        <v>205.513649071764</v>
      </c>
      <c r="V107" s="27" t="n">
        <v>0.009069506337314653</v>
      </c>
      <c r="W107" s="26" t="n">
        <v>211.8216205230513</v>
      </c>
      <c r="X107" s="27" t="n">
        <v>0.008361117010527382</v>
      </c>
      <c r="Y107" s="26" t="n">
        <v>180.1497174959143</v>
      </c>
      <c r="Z107" s="27" t="n">
        <v>0.009008267202451587</v>
      </c>
      <c r="AA107" s="26" t="n">
        <v>201.6650831958069</v>
      </c>
      <c r="AB107" s="27" t="n">
        <v>0.009565070781758831</v>
      </c>
    </row>
    <row r="108">
      <c r="A108" s="26" t="n">
        <v>152.2435271229164</v>
      </c>
      <c r="B108" s="27" t="n">
        <v>0.01220781167560068</v>
      </c>
      <c r="C108" s="26" t="n">
        <v>165.004236762469</v>
      </c>
      <c r="D108" s="27" t="n">
        <v>0.01119675653960819</v>
      </c>
      <c r="E108" s="26" t="n">
        <v>204.3847598300306</v>
      </c>
      <c r="F108" s="27" t="n">
        <v>0.008721020547616863</v>
      </c>
      <c r="G108" s="26" t="n">
        <v>233.3358168030722</v>
      </c>
      <c r="H108" s="27" t="n">
        <v>0.007285749056835757</v>
      </c>
      <c r="I108" s="26" t="n">
        <v>240.1393967091944</v>
      </c>
      <c r="J108" s="27" t="n">
        <v>0.007097632852351884</v>
      </c>
      <c r="K108" s="26" t="n">
        <v>232.7569505366071</v>
      </c>
      <c r="L108" s="27" t="n">
        <v>0.007384621476907697</v>
      </c>
      <c r="M108" s="26" t="n">
        <v>213.3653576304661</v>
      </c>
      <c r="N108" s="27" t="n">
        <v>0.008380318215098374</v>
      </c>
      <c r="O108" s="26" t="n">
        <v>158.8872975980061</v>
      </c>
      <c r="P108" s="27" t="n">
        <v>0.01078400220875735</v>
      </c>
      <c r="Q108" s="26" t="n">
        <v>197.2269508832929</v>
      </c>
      <c r="R108" s="27" t="n">
        <v>0.009809483453255361</v>
      </c>
      <c r="S108" s="26" t="n">
        <v>179.7394991552727</v>
      </c>
      <c r="T108" s="27" t="n">
        <v>0.01118218917486713</v>
      </c>
      <c r="U108" s="26" t="n">
        <v>205.5986943662163</v>
      </c>
      <c r="V108" s="27" t="n">
        <v>0.009122214394627053</v>
      </c>
      <c r="W108" s="26" t="n">
        <v>211.8998060151041</v>
      </c>
      <c r="X108" s="27" t="n">
        <v>0.008405924272056159</v>
      </c>
      <c r="Y108" s="26" t="n">
        <v>180.2551586625212</v>
      </c>
      <c r="Z108" s="27" t="n">
        <v>0.009046721817444999</v>
      </c>
      <c r="AA108" s="26" t="n">
        <v>201.7452708575135</v>
      </c>
      <c r="AB108" s="27" t="n">
        <v>0.009623922284256509</v>
      </c>
    </row>
    <row r="109">
      <c r="A109" s="26" t="n">
        <v>152.4092887861217</v>
      </c>
      <c r="B109" s="27" t="n">
        <v>0.01226946557657123</v>
      </c>
      <c r="C109" s="26" t="n">
        <v>165.1442862762838</v>
      </c>
      <c r="D109" s="27" t="n">
        <v>0.01125535033816575</v>
      </c>
      <c r="E109" s="26" t="n">
        <v>204.4978174843873</v>
      </c>
      <c r="F109" s="27" t="n">
        <v>0.008766210237604289</v>
      </c>
      <c r="G109" s="26" t="n">
        <v>233.4225392336778</v>
      </c>
      <c r="H109" s="27" t="n">
        <v>0.007321420182565865</v>
      </c>
      <c r="I109" s="26" t="n">
        <v>240.2197811376944</v>
      </c>
      <c r="J109" s="27" t="n">
        <v>0.007132826815580398</v>
      </c>
      <c r="K109" s="26" t="n">
        <v>232.8331930309635</v>
      </c>
      <c r="L109" s="27" t="n">
        <v>0.0074219078533769</v>
      </c>
      <c r="M109" s="26" t="n">
        <v>213.456663332552</v>
      </c>
      <c r="N109" s="27" t="n">
        <v>0.008425049114175905</v>
      </c>
      <c r="O109" s="26" t="n">
        <v>159.0117022920946</v>
      </c>
      <c r="P109" s="27" t="n">
        <v>0.0108332125637605</v>
      </c>
      <c r="Q109" s="26" t="n">
        <v>197.3210376589259</v>
      </c>
      <c r="R109" s="27" t="n">
        <v>0.009868726605438052</v>
      </c>
      <c r="S109" s="26" t="n">
        <v>179.8459227633041</v>
      </c>
      <c r="T109" s="27" t="n">
        <v>0.01125234715025944</v>
      </c>
      <c r="U109" s="26" t="n">
        <v>205.6837396606686</v>
      </c>
      <c r="V109" s="27" t="n">
        <v>0.009175225877662939</v>
      </c>
      <c r="W109" s="26" t="n">
        <v>211.9779915071569</v>
      </c>
      <c r="X109" s="27" t="n">
        <v>0.008450971953212153</v>
      </c>
      <c r="Y109" s="26" t="n">
        <v>180.3605998291281</v>
      </c>
      <c r="Z109" s="27" t="n">
        <v>0.009085343694963971</v>
      </c>
      <c r="AA109" s="26" t="n">
        <v>201.8254585192201</v>
      </c>
      <c r="AB109" s="27" t="n">
        <v>0.009683128373845254</v>
      </c>
    </row>
    <row r="110">
      <c r="A110" s="26" t="n">
        <v>152.575050449327</v>
      </c>
      <c r="B110" s="27" t="n">
        <v>0.01233144049775489</v>
      </c>
      <c r="C110" s="26" t="n">
        <v>165.2843357900986</v>
      </c>
      <c r="D110" s="27" t="n">
        <v>0.01131425501337815</v>
      </c>
      <c r="E110" s="26" t="n">
        <v>204.6108751387441</v>
      </c>
      <c r="F110" s="27" t="n">
        <v>0.00881163585255295</v>
      </c>
      <c r="G110" s="26" t="n">
        <v>233.5092616642834</v>
      </c>
      <c r="H110" s="27" t="n">
        <v>0.007357266939756257</v>
      </c>
      <c r="I110" s="26" t="n">
        <v>240.3001655661943</v>
      </c>
      <c r="J110" s="27" t="n">
        <v>0.007168196053518939</v>
      </c>
      <c r="K110" s="26" t="n">
        <v>232.9094355253199</v>
      </c>
      <c r="L110" s="27" t="n">
        <v>0.007459383206144395</v>
      </c>
      <c r="M110" s="26" t="n">
        <v>213.5479690346378</v>
      </c>
      <c r="N110" s="27" t="n">
        <v>0.008470019308312572</v>
      </c>
      <c r="O110" s="26" t="n">
        <v>159.1361069861832</v>
      </c>
      <c r="P110" s="27" t="n">
        <v>0.01088265403416716</v>
      </c>
      <c r="Q110" s="26" t="n">
        <v>197.4151244345588</v>
      </c>
      <c r="R110" s="27" t="n">
        <v>0.00992832101188125</v>
      </c>
      <c r="S110" s="26" t="n">
        <v>179.9523463713355</v>
      </c>
      <c r="T110" s="27" t="n">
        <v>0.01132293189138171</v>
      </c>
      <c r="U110" s="26" t="n">
        <v>205.7687849551209</v>
      </c>
      <c r="V110" s="27" t="n">
        <v>0.00922854248944391</v>
      </c>
      <c r="W110" s="26" t="n">
        <v>212.0561769992097</v>
      </c>
      <c r="X110" s="27" t="n">
        <v>0.008496261338133523</v>
      </c>
      <c r="Y110" s="26" t="n">
        <v>180.466040995735</v>
      </c>
      <c r="Z110" s="27" t="n">
        <v>0.009124133571904117</v>
      </c>
      <c r="AA110" s="26" t="n">
        <v>201.9056461809267</v>
      </c>
      <c r="AB110" s="27" t="n">
        <v>0.009742691095066829</v>
      </c>
    </row>
    <row r="111">
      <c r="A111" s="26" t="n">
        <v>152.7408121125324</v>
      </c>
      <c r="B111" s="27" t="n">
        <v>0.01239373809666297</v>
      </c>
      <c r="C111" s="26" t="n">
        <v>165.4243853039133</v>
      </c>
      <c r="D111" s="27" t="n">
        <v>0.01137347219876494</v>
      </c>
      <c r="E111" s="26" t="n">
        <v>204.7239327931008</v>
      </c>
      <c r="F111" s="27" t="n">
        <v>0.008857298623131638</v>
      </c>
      <c r="G111" s="26" t="n">
        <v>233.5959840948889</v>
      </c>
      <c r="H111" s="27" t="n">
        <v>0.007393290196839203</v>
      </c>
      <c r="I111" s="26" t="n">
        <v>240.3805499946942</v>
      </c>
      <c r="J111" s="27" t="n">
        <v>0.007203741441870561</v>
      </c>
      <c r="K111" s="26" t="n">
        <v>232.9856780196762</v>
      </c>
      <c r="L111" s="27" t="n">
        <v>0.007497048495104612</v>
      </c>
      <c r="M111" s="26" t="n">
        <v>213.6392747367236</v>
      </c>
      <c r="N111" s="27" t="n">
        <v>0.00851523007157254</v>
      </c>
      <c r="O111" s="26" t="n">
        <v>159.2605116802717</v>
      </c>
      <c r="P111" s="27" t="n">
        <v>0.01093232772293116</v>
      </c>
      <c r="Q111" s="26" t="n">
        <v>197.5092112101918</v>
      </c>
      <c r="R111" s="27" t="n">
        <v>0.009988268669809071</v>
      </c>
      <c r="S111" s="26" t="n">
        <v>180.0587699793669</v>
      </c>
      <c r="T111" s="27" t="n">
        <v>0.01139394583155205</v>
      </c>
      <c r="U111" s="26" t="n">
        <v>205.8538302495732</v>
      </c>
      <c r="V111" s="27" t="n">
        <v>0.009282165941989927</v>
      </c>
      <c r="W111" s="26" t="n">
        <v>212.1343624912625</v>
      </c>
      <c r="X111" s="27" t="n">
        <v>0.008541793717695445</v>
      </c>
      <c r="Y111" s="26" t="n">
        <v>180.5714821623419</v>
      </c>
      <c r="Z111" s="27" t="n">
        <v>0.009163092188439413</v>
      </c>
      <c r="AA111" s="26" t="n">
        <v>201.9858338426333</v>
      </c>
      <c r="AB111" s="27" t="n">
        <v>0.009802612503178329</v>
      </c>
    </row>
    <row r="112">
      <c r="A112" s="26" t="n">
        <v>152.9065737757376</v>
      </c>
      <c r="B112" s="27" t="n">
        <v>0.0124563600389406</v>
      </c>
      <c r="C112" s="26" t="n">
        <v>165.5644348177281</v>
      </c>
      <c r="D112" s="27" t="n">
        <v>0.01143300353604271</v>
      </c>
      <c r="E112" s="26" t="n">
        <v>204.8369904474575</v>
      </c>
      <c r="F112" s="27" t="n">
        <v>0.008903199786322093</v>
      </c>
      <c r="G112" s="26" t="n">
        <v>233.6827065254945</v>
      </c>
      <c r="H112" s="27" t="n">
        <v>0.007429490826550395</v>
      </c>
      <c r="I112" s="26" t="n">
        <v>240.4609344231941</v>
      </c>
      <c r="J112" s="27" t="n">
        <v>0.007239463860718001</v>
      </c>
      <c r="K112" s="26" t="n">
        <v>233.0619205140326</v>
      </c>
      <c r="L112" s="27" t="n">
        <v>0.00753490468502204</v>
      </c>
      <c r="M112" s="26" t="n">
        <v>213.7305804388095</v>
      </c>
      <c r="N112" s="27" t="n">
        <v>0.008560682684667737</v>
      </c>
      <c r="O112" s="26" t="n">
        <v>159.3849163743603</v>
      </c>
      <c r="P112" s="27" t="n">
        <v>0.01098223473831641</v>
      </c>
      <c r="Q112" s="26" t="n">
        <v>197.6032979858247</v>
      </c>
      <c r="R112" s="27" t="n">
        <v>0.01004857158678355</v>
      </c>
      <c r="S112" s="26" t="n">
        <v>180.1651935873982</v>
      </c>
      <c r="T112" s="27" t="n">
        <v>0.01146539141611672</v>
      </c>
      <c r="U112" s="26" t="n">
        <v>205.9388755440255</v>
      </c>
      <c r="V112" s="27" t="n">
        <v>0.009336097956360047</v>
      </c>
      <c r="W112" s="26" t="n">
        <v>212.2125479833153</v>
      </c>
      <c r="X112" s="27" t="n">
        <v>0.008587570389544113</v>
      </c>
      <c r="Y112" s="26" t="n">
        <v>180.6769233289488</v>
      </c>
      <c r="Z112" s="27" t="n">
        <v>0.009202220288037053</v>
      </c>
      <c r="AA112" s="26" t="n">
        <v>202.0660215043399</v>
      </c>
      <c r="AB112" s="27" t="n">
        <v>0.009862894664195812</v>
      </c>
    </row>
    <row r="113">
      <c r="A113" s="26" t="n">
        <v>153.072335438943</v>
      </c>
      <c r="B113" s="27" t="n">
        <v>0.01251930799840063</v>
      </c>
      <c r="C113" s="26" t="n">
        <v>165.7044843315429</v>
      </c>
      <c r="D113" s="27" t="n">
        <v>0.01149285067516028</v>
      </c>
      <c r="E113" s="26" t="n">
        <v>204.9500481018143</v>
      </c>
      <c r="F113" s="27" t="n">
        <v>0.008949340585449602</v>
      </c>
      <c r="G113" s="26" t="n">
        <v>233.7694289561001</v>
      </c>
      <c r="H113" s="27" t="n">
        <v>0.007465869705950339</v>
      </c>
      <c r="I113" s="26" t="n">
        <v>240.5413188516941</v>
      </c>
      <c r="J113" s="27" t="n">
        <v>0.007275364194545619</v>
      </c>
      <c r="K113" s="26" t="n">
        <v>233.1381630083889</v>
      </c>
      <c r="L113" s="27" t="n">
        <v>0.007572952745555557</v>
      </c>
      <c r="M113" s="26" t="n">
        <v>213.8218861408953</v>
      </c>
      <c r="N113" s="27" t="n">
        <v>0.008606378434990281</v>
      </c>
      <c r="O113" s="26" t="n">
        <v>159.5093210684489</v>
      </c>
      <c r="P113" s="27" t="n">
        <v>0.01103237619392198</v>
      </c>
      <c r="Q113" s="26" t="n">
        <v>197.6973847614577</v>
      </c>
      <c r="R113" s="27" t="n">
        <v>0.01010923178074653</v>
      </c>
      <c r="S113" s="26" t="n">
        <v>180.2716171954296</v>
      </c>
      <c r="T113" s="27" t="n">
        <v>0.01153727110248894</v>
      </c>
      <c r="U113" s="26" t="n">
        <v>206.0239208384779</v>
      </c>
      <c r="V113" s="27" t="n">
        <v>0.009390340262693008</v>
      </c>
      <c r="W113" s="26" t="n">
        <v>212.2907334753681</v>
      </c>
      <c r="X113" s="27" t="n">
        <v>0.008633592658130046</v>
      </c>
      <c r="Y113" s="26" t="n">
        <v>180.7823644955557</v>
      </c>
      <c r="Z113" s="27" t="n">
        <v>0.00924151861747222</v>
      </c>
      <c r="AA113" s="26" t="n">
        <v>202.1462091660464</v>
      </c>
      <c r="AB113" s="27" t="n">
        <v>0.009923539654938029</v>
      </c>
    </row>
    <row r="114">
      <c r="A114" s="26" t="n">
        <v>153.2380971021483</v>
      </c>
      <c r="B114" s="27" t="n">
        <v>0.01258258365705712</v>
      </c>
      <c r="C114" s="26" t="n">
        <v>165.8445338453577</v>
      </c>
      <c r="D114" s="27" t="n">
        <v>0.01155301527433514</v>
      </c>
      <c r="E114" s="26" t="n">
        <v>205.063105756171</v>
      </c>
      <c r="F114" s="27" t="n">
        <v>0.008995722270213839</v>
      </c>
      <c r="G114" s="26" t="n">
        <v>233.8561513867057</v>
      </c>
      <c r="H114" s="27" t="n">
        <v>0.007502427716445791</v>
      </c>
      <c r="I114" s="26" t="n">
        <v>240.621703280194</v>
      </c>
      <c r="J114" s="27" t="n">
        <v>0.007311443332261349</v>
      </c>
      <c r="K114" s="26" t="n">
        <v>233.2144055027453</v>
      </c>
      <c r="L114" s="27" t="n">
        <v>0.007611193651283062</v>
      </c>
      <c r="M114" s="26" t="n">
        <v>213.9131918429811</v>
      </c>
      <c r="N114" s="27" t="n">
        <v>0.008652318616645279</v>
      </c>
      <c r="O114" s="26" t="n">
        <v>159.6337257625374</v>
      </c>
      <c r="P114" s="27" t="n">
        <v>0.01108275320870801</v>
      </c>
      <c r="Q114" s="26" t="n">
        <v>197.7914715370906</v>
      </c>
      <c r="R114" s="27" t="n">
        <v>0.01017025128006098</v>
      </c>
      <c r="S114" s="26" t="n">
        <v>180.378040803461</v>
      </c>
      <c r="T114" s="27" t="n">
        <v>0.01160958736018684</v>
      </c>
      <c r="U114" s="26" t="n">
        <v>206.1089661329301</v>
      </c>
      <c r="V114" s="27" t="n">
        <v>0.009444894600248031</v>
      </c>
      <c r="W114" s="26" t="n">
        <v>212.3689189674209</v>
      </c>
      <c r="X114" s="27" t="n">
        <v>0.008679861834742314</v>
      </c>
      <c r="Y114" s="26" t="n">
        <v>180.8878056621626</v>
      </c>
      <c r="Z114" s="27" t="n">
        <v>0.009280987926842781</v>
      </c>
      <c r="AA114" s="26" t="n">
        <v>202.226396827753</v>
      </c>
      <c r="AB114" s="27" t="n">
        <v>0.009984549563070095</v>
      </c>
    </row>
    <row r="115">
      <c r="A115" s="26" t="n">
        <v>153.4038587653536</v>
      </c>
      <c r="B115" s="27" t="n">
        <v>0.0126461887051596</v>
      </c>
      <c r="C115" s="26" t="n">
        <v>165.9845833591724</v>
      </c>
      <c r="D115" s="27" t="n">
        <v>0.01161349900008886</v>
      </c>
      <c r="E115" s="26" t="n">
        <v>205.1761634105277</v>
      </c>
      <c r="F115" s="27" t="n">
        <v>0.009042346096719667</v>
      </c>
      <c r="G115" s="26" t="n">
        <v>233.9428738173113</v>
      </c>
      <c r="H115" s="27" t="n">
        <v>0.007539165743811115</v>
      </c>
      <c r="I115" s="26" t="n">
        <v>240.702087708694</v>
      </c>
      <c r="J115" s="27" t="n">
        <v>0.007347702167218424</v>
      </c>
      <c r="K115" s="26" t="n">
        <v>233.2906479971016</v>
      </c>
      <c r="L115" s="27" t="n">
        <v>0.007649628381726387</v>
      </c>
      <c r="M115" s="26" t="n">
        <v>214.004497545067</v>
      </c>
      <c r="N115" s="27" t="n">
        <v>0.008698504530483799</v>
      </c>
      <c r="O115" s="26" t="n">
        <v>159.7581304566259</v>
      </c>
      <c r="P115" s="27" t="n">
        <v>0.01113336690702091</v>
      </c>
      <c r="Q115" s="26" t="n">
        <v>197.8855583127235</v>
      </c>
      <c r="R115" s="27" t="n">
        <v>0.01023163212355267</v>
      </c>
      <c r="S115" s="26" t="n">
        <v>180.4844644114924</v>
      </c>
      <c r="T115" s="27" t="n">
        <v>0.0116823426708721</v>
      </c>
      <c r="U115" s="26" t="n">
        <v>206.1940114273824</v>
      </c>
      <c r="V115" s="27" t="n">
        <v>0.009499762717446059</v>
      </c>
      <c r="W115" s="26" t="n">
        <v>212.4471044594737</v>
      </c>
      <c r="X115" s="27" t="n">
        <v>0.008726379237542041</v>
      </c>
      <c r="Y115" s="26" t="n">
        <v>180.9932468287695</v>
      </c>
      <c r="Z115" s="27" t="n">
        <v>0.009320628969584396</v>
      </c>
      <c r="AA115" s="26" t="n">
        <v>202.3065844894597</v>
      </c>
      <c r="AB115" s="27" t="n">
        <v>0.01004592648714702</v>
      </c>
    </row>
    <row r="116">
      <c r="A116" s="26" t="n">
        <v>153.5696204285589</v>
      </c>
      <c r="B116" s="27" t="n">
        <v>0.01271012484122673</v>
      </c>
      <c r="C116" s="26" t="n">
        <v>166.1246328729872</v>
      </c>
      <c r="D116" s="27" t="n">
        <v>0.01167430352728349</v>
      </c>
      <c r="E116" s="26" t="n">
        <v>205.2892210648844</v>
      </c>
      <c r="F116" s="27" t="n">
        <v>0.009089213327508137</v>
      </c>
      <c r="G116" s="26" t="n">
        <v>234.0295962479168</v>
      </c>
      <c r="H116" s="27" t="n">
        <v>0.007576084678210002</v>
      </c>
      <c r="I116" s="26" t="n">
        <v>240.7824721371939</v>
      </c>
      <c r="J116" s="27" t="n">
        <v>0.007384141597237911</v>
      </c>
      <c r="K116" s="26" t="n">
        <v>233.366890491458</v>
      </c>
      <c r="L116" s="27" t="n">
        <v>0.007688257921375625</v>
      </c>
      <c r="M116" s="26" t="n">
        <v>214.0958032471528</v>
      </c>
      <c r="N116" s="27" t="n">
        <v>0.008744937484136068</v>
      </c>
      <c r="O116" s="26" t="n">
        <v>159.8825351507145</v>
      </c>
      <c r="P116" s="27" t="n">
        <v>0.01118421841861985</v>
      </c>
      <c r="Q116" s="26" t="n">
        <v>197.9796450883564</v>
      </c>
      <c r="R116" s="27" t="n">
        <v>0.01029337636055173</v>
      </c>
      <c r="S116" s="26" t="n">
        <v>180.5908880195237</v>
      </c>
      <c r="T116" s="27" t="n">
        <v>0.01175553952838758</v>
      </c>
      <c r="U116" s="26" t="n">
        <v>206.2790567218347</v>
      </c>
      <c r="V116" s="27" t="n">
        <v>0.009554946371910341</v>
      </c>
      <c r="W116" s="26" t="n">
        <v>212.5252899515265</v>
      </c>
      <c r="X116" s="27" t="n">
        <v>0.008773146191596793</v>
      </c>
      <c r="Y116" s="26" t="n">
        <v>181.0986879953765</v>
      </c>
      <c r="Z116" s="27" t="n">
        <v>0.009360442502485376</v>
      </c>
      <c r="AA116" s="26" t="n">
        <v>202.3867721511662</v>
      </c>
      <c r="AB116" s="27" t="n">
        <v>0.01010767253665751</v>
      </c>
    </row>
    <row r="117">
      <c r="A117" s="26" t="n">
        <v>153.7353820917642</v>
      </c>
      <c r="B117" s="27" t="n">
        <v>0.01277439377208051</v>
      </c>
      <c r="C117" s="26" t="n">
        <v>166.264682386802</v>
      </c>
      <c r="D117" s="27" t="n">
        <v>0.01173543053915698</v>
      </c>
      <c r="E117" s="26" t="n">
        <v>205.4022787192412</v>
      </c>
      <c r="F117" s="27" t="n">
        <v>0.009136325231587389</v>
      </c>
      <c r="G117" s="26" t="n">
        <v>234.1163186785224</v>
      </c>
      <c r="H117" s="27" t="n">
        <v>0.00761318541421695</v>
      </c>
      <c r="I117" s="26" t="n">
        <v>240.8628565656938</v>
      </c>
      <c r="J117" s="27" t="n">
        <v>0.007420762524630622</v>
      </c>
      <c r="K117" s="26" t="n">
        <v>233.4431329858143</v>
      </c>
      <c r="L117" s="27" t="n">
        <v>0.007727083259714536</v>
      </c>
      <c r="M117" s="26" t="n">
        <v>214.1871089492386</v>
      </c>
      <c r="N117" s="27" t="n">
        <v>0.008791618792044318</v>
      </c>
      <c r="O117" s="26" t="n">
        <v>160.006939844803</v>
      </c>
      <c r="P117" s="27" t="n">
        <v>0.01123530887870203</v>
      </c>
      <c r="Q117" s="26" t="n">
        <v>198.0737318639894</v>
      </c>
      <c r="R117" s="27" t="n">
        <v>0.01035548605093427</v>
      </c>
      <c r="S117" s="26" t="n">
        <v>180.6973116275551</v>
      </c>
      <c r="T117" s="27" t="n">
        <v>0.01182918043879581</v>
      </c>
      <c r="U117" s="26" t="n">
        <v>206.3641020162871</v>
      </c>
      <c r="V117" s="27" t="n">
        <v>0.009610447330508061</v>
      </c>
      <c r="W117" s="26" t="n">
        <v>212.6034754435793</v>
      </c>
      <c r="X117" s="27" t="n">
        <v>0.008820164028914879</v>
      </c>
      <c r="Y117" s="26" t="n">
        <v>181.2041291619834</v>
      </c>
      <c r="Z117" s="27" t="n">
        <v>0.009400429285701549</v>
      </c>
      <c r="AA117" s="26" t="n">
        <v>202.4669598128729</v>
      </c>
      <c r="AB117" s="27" t="n">
        <v>0.01016978983206783</v>
      </c>
    </row>
    <row r="118">
      <c r="A118" s="26" t="n">
        <v>153.9011437549695</v>
      </c>
      <c r="B118" s="27" t="n">
        <v>0.01283899721288003</v>
      </c>
      <c r="C118" s="26" t="n">
        <v>166.4047319006168</v>
      </c>
      <c r="D118" s="27" t="n">
        <v>0.01179688172736018</v>
      </c>
      <c r="E118" s="26" t="n">
        <v>205.5153363735979</v>
      </c>
      <c r="F118" s="27" t="n">
        <v>0.009183683084464184</v>
      </c>
      <c r="G118" s="26" t="n">
        <v>234.203041109128</v>
      </c>
      <c r="H118" s="27" t="n">
        <v>0.00765046885083918</v>
      </c>
      <c r="I118" s="26" t="n">
        <v>240.9432409941938</v>
      </c>
      <c r="J118" s="27" t="n">
        <v>0.00745756585621953</v>
      </c>
      <c r="K118" s="26" t="n">
        <v>233.5193754801707</v>
      </c>
      <c r="L118" s="27" t="n">
        <v>0.007766105391245256</v>
      </c>
      <c r="M118" s="26" t="n">
        <v>214.2784146513245</v>
      </c>
      <c r="N118" s="27" t="n">
        <v>0.008838549775496378</v>
      </c>
      <c r="O118" s="26" t="n">
        <v>160.1313445388916</v>
      </c>
      <c r="P118" s="27" t="n">
        <v>0.01128663942792934</v>
      </c>
      <c r="Q118" s="26" t="n">
        <v>198.1678186396224</v>
      </c>
      <c r="R118" s="27" t="n">
        <v>0.01041796326516406</v>
      </c>
      <c r="S118" s="26" t="n">
        <v>180.8037352355865</v>
      </c>
      <c r="T118" s="27" t="n">
        <v>0.01190326792041616</v>
      </c>
      <c r="U118" s="26" t="n">
        <v>206.4491473107394</v>
      </c>
      <c r="V118" s="27" t="n">
        <v>0.009666267369391012</v>
      </c>
      <c r="W118" s="26" t="n">
        <v>212.6816609356321</v>
      </c>
      <c r="X118" s="27" t="n">
        <v>0.008867434088479407</v>
      </c>
      <c r="Y118" s="26" t="n">
        <v>181.3095703285903</v>
      </c>
      <c r="Z118" s="27" t="n">
        <v>0.009440590082771755</v>
      </c>
      <c r="AA118" s="26" t="n">
        <v>202.5471474745794</v>
      </c>
      <c r="AB118" s="27" t="n">
        <v>0.01023228050486519</v>
      </c>
    </row>
    <row r="119">
      <c r="A119" s="26" t="n">
        <v>154.0669054181748</v>
      </c>
      <c r="B119" s="27" t="n">
        <v>0.0129039368871559</v>
      </c>
      <c r="C119" s="26" t="n">
        <v>166.5447814144316</v>
      </c>
      <c r="D119" s="27" t="n">
        <v>0.01185865879199229</v>
      </c>
      <c r="E119" s="26" t="n">
        <v>205.6283940279546</v>
      </c>
      <c r="F119" s="27" t="n">
        <v>0.00923128816817502</v>
      </c>
      <c r="G119" s="26" t="n">
        <v>234.2897635397335</v>
      </c>
      <c r="H119" s="27" t="n">
        <v>0.007687935891538531</v>
      </c>
      <c r="I119" s="26" t="n">
        <v>241.0236254226937</v>
      </c>
      <c r="J119" s="27" t="n">
        <v>0.007494552503362345</v>
      </c>
      <c r="K119" s="26" t="n">
        <v>233.595617974527</v>
      </c>
      <c r="L119" s="27" t="n">
        <v>0.007805325315513735</v>
      </c>
      <c r="M119" s="26" t="n">
        <v>214.3697203534103</v>
      </c>
      <c r="N119" s="27" t="n">
        <v>0.008885731762659171</v>
      </c>
      <c r="O119" s="26" t="n">
        <v>160.2557492329801</v>
      </c>
      <c r="P119" s="27" t="n">
        <v>0.011338211212454</v>
      </c>
      <c r="Q119" s="26" t="n">
        <v>198.2619054152553</v>
      </c>
      <c r="R119" s="27" t="n">
        <v>0.010480810084334</v>
      </c>
      <c r="S119" s="26" t="n">
        <v>180.9101588436179</v>
      </c>
      <c r="T119" s="27" t="n">
        <v>0.01197780450386292</v>
      </c>
      <c r="U119" s="26" t="n">
        <v>206.5341926051916</v>
      </c>
      <c r="V119" s="27" t="n">
        <v>0.009722408274037283</v>
      </c>
      <c r="W119" s="26" t="n">
        <v>212.7598464276849</v>
      </c>
      <c r="X119" s="27" t="n">
        <v>0.008914957716283121</v>
      </c>
      <c r="Y119" s="26" t="n">
        <v>181.4150114951972</v>
      </c>
      <c r="Z119" s="27" t="n">
        <v>0.009480925660632611</v>
      </c>
      <c r="AA119" s="26" t="n">
        <v>202.627335136286</v>
      </c>
      <c r="AB119" s="27" t="n">
        <v>0.01029514669760194</v>
      </c>
    </row>
    <row r="120">
      <c r="A120" s="26" t="n">
        <v>154.2326670813801</v>
      </c>
      <c r="B120" s="27" t="n">
        <v>0.01296921452684428</v>
      </c>
      <c r="C120" s="26" t="n">
        <v>166.6848309282463</v>
      </c>
      <c r="D120" s="27" t="n">
        <v>0.01192076344163764</v>
      </c>
      <c r="E120" s="26" t="n">
        <v>205.7414516823113</v>
      </c>
      <c r="F120" s="27" t="n">
        <v>0.009279141771317546</v>
      </c>
      <c r="G120" s="26" t="n">
        <v>234.3764859703391</v>
      </c>
      <c r="H120" s="27" t="n">
        <v>0.007725587444253546</v>
      </c>
      <c r="I120" s="26" t="n">
        <v>241.1040098511937</v>
      </c>
      <c r="J120" s="27" t="n">
        <v>0.007531723381973898</v>
      </c>
      <c r="K120" s="26" t="n">
        <v>233.6718604688834</v>
      </c>
      <c r="L120" s="27" t="n">
        <v>0.007844744037134642</v>
      </c>
      <c r="M120" s="26" t="n">
        <v>214.4610260554962</v>
      </c>
      <c r="N120" s="27" t="n">
        <v>0.008933166088611916</v>
      </c>
      <c r="O120" s="26" t="n">
        <v>160.3801539270686</v>
      </c>
      <c r="P120" s="27" t="n">
        <v>0.01139002538394535</v>
      </c>
      <c r="Q120" s="26" t="n">
        <v>198.3559921908883</v>
      </c>
      <c r="R120" s="27" t="n">
        <v>0.01054402860020791</v>
      </c>
      <c r="S120" s="26" t="n">
        <v>181.0165824516492</v>
      </c>
      <c r="T120" s="27" t="n">
        <v>0.0120527927320826</v>
      </c>
      <c r="U120" s="26" t="n">
        <v>206.6192378996439</v>
      </c>
      <c r="V120" s="27" t="n">
        <v>0.009778871839292559</v>
      </c>
      <c r="W120" s="26" t="n">
        <v>212.8380319197377</v>
      </c>
      <c r="X120" s="27" t="n">
        <v>0.008962736265362885</v>
      </c>
      <c r="Y120" s="26" t="n">
        <v>181.5204526618041</v>
      </c>
      <c r="Z120" s="27" t="n">
        <v>0.009521436789634024</v>
      </c>
      <c r="AA120" s="26" t="n">
        <v>202.7075227979926</v>
      </c>
      <c r="AB120" s="27" t="n">
        <v>0.01035839056393885</v>
      </c>
    </row>
    <row r="121">
      <c r="A121" s="26" t="n">
        <v>154.3984287445854</v>
      </c>
      <c r="B121" s="27" t="n">
        <v>0.0130348318723211</v>
      </c>
      <c r="C121" s="26" t="n">
        <v>166.8248804420611</v>
      </c>
      <c r="D121" s="27" t="n">
        <v>0.01198319739340174</v>
      </c>
      <c r="E121" s="26" t="n">
        <v>205.8545093366681</v>
      </c>
      <c r="F121" s="27" t="n">
        <v>0.009327245189082407</v>
      </c>
      <c r="G121" s="26" t="n">
        <v>234.4632084009447</v>
      </c>
      <c r="H121" s="27" t="n">
        <v>0.007763424421421258</v>
      </c>
      <c r="I121" s="26" t="n">
        <v>241.1843942796936</v>
      </c>
      <c r="J121" s="27" t="n">
        <v>0.0075690794125489</v>
      </c>
      <c r="K121" s="26" t="n">
        <v>233.7481029632397</v>
      </c>
      <c r="L121" s="27" t="n">
        <v>0.007884362565817262</v>
      </c>
      <c r="M121" s="26" t="n">
        <v>214.552331757582</v>
      </c>
      <c r="N121" s="27" t="n">
        <v>0.008980854095380313</v>
      </c>
      <c r="O121" s="26" t="n">
        <v>160.5045586211572</v>
      </c>
      <c r="P121" s="27" t="n">
        <v>0.01144208309961594</v>
      </c>
      <c r="Q121" s="26" t="n">
        <v>198.4500789665212</v>
      </c>
      <c r="R121" s="27" t="n">
        <v>0.01060762091526198</v>
      </c>
      <c r="S121" s="26" t="n">
        <v>181.1230060596806</v>
      </c>
      <c r="T121" s="27" t="n">
        <v>0.0121282351603911</v>
      </c>
      <c r="U121" s="26" t="n">
        <v>206.7042831940963</v>
      </c>
      <c r="V121" s="27" t="n">
        <v>0.00983565986941147</v>
      </c>
      <c r="W121" s="26" t="n">
        <v>212.9162174117905</v>
      </c>
      <c r="X121" s="27" t="n">
        <v>0.009010771095834699</v>
      </c>
      <c r="Y121" s="26" t="n">
        <v>181.6258938284111</v>
      </c>
      <c r="Z121" s="27" t="n">
        <v>0.009562124243554473</v>
      </c>
      <c r="AA121" s="26" t="n">
        <v>202.7877104596992</v>
      </c>
      <c r="AB121" s="27" t="n">
        <v>0.01042201426868925</v>
      </c>
    </row>
    <row r="122">
      <c r="A122" s="26" t="n">
        <v>154.5641904077908</v>
      </c>
      <c r="B122" s="27" t="n">
        <v>0.01310079067243619</v>
      </c>
      <c r="C122" s="26" t="n">
        <v>166.9649299558758</v>
      </c>
      <c r="D122" s="27" t="n">
        <v>0.01204596237294818</v>
      </c>
      <c r="E122" s="26" t="n">
        <v>205.9675669910248</v>
      </c>
      <c r="F122" s="27" t="n">
        <v>0.009375599723284717</v>
      </c>
      <c r="G122" s="26" t="n">
        <v>234.5499308315503</v>
      </c>
      <c r="H122" s="27" t="n">
        <v>0.007801447739999737</v>
      </c>
      <c r="I122" s="26" t="n">
        <v>241.2647787081935</v>
      </c>
      <c r="J122" s="27" t="n">
        <v>0.007606621520184691</v>
      </c>
      <c r="K122" s="26" t="n">
        <v>233.8243454575961</v>
      </c>
      <c r="L122" s="27" t="n">
        <v>0.007924181916390639</v>
      </c>
      <c r="M122" s="26" t="n">
        <v>214.6436374596678</v>
      </c>
      <c r="N122" s="27" t="n">
        <v>0.009028797131970094</v>
      </c>
      <c r="O122" s="26" t="n">
        <v>160.6289633152458</v>
      </c>
      <c r="P122" s="27" t="n">
        <v>0.01149438552224812</v>
      </c>
      <c r="Q122" s="26" t="n">
        <v>198.5441657421542</v>
      </c>
      <c r="R122" s="27" t="n">
        <v>0.01067158914272664</v>
      </c>
      <c r="S122" s="26" t="n">
        <v>181.229429667712</v>
      </c>
      <c r="T122" s="27" t="n">
        <v>0.01220413435651101</v>
      </c>
      <c r="U122" s="26" t="n">
        <v>206.7893284885486</v>
      </c>
      <c r="V122" s="27" t="n">
        <v>0.009892774178099348</v>
      </c>
      <c r="W122" s="26" t="n">
        <v>212.9944029038433</v>
      </c>
      <c r="X122" s="27" t="n">
        <v>0.009059063574928338</v>
      </c>
      <c r="Y122" s="26" t="n">
        <v>181.7313349950179</v>
      </c>
      <c r="Z122" s="27" t="n">
        <v>0.009602988799616149</v>
      </c>
      <c r="AA122" s="26" t="n">
        <v>202.8678981214058</v>
      </c>
      <c r="AB122" s="27" t="n">
        <v>0.01048601998786244</v>
      </c>
    </row>
    <row r="123">
      <c r="A123" s="26" t="n">
        <v>154.729952070996</v>
      </c>
      <c r="B123" s="27" t="n">
        <v>0.01316709268454794</v>
      </c>
      <c r="C123" s="26" t="n">
        <v>167.1049794696906</v>
      </c>
      <c r="D123" s="27" t="n">
        <v>0.01210906011453453</v>
      </c>
      <c r="E123" s="26" t="n">
        <v>206.0806246453815</v>
      </c>
      <c r="F123" s="27" t="n">
        <v>0.009424206682396007</v>
      </c>
      <c r="G123" s="26" t="n">
        <v>234.6366532621558</v>
      </c>
      <c r="H123" s="27" t="n">
        <v>0.007839658321490289</v>
      </c>
      <c r="I123" s="26" t="n">
        <v>241.3451631366935</v>
      </c>
      <c r="J123" s="27" t="n">
        <v>0.007644350634604139</v>
      </c>
      <c r="K123" s="26" t="n">
        <v>233.9005879519524</v>
      </c>
      <c r="L123" s="27" t="n">
        <v>0.007964203108829344</v>
      </c>
      <c r="M123" s="26" t="n">
        <v>214.7349431617537</v>
      </c>
      <c r="N123" s="27" t="n">
        <v>0.009076996554401058</v>
      </c>
      <c r="O123" s="26" t="n">
        <v>160.7533680093343</v>
      </c>
      <c r="P123" s="27" t="n">
        <v>0.01154693382022083</v>
      </c>
      <c r="Q123" s="26" t="n">
        <v>198.6382525177871</v>
      </c>
      <c r="R123" s="27" t="n">
        <v>0.010735935406628</v>
      </c>
      <c r="S123" s="26" t="n">
        <v>181.3358532757434</v>
      </c>
      <c r="T123" s="27" t="n">
        <v>0.01228049290060848</v>
      </c>
      <c r="U123" s="26" t="n">
        <v>206.8743737830009</v>
      </c>
      <c r="V123" s="27" t="n">
        <v>0.009950216588553735</v>
      </c>
      <c r="W123" s="26" t="n">
        <v>213.0725883958962</v>
      </c>
      <c r="X123" s="27" t="n">
        <v>0.009107615077022803</v>
      </c>
      <c r="Y123" s="26" t="n">
        <v>181.8367761616248</v>
      </c>
      <c r="Z123" s="27" t="n">
        <v>0.009644031238500701</v>
      </c>
      <c r="AA123" s="26" t="n">
        <v>202.9480857831124</v>
      </c>
      <c r="AB123" s="27" t="n">
        <v>0.01055040990870764</v>
      </c>
    </row>
    <row r="124">
      <c r="A124" s="26" t="n">
        <v>154.8957137342014</v>
      </c>
      <c r="B124" s="27" t="n">
        <v>0.01323373967455717</v>
      </c>
      <c r="C124" s="26" t="n">
        <v>167.2450289835054</v>
      </c>
      <c r="D124" s="27" t="n">
        <v>0.01217249236104961</v>
      </c>
      <c r="E124" s="26" t="n">
        <v>206.1936822997382</v>
      </c>
      <c r="F124" s="27" t="n">
        <v>0.009473067381576161</v>
      </c>
      <c r="G124" s="26" t="n">
        <v>234.7233756927614</v>
      </c>
      <c r="H124" s="27" t="n">
        <v>0.007878057091959819</v>
      </c>
      <c r="I124" s="26" t="n">
        <v>241.4255475651934</v>
      </c>
      <c r="J124" s="27" t="n">
        <v>0.007682267690178594</v>
      </c>
      <c r="K124" s="26" t="n">
        <v>233.9768304463088</v>
      </c>
      <c r="L124" s="27" t="n">
        <v>0.008004427168279366</v>
      </c>
      <c r="M124" s="26" t="n">
        <v>214.8262488638395</v>
      </c>
      <c r="N124" s="27" t="n">
        <v>0.009125453725741244</v>
      </c>
      <c r="O124" s="26" t="n">
        <v>160.8777727034229</v>
      </c>
      <c r="P124" s="27" t="n">
        <v>0.01159972916753631</v>
      </c>
      <c r="Q124" s="26" t="n">
        <v>198.7323392934201</v>
      </c>
      <c r="R124" s="27" t="n">
        <v>0.01080066184182937</v>
      </c>
      <c r="S124" s="26" t="n">
        <v>181.4422768837747</v>
      </c>
      <c r="T124" s="27" t="n">
        <v>0.01235731338532999</v>
      </c>
      <c r="U124" s="26" t="n">
        <v>206.9594190774532</v>
      </c>
      <c r="V124" s="27" t="n">
        <v>0.01000798893350617</v>
      </c>
      <c r="W124" s="26" t="n">
        <v>213.150773887949</v>
      </c>
      <c r="X124" s="27" t="n">
        <v>0.009156426983681208</v>
      </c>
      <c r="Y124" s="26" t="n">
        <v>181.9422173282317</v>
      </c>
      <c r="Z124" s="27" t="n">
        <v>0.009685252344364566</v>
      </c>
      <c r="AA124" s="26" t="n">
        <v>203.028273444819</v>
      </c>
      <c r="AB124" s="27" t="n">
        <v>0.01061518622975782</v>
      </c>
    </row>
    <row r="125">
      <c r="A125" s="26" t="n">
        <v>155.0614753974067</v>
      </c>
      <c r="B125" s="27" t="n">
        <v>0.01330073341694201</v>
      </c>
      <c r="C125" s="26" t="n">
        <v>167.3850784973202</v>
      </c>
      <c r="D125" s="27" t="n">
        <v>0.01223626086404978</v>
      </c>
      <c r="E125" s="26" t="n">
        <v>206.3067399540949</v>
      </c>
      <c r="F125" s="27" t="n">
        <v>0.009522183142705381</v>
      </c>
      <c r="G125" s="26" t="n">
        <v>234.810098123367</v>
      </c>
      <c r="H125" s="27" t="n">
        <v>0.007916644982063526</v>
      </c>
      <c r="I125" s="26" t="n">
        <v>241.5059319936934</v>
      </c>
      <c r="J125" s="27" t="n">
        <v>0.007720373625951124</v>
      </c>
      <c r="K125" s="26" t="n">
        <v>234.0530729406651</v>
      </c>
      <c r="L125" s="27" t="n">
        <v>0.008044855125083765</v>
      </c>
      <c r="M125" s="26" t="n">
        <v>214.9175545659253</v>
      </c>
      <c r="N125" s="27" t="n">
        <v>0.009174170016141146</v>
      </c>
      <c r="O125" s="26" t="n">
        <v>161.0021773975114</v>
      </c>
      <c r="P125" s="27" t="n">
        <v>0.01165277274384699</v>
      </c>
      <c r="Q125" s="26" t="n">
        <v>198.826426069053</v>
      </c>
      <c r="R125" s="27" t="n">
        <v>0.01086577059407327</v>
      </c>
      <c r="S125" s="26" t="n">
        <v>181.5487004918061</v>
      </c>
      <c r="T125" s="27" t="n">
        <v>0.01243459841583895</v>
      </c>
      <c r="U125" s="26" t="n">
        <v>207.0444643719055</v>
      </c>
      <c r="V125" s="27" t="n">
        <v>0.01006609305526397</v>
      </c>
      <c r="W125" s="26" t="n">
        <v>213.2289593800018</v>
      </c>
      <c r="X125" s="27" t="n">
        <v>0.009205500683686594</v>
      </c>
      <c r="Y125" s="26" t="n">
        <v>182.0476584948387</v>
      </c>
      <c r="Z125" s="27" t="n">
        <v>0.009726652904854683</v>
      </c>
      <c r="AA125" s="26" t="n">
        <v>203.1084611065256</v>
      </c>
      <c r="AB125" s="27" t="n">
        <v>0.01068035116087311</v>
      </c>
    </row>
    <row r="126">
      <c r="A126" s="26" t="n">
        <v>155.227237060612</v>
      </c>
      <c r="B126" s="27" t="n">
        <v>0.0133680756947921</v>
      </c>
      <c r="C126" s="26" t="n">
        <v>167.525128011135</v>
      </c>
      <c r="D126" s="27" t="n">
        <v>0.01230036738379573</v>
      </c>
      <c r="E126" s="26" t="n">
        <v>206.4197976084517</v>
      </c>
      <c r="F126" s="27" t="n">
        <v>0.009571555294416674</v>
      </c>
      <c r="G126" s="26" t="n">
        <v>234.8968205539725</v>
      </c>
      <c r="H126" s="27" t="n">
        <v>0.007955422927067251</v>
      </c>
      <c r="I126" s="26" t="n">
        <v>241.5863164221933</v>
      </c>
      <c r="J126" s="27" t="n">
        <v>0.007758669385659529</v>
      </c>
      <c r="K126" s="26" t="n">
        <v>234.1293154350215</v>
      </c>
      <c r="L126" s="27" t="n">
        <v>0.008085488014808953</v>
      </c>
      <c r="M126" s="26" t="n">
        <v>215.0088602680112</v>
      </c>
      <c r="N126" s="27" t="n">
        <v>0.009223146802868148</v>
      </c>
      <c r="O126" s="26" t="n">
        <v>161.1265820915999</v>
      </c>
      <c r="P126" s="27" t="n">
        <v>0.01170606573448263</v>
      </c>
      <c r="Q126" s="26" t="n">
        <v>198.920512844686</v>
      </c>
      <c r="R126" s="27" t="n">
        <v>0.01093126382002257</v>
      </c>
      <c r="S126" s="26" t="n">
        <v>181.6551240998375</v>
      </c>
      <c r="T126" s="27" t="n">
        <v>0.012512350609852</v>
      </c>
      <c r="U126" s="26" t="n">
        <v>207.1295096663578</v>
      </c>
      <c r="V126" s="27" t="n">
        <v>0.01012453080575225</v>
      </c>
      <c r="W126" s="26" t="n">
        <v>213.3071448720546</v>
      </c>
      <c r="X126" s="27" t="n">
        <v>0.009254837573076956</v>
      </c>
      <c r="Y126" s="26" t="n">
        <v>182.1530996614456</v>
      </c>
      <c r="Z126" s="27" t="n">
        <v>0.009768233711124013</v>
      </c>
      <c r="AA126" s="26" t="n">
        <v>203.1886487682322</v>
      </c>
      <c r="AB126" s="27" t="n">
        <v>0.01074590692328481</v>
      </c>
    </row>
    <row r="127">
      <c r="A127" s="26" t="n">
        <v>155.3929987238173</v>
      </c>
      <c r="B127" s="27" t="n">
        <v>0.01343576829984319</v>
      </c>
      <c r="C127" s="26" t="n">
        <v>167.6651775249497</v>
      </c>
      <c r="D127" s="27" t="n">
        <v>0.01236481368928944</v>
      </c>
      <c r="E127" s="26" t="n">
        <v>206.5328552628084</v>
      </c>
      <c r="F127" s="27" t="n">
        <v>0.00962118517212782</v>
      </c>
      <c r="G127" s="26" t="n">
        <v>234.9835429845781</v>
      </c>
      <c r="H127" s="27" t="n">
        <v>0.007994391866870627</v>
      </c>
      <c r="I127" s="26" t="n">
        <v>241.6667008506932</v>
      </c>
      <c r="J127" s="27" t="n">
        <v>0.007797155917759854</v>
      </c>
      <c r="K127" s="26" t="n">
        <v>234.2055579293778</v>
      </c>
      <c r="L127" s="27" t="n">
        <v>0.008126326878270676</v>
      </c>
      <c r="M127" s="26" t="n">
        <v>215.100165970097</v>
      </c>
      <c r="N127" s="27" t="n">
        <v>0.009272385470340835</v>
      </c>
      <c r="O127" s="26" t="n">
        <v>161.2509867856885</v>
      </c>
      <c r="P127" s="27" t="n">
        <v>0.01175960933047734</v>
      </c>
      <c r="Q127" s="26" t="n">
        <v>199.0145996203189</v>
      </c>
      <c r="R127" s="27" t="n">
        <v>0.0109971436873024</v>
      </c>
      <c r="S127" s="26" t="n">
        <v>181.7615477078689</v>
      </c>
      <c r="T127" s="27" t="n">
        <v>0.01259057259767537</v>
      </c>
      <c r="U127" s="26" t="n">
        <v>207.2145549608101</v>
      </c>
      <c r="V127" s="27" t="n">
        <v>0.01018330404655568</v>
      </c>
      <c r="W127" s="26" t="n">
        <v>213.3853303641073</v>
      </c>
      <c r="X127" s="27" t="n">
        <v>0.009304439055181407</v>
      </c>
      <c r="Y127" s="26" t="n">
        <v>182.2585408280525</v>
      </c>
      <c r="Z127" s="27" t="n">
        <v>0.0098099955578473</v>
      </c>
      <c r="AA127" s="26" t="n">
        <v>203.2688364299388</v>
      </c>
      <c r="AB127" s="27" t="n">
        <v>0.01081185574963905</v>
      </c>
    </row>
    <row r="128">
      <c r="A128" s="26" t="n">
        <v>155.5587603870226</v>
      </c>
      <c r="B128" s="27" t="n">
        <v>0.01350381303251156</v>
      </c>
      <c r="C128" s="26" t="n">
        <v>167.8052270387645</v>
      </c>
      <c r="D128" s="27" t="n">
        <v>0.01242960155831097</v>
      </c>
      <c r="E128" s="26" t="n">
        <v>206.6459129171651</v>
      </c>
      <c r="F128" s="27" t="n">
        <v>0.009671074118074103</v>
      </c>
      <c r="G128" s="26" t="n">
        <v>235.0702654151837</v>
      </c>
      <c r="H128" s="27" t="n">
        <v>0.008033552746029586</v>
      </c>
      <c r="I128" s="26" t="n">
        <v>241.7470852791932</v>
      </c>
      <c r="J128" s="27" t="n">
        <v>0.007835834175449731</v>
      </c>
      <c r="K128" s="26" t="n">
        <v>234.2818004237342</v>
      </c>
      <c r="L128" s="27" t="n">
        <v>0.008167372761560373</v>
      </c>
      <c r="M128" s="26" t="n">
        <v>215.1914716721828</v>
      </c>
      <c r="N128" s="27" t="n">
        <v>0.009321887410163956</v>
      </c>
      <c r="O128" s="26" t="n">
        <v>161.375391479777</v>
      </c>
      <c r="P128" s="27" t="n">
        <v>0.01181340472859686</v>
      </c>
      <c r="Q128" s="26" t="n">
        <v>199.1086863959518</v>
      </c>
      <c r="R128" s="27" t="n">
        <v>0.01106341237454157</v>
      </c>
      <c r="S128" s="26" t="n">
        <v>181.8679713159002</v>
      </c>
      <c r="T128" s="27" t="n">
        <v>0.01266926702224063</v>
      </c>
      <c r="U128" s="26" t="n">
        <v>207.2996002552624</v>
      </c>
      <c r="V128" s="27" t="n">
        <v>0.01024241464896081</v>
      </c>
      <c r="W128" s="26" t="n">
        <v>213.4635158561602</v>
      </c>
      <c r="X128" s="27" t="n">
        <v>0.009354306540655615</v>
      </c>
      <c r="Y128" s="26" t="n">
        <v>182.3639819946594</v>
      </c>
      <c r="Z128" s="27" t="n">
        <v>0.009851939243237087</v>
      </c>
      <c r="AA128" s="26" t="n">
        <v>203.3490240916454</v>
      </c>
      <c r="AB128" s="27" t="n">
        <v>0.01087819988404038</v>
      </c>
    </row>
    <row r="129">
      <c r="A129" s="26" t="n">
        <v>155.7245220502279</v>
      </c>
      <c r="B129" s="27" t="n">
        <v>0.01357221170192889</v>
      </c>
      <c r="C129" s="26" t="n">
        <v>167.9452765525793</v>
      </c>
      <c r="D129" s="27" t="n">
        <v>0.01249473277745559</v>
      </c>
      <c r="E129" s="26" t="n">
        <v>206.7589705715218</v>
      </c>
      <c r="F129" s="27" t="n">
        <v>0.009721223481340855</v>
      </c>
      <c r="G129" s="26" t="n">
        <v>235.1569878457893</v>
      </c>
      <c r="H129" s="27" t="n">
        <v>0.008072906513779617</v>
      </c>
      <c r="I129" s="26" t="n">
        <v>241.8274697076932</v>
      </c>
      <c r="J129" s="27" t="n">
        <v>0.007874705116691975</v>
      </c>
      <c r="K129" s="26" t="n">
        <v>234.3580429180906</v>
      </c>
      <c r="L129" s="27" t="n">
        <v>0.008208626716071475</v>
      </c>
      <c r="M129" s="26" t="n">
        <v>215.2827773742687</v>
      </c>
      <c r="N129" s="27" t="n">
        <v>0.009371654021162964</v>
      </c>
      <c r="O129" s="26" t="n">
        <v>161.4997961738655</v>
      </c>
      <c r="P129" s="27" t="n">
        <v>0.01186745313136618</v>
      </c>
      <c r="Q129" s="26" t="n">
        <v>199.2027731715848</v>
      </c>
      <c r="R129" s="27" t="n">
        <v>0.01113007207141423</v>
      </c>
      <c r="S129" s="26" t="n">
        <v>181.9743949239316</v>
      </c>
      <c r="T129" s="27" t="n">
        <v>0.01274843653914083</v>
      </c>
      <c r="U129" s="26" t="n">
        <v>207.3846455497147</v>
      </c>
      <c r="V129" s="27" t="n">
        <v>0.01030186449399802</v>
      </c>
      <c r="W129" s="26" t="n">
        <v>213.541701348213</v>
      </c>
      <c r="X129" s="27" t="n">
        <v>0.009404441447517991</v>
      </c>
      <c r="Y129" s="26" t="n">
        <v>182.4694231612663</v>
      </c>
      <c r="Z129" s="27" t="n">
        <v>0.009894065569059246</v>
      </c>
      <c r="AA129" s="26" t="n">
        <v>203.429211753352</v>
      </c>
      <c r="AB129" s="27" t="n">
        <v>0.01094494158209543</v>
      </c>
    </row>
    <row r="130">
      <c r="A130" s="26" t="n">
        <v>155.8902837134332</v>
      </c>
      <c r="B130" s="27" t="n">
        <v>0.01364096612597648</v>
      </c>
      <c r="C130" s="26" t="n">
        <v>168.0853260663941</v>
      </c>
      <c r="D130" s="27" t="n">
        <v>0.01256020914217063</v>
      </c>
      <c r="E130" s="26" t="n">
        <v>206.8720282258786</v>
      </c>
      <c r="F130" s="27" t="n">
        <v>0.009771634617895958</v>
      </c>
      <c r="G130" s="26" t="n">
        <v>235.2437102763948</v>
      </c>
      <c r="H130" s="27" t="n">
        <v>0.008112454124058631</v>
      </c>
      <c r="I130" s="26" t="n">
        <v>241.9078541361931</v>
      </c>
      <c r="J130" s="27" t="n">
        <v>0.007913769704238217</v>
      </c>
      <c r="K130" s="26" t="n">
        <v>234.4342854124469</v>
      </c>
      <c r="L130" s="27" t="n">
        <v>0.00825008979852603</v>
      </c>
      <c r="M130" s="26" t="n">
        <v>215.3740830763545</v>
      </c>
      <c r="N130" s="27" t="n">
        <v>0.009421686709419086</v>
      </c>
      <c r="O130" s="26" t="n">
        <v>161.6242008679541</v>
      </c>
      <c r="P130" s="27" t="n">
        <v>0.01192175574709675</v>
      </c>
      <c r="Q130" s="26" t="n">
        <v>199.2968599472178</v>
      </c>
      <c r="R130" s="27" t="n">
        <v>0.01119712497868119</v>
      </c>
      <c r="S130" s="26" t="n">
        <v>182.080818531963</v>
      </c>
      <c r="T130" s="27" t="n">
        <v>0.01282808381666566</v>
      </c>
      <c r="U130" s="26" t="n">
        <v>207.469690844167</v>
      </c>
      <c r="V130" s="27" t="n">
        <v>0.0103616554724837</v>
      </c>
      <c r="W130" s="26" t="n">
        <v>213.6198868402658</v>
      </c>
      <c r="X130" s="27" t="n">
        <v>0.009454845201185709</v>
      </c>
      <c r="Y130" s="26" t="n">
        <v>182.5748643278732</v>
      </c>
      <c r="Z130" s="27" t="n">
        <v>0.00993637534064907</v>
      </c>
      <c r="AA130" s="26" t="n">
        <v>203.5093994150586</v>
      </c>
      <c r="AB130" s="27" t="n">
        <v>0.01101208311095669</v>
      </c>
    </row>
    <row r="131">
      <c r="A131" s="26" t="n">
        <v>156.0560453766385</v>
      </c>
      <c r="B131" s="27" t="n">
        <v>0.01371007813132023</v>
      </c>
      <c r="C131" s="26" t="n">
        <v>168.2253755802088</v>
      </c>
      <c r="D131" s="27" t="n">
        <v>0.01262603245679276</v>
      </c>
      <c r="E131" s="26" t="n">
        <v>206.9850858802353</v>
      </c>
      <c r="F131" s="27" t="n">
        <v>0.009822308890622898</v>
      </c>
      <c r="G131" s="26" t="n">
        <v>235.3304327070004</v>
      </c>
      <c r="H131" s="27" t="n">
        <v>0.008152196535530204</v>
      </c>
      <c r="I131" s="26" t="n">
        <v>241.988238564693</v>
      </c>
      <c r="J131" s="27" t="n">
        <v>0.007953028905652837</v>
      </c>
      <c r="K131" s="26" t="n">
        <v>234.5105279068032</v>
      </c>
      <c r="L131" s="27" t="n">
        <v>0.008291763071001285</v>
      </c>
      <c r="M131" s="26" t="n">
        <v>215.4653887784404</v>
      </c>
      <c r="N131" s="27" t="n">
        <v>0.00947198688830417</v>
      </c>
      <c r="O131" s="26" t="n">
        <v>161.7486055620427</v>
      </c>
      <c r="P131" s="27" t="n">
        <v>0.01197631378991448</v>
      </c>
      <c r="Q131" s="26" t="n">
        <v>199.3909467228507</v>
      </c>
      <c r="R131" s="27" t="n">
        <v>0.0112645733082317</v>
      </c>
      <c r="S131" s="26" t="n">
        <v>182.1872421399943</v>
      </c>
      <c r="T131" s="27" t="n">
        <v>0.01290821153583721</v>
      </c>
      <c r="U131" s="26" t="n">
        <v>207.5547361386193</v>
      </c>
      <c r="V131" s="27" t="n">
        <v>0.01042178948506273</v>
      </c>
      <c r="W131" s="26" t="n">
        <v>213.6980723323186</v>
      </c>
      <c r="X131" s="27" t="n">
        <v>0.009505519234510901</v>
      </c>
      <c r="Y131" s="26" t="n">
        <v>182.6803054944801</v>
      </c>
      <c r="Z131" s="27" t="n">
        <v>0.009978869366927342</v>
      </c>
      <c r="AA131" s="26" t="n">
        <v>203.5895870767652</v>
      </c>
      <c r="AB131" s="27" t="n">
        <v>0.01107962674936623</v>
      </c>
    </row>
    <row r="132">
      <c r="A132" s="26" t="n">
        <v>156.2218070398438</v>
      </c>
      <c r="B132" s="27" t="n">
        <v>0.01377954955344525</v>
      </c>
      <c r="C132" s="26" t="n">
        <v>168.3654250940236</v>
      </c>
      <c r="D132" s="27" t="n">
        <v>0.01269220453458505</v>
      </c>
      <c r="E132" s="26" t="n">
        <v>207.0981435345921</v>
      </c>
      <c r="F132" s="27" t="n">
        <v>0.009873247669353609</v>
      </c>
      <c r="G132" s="26" t="n">
        <v>235.417155137606</v>
      </c>
      <c r="H132" s="27" t="n">
        <v>0.008192134711607036</v>
      </c>
      <c r="I132" s="26" t="n">
        <v>242.0686229931929</v>
      </c>
      <c r="J132" s="27" t="n">
        <v>0.007992483693336636</v>
      </c>
      <c r="K132" s="26" t="n">
        <v>234.5867704011596</v>
      </c>
      <c r="L132" s="27" t="n">
        <v>0.008333647600956506</v>
      </c>
      <c r="M132" s="26" t="n">
        <v>215.5566944805262</v>
      </c>
      <c r="N132" s="27" t="n">
        <v>0.009522555978516109</v>
      </c>
      <c r="O132" s="26" t="n">
        <v>161.8730102561312</v>
      </c>
      <c r="P132" s="27" t="n">
        <v>0.01203112847978726</v>
      </c>
      <c r="Q132" s="26" t="n">
        <v>199.4850334984837</v>
      </c>
      <c r="R132" s="27" t="n">
        <v>0.01133241928312486</v>
      </c>
      <c r="S132" s="26" t="n">
        <v>182.2936657480257</v>
      </c>
      <c r="T132" s="27" t="n">
        <v>0.01298882239044474</v>
      </c>
      <c r="U132" s="26" t="n">
        <v>207.6397814330716</v>
      </c>
      <c r="V132" s="27" t="n">
        <v>0.01048226844225066</v>
      </c>
      <c r="W132" s="26" t="n">
        <v>213.7762578243714</v>
      </c>
      <c r="X132" s="27" t="n">
        <v>0.009556464987817264</v>
      </c>
      <c r="Y132" s="26" t="n">
        <v>182.785746661087</v>
      </c>
      <c r="Z132" s="27" t="n">
        <v>0.01002154846041642</v>
      </c>
      <c r="AA132" s="26" t="n">
        <v>203.6697747384718</v>
      </c>
      <c r="AB132" s="27" t="n">
        <v>0.01114757478769892</v>
      </c>
    </row>
    <row r="133">
      <c r="A133" s="26" t="n">
        <v>156.3875687030492</v>
      </c>
      <c r="B133" s="27" t="n">
        <v>0.01384938223669067</v>
      </c>
      <c r="C133" s="26" t="n">
        <v>168.5054746078384</v>
      </c>
      <c r="D133" s="27" t="n">
        <v>0.01275872719777426</v>
      </c>
      <c r="E133" s="26" t="n">
        <v>207.2112011889487</v>
      </c>
      <c r="F133" s="27" t="n">
        <v>0.009924452330901522</v>
      </c>
      <c r="G133" s="26" t="n">
        <v>235.5038775682116</v>
      </c>
      <c r="H133" s="27" t="n">
        <v>0.008232269620474169</v>
      </c>
      <c r="I133" s="26" t="n">
        <v>242.1490074216929</v>
      </c>
      <c r="J133" s="27" t="n">
        <v>0.008032135044550979</v>
      </c>
      <c r="K133" s="26" t="n">
        <v>234.6630128955159</v>
      </c>
      <c r="L133" s="27" t="n">
        <v>0.008375744461259828</v>
      </c>
      <c r="M133" s="26" t="n">
        <v>215.648000182612</v>
      </c>
      <c r="N133" s="27" t="n">
        <v>0.009573395408113925</v>
      </c>
      <c r="O133" s="26" t="n">
        <v>161.9974149502198</v>
      </c>
      <c r="P133" s="27" t="n">
        <v>0.01208620104255286</v>
      </c>
      <c r="Q133" s="26" t="n">
        <v>199.5791202741166</v>
      </c>
      <c r="R133" s="27" t="n">
        <v>0.0114006651376308</v>
      </c>
      <c r="S133" s="26" t="n">
        <v>182.4000893560571</v>
      </c>
      <c r="T133" s="27" t="n">
        <v>0.01306991908707999</v>
      </c>
      <c r="U133" s="26" t="n">
        <v>207.7248267275239</v>
      </c>
      <c r="V133" s="27" t="n">
        <v>0.01054309426447625</v>
      </c>
      <c r="W133" s="26" t="n">
        <v>213.8544433164242</v>
      </c>
      <c r="X133" s="27" t="n">
        <v>0.009607683908936382</v>
      </c>
      <c r="Y133" s="26" t="n">
        <v>182.8911878276939</v>
      </c>
      <c r="Z133" s="27" t="n">
        <v>0.01006441343725626</v>
      </c>
      <c r="AA133" s="26" t="n">
        <v>203.7499624001784</v>
      </c>
      <c r="AB133" s="27" t="n">
        <v>0.01121592952800634</v>
      </c>
    </row>
    <row r="134">
      <c r="A134" s="26" t="n">
        <v>156.5533303662544</v>
      </c>
      <c r="B134" s="27" t="n">
        <v>0.01391957803428425</v>
      </c>
      <c r="C134" s="26" t="n">
        <v>168.6455241216532</v>
      </c>
      <c r="D134" s="27" t="n">
        <v>0.01282560227758826</v>
      </c>
      <c r="E134" s="26" t="n">
        <v>207.3242588433055</v>
      </c>
      <c r="F134" s="27" t="n">
        <v>0.009975924259094861</v>
      </c>
      <c r="G134" s="26" t="n">
        <v>235.5905999988171</v>
      </c>
      <c r="H134" s="27" t="n">
        <v>0.008272602235112626</v>
      </c>
      <c r="I134" s="26" t="n">
        <v>242.2293918501928</v>
      </c>
      <c r="J134" s="27" t="n">
        <v>0.008071983941441938</v>
      </c>
      <c r="K134" s="26" t="n">
        <v>234.7392553898723</v>
      </c>
      <c r="L134" s="27" t="n">
        <v>0.008418054730215292</v>
      </c>
      <c r="M134" s="26" t="n">
        <v>215.7393058846978</v>
      </c>
      <c r="N134" s="27" t="n">
        <v>0.009624506612553447</v>
      </c>
      <c r="O134" s="26" t="n">
        <v>162.1218196443083</v>
      </c>
      <c r="P134" s="27" t="n">
        <v>0.0121415327099473</v>
      </c>
      <c r="Q134" s="26" t="n">
        <v>199.6732070497495</v>
      </c>
      <c r="R134" s="27" t="n">
        <v>0.01146931311727253</v>
      </c>
      <c r="S134" s="26" t="n">
        <v>182.5065129640885</v>
      </c>
      <c r="T134" s="27" t="n">
        <v>0.01315150434517158</v>
      </c>
      <c r="U134" s="26" t="n">
        <v>207.8098720219762</v>
      </c>
      <c r="V134" s="27" t="n">
        <v>0.01060426888212396</v>
      </c>
      <c r="W134" s="26" t="n">
        <v>213.932628808477</v>
      </c>
      <c r="X134" s="27" t="n">
        <v>0.009659177453244502</v>
      </c>
      <c r="Y134" s="26" t="n">
        <v>182.9966289943008</v>
      </c>
      <c r="Z134" s="27" t="n">
        <v>0.01010746511722079</v>
      </c>
      <c r="AA134" s="26" t="n">
        <v>203.830150061885</v>
      </c>
      <c r="AB134" s="27" t="n">
        <v>0.01128469328406016</v>
      </c>
    </row>
    <row r="135">
      <c r="A135" s="26" t="n">
        <v>156.7190920294598</v>
      </c>
      <c r="B135" s="27" t="n">
        <v>0.0139901388083774</v>
      </c>
      <c r="C135" s="26" t="n">
        <v>168.785573635468</v>
      </c>
      <c r="D135" s="27" t="n">
        <v>0.01289283161429312</v>
      </c>
      <c r="E135" s="26" t="n">
        <v>207.4373164976622</v>
      </c>
      <c r="F135" s="27" t="n">
        <v>0.01002766484480987</v>
      </c>
      <c r="G135" s="26" t="n">
        <v>235.6773224294227</v>
      </c>
      <c r="H135" s="27" t="n">
        <v>0.008313133533323042</v>
      </c>
      <c r="I135" s="26" t="n">
        <v>242.3097762786928</v>
      </c>
      <c r="J135" s="27" t="n">
        <v>0.008112031371064561</v>
      </c>
      <c r="K135" s="26" t="n">
        <v>234.8154978842286</v>
      </c>
      <c r="L135" s="27" t="n">
        <v>0.008460579491590131</v>
      </c>
      <c r="M135" s="26" t="n">
        <v>215.8306115867837</v>
      </c>
      <c r="N135" s="27" t="n">
        <v>0.009675891034722729</v>
      </c>
      <c r="O135" s="26" t="n">
        <v>162.2462243383968</v>
      </c>
      <c r="P135" s="27" t="n">
        <v>0.0121971247196326</v>
      </c>
      <c r="Q135" s="26" t="n">
        <v>199.7672938253825</v>
      </c>
      <c r="R135" s="27" t="n">
        <v>0.01153836547886698</v>
      </c>
      <c r="S135" s="26" t="n">
        <v>182.6129365721198</v>
      </c>
      <c r="T135" s="27" t="n">
        <v>0.01323358089701946</v>
      </c>
      <c r="U135" s="26" t="n">
        <v>207.8949173164285</v>
      </c>
      <c r="V135" s="27" t="n">
        <v>0.01066579423557639</v>
      </c>
      <c r="W135" s="26" t="n">
        <v>214.0108143005298</v>
      </c>
      <c r="X135" s="27" t="n">
        <v>0.009710947083699295</v>
      </c>
      <c r="Y135" s="26" t="n">
        <v>183.1020701609077</v>
      </c>
      <c r="Z135" s="27" t="n">
        <v>0.01015070432373416</v>
      </c>
      <c r="AA135" s="26" t="n">
        <v>203.9103377235916</v>
      </c>
      <c r="AB135" s="27" t="n">
        <v>0.0113538683813958</v>
      </c>
    </row>
    <row r="136">
      <c r="A136" s="26" t="n">
        <v>156.8848536926651</v>
      </c>
      <c r="B136" s="27" t="n">
        <v>0.01406106643007987</v>
      </c>
      <c r="C136" s="26" t="n">
        <v>168.9256231492827</v>
      </c>
      <c r="D136" s="27" t="n">
        <v>0.01296041705723094</v>
      </c>
      <c r="E136" s="26" t="n">
        <v>207.5503741520189</v>
      </c>
      <c r="F136" s="27" t="n">
        <v>0.01007967548600421</v>
      </c>
      <c r="G136" s="26" t="n">
        <v>235.7640448600283</v>
      </c>
      <c r="H136" s="27" t="n">
        <v>0.008353864497749339</v>
      </c>
      <c r="I136" s="26" t="n">
        <v>242.3901607071927</v>
      </c>
      <c r="J136" s="27" t="n">
        <v>0.008152278325407138</v>
      </c>
      <c r="K136" s="26" t="n">
        <v>234.891740378585</v>
      </c>
      <c r="L136" s="27" t="n">
        <v>0.008503319834641861</v>
      </c>
      <c r="M136" s="26" t="n">
        <v>215.9219172888696</v>
      </c>
      <c r="N136" s="27" t="n">
        <v>0.009727550124977767</v>
      </c>
      <c r="O136" s="26" t="n">
        <v>162.3706290324854</v>
      </c>
      <c r="P136" s="27" t="n">
        <v>0.01225297831522533</v>
      </c>
      <c r="Q136" s="26" t="n">
        <v>199.8613806010154</v>
      </c>
      <c r="R136" s="27" t="n">
        <v>0.01160782449056643</v>
      </c>
      <c r="S136" s="26" t="n">
        <v>182.7193601801512</v>
      </c>
      <c r="T136" s="27" t="n">
        <v>0.01331615148782935</v>
      </c>
      <c r="U136" s="26" t="n">
        <v>207.9799626108808</v>
      </c>
      <c r="V136" s="27" t="n">
        <v>0.01072767227525709</v>
      </c>
      <c r="W136" s="26" t="n">
        <v>214.0889997925826</v>
      </c>
      <c r="X136" s="27" t="n">
        <v>0.009762994270877</v>
      </c>
      <c r="Y136" s="26" t="n">
        <v>183.2075113275147</v>
      </c>
      <c r="Z136" s="27" t="n">
        <v>0.01019413188388707</v>
      </c>
      <c r="AA136" s="26" t="n">
        <v>203.9905253852982</v>
      </c>
      <c r="AB136" s="27" t="n">
        <v>0.0114234571573556</v>
      </c>
    </row>
    <row r="137">
      <c r="A137" s="26" t="n">
        <v>157.0506153558704</v>
      </c>
      <c r="B137" s="27" t="n">
        <v>0.01413236277949466</v>
      </c>
      <c r="C137" s="26" t="n">
        <v>169.0656726630975</v>
      </c>
      <c r="D137" s="27" t="n">
        <v>0.01302836046485701</v>
      </c>
      <c r="E137" s="26" t="n">
        <v>207.6634318063756</v>
      </c>
      <c r="F137" s="27" t="n">
        <v>0.01013195758775078</v>
      </c>
      <c r="G137" s="26" t="n">
        <v>235.8507672906338</v>
      </c>
      <c r="H137" s="27" t="n">
        <v>0.008394796115902832</v>
      </c>
      <c r="I137" s="26" t="n">
        <v>242.4705451356926</v>
      </c>
      <c r="J137" s="27" t="n">
        <v>0.008192725801415696</v>
      </c>
      <c r="K137" s="26" t="n">
        <v>234.9679828729414</v>
      </c>
      <c r="L137" s="27" t="n">
        <v>0.008546276854145777</v>
      </c>
      <c r="M137" s="26" t="n">
        <v>216.0132229909554</v>
      </c>
      <c r="N137" s="27" t="n">
        <v>0.009779485341178463</v>
      </c>
      <c r="O137" s="26" t="n">
        <v>162.4950337265739</v>
      </c>
      <c r="P137" s="27" t="n">
        <v>0.01230909474632502</v>
      </c>
      <c r="Q137" s="26" t="n">
        <v>199.9554673766484</v>
      </c>
      <c r="R137" s="27" t="n">
        <v>0.0116776924319</v>
      </c>
      <c r="S137" s="26" t="n">
        <v>182.8257837881826</v>
      </c>
      <c r="T137" s="27" t="n">
        <v>0.01339921887574648</v>
      </c>
      <c r="U137" s="26" t="n">
        <v>208.0650079053331</v>
      </c>
      <c r="V137" s="27" t="n">
        <v>0.01078990496167312</v>
      </c>
      <c r="W137" s="26" t="n">
        <v>214.1671852846354</v>
      </c>
      <c r="X137" s="27" t="n">
        <v>0.009815320493009382</v>
      </c>
      <c r="Y137" s="26" t="n">
        <v>183.3129524941215</v>
      </c>
      <c r="Z137" s="27" t="n">
        <v>0.01023774862845328</v>
      </c>
      <c r="AA137" s="26" t="n">
        <v>204.0707130470048</v>
      </c>
      <c r="AB137" s="27" t="n">
        <v>0.01149346196113243</v>
      </c>
    </row>
    <row r="138">
      <c r="A138" s="26" t="n">
        <v>157.2163770190757</v>
      </c>
      <c r="B138" s="27" t="n">
        <v>0.0142040297457529</v>
      </c>
      <c r="C138" s="26" t="n">
        <v>169.2057221769123</v>
      </c>
      <c r="D138" s="27" t="n">
        <v>0.01309666370477752</v>
      </c>
      <c r="E138" s="26" t="n">
        <v>207.7764894607324</v>
      </c>
      <c r="F138" s="27" t="n">
        <v>0.01018451256227107</v>
      </c>
      <c r="G138" s="26" t="n">
        <v>235.9374897212394</v>
      </c>
      <c r="H138" s="27" t="n">
        <v>0.008435929380185961</v>
      </c>
      <c r="I138" s="26" t="n">
        <v>242.5509295641926</v>
      </c>
      <c r="J138" s="27" t="n">
        <v>0.00823337480101871</v>
      </c>
      <c r="K138" s="26" t="n">
        <v>235.0442253672977</v>
      </c>
      <c r="L138" s="27" t="n">
        <v>0.008589451650422653</v>
      </c>
      <c r="M138" s="26" t="n">
        <v>216.1045286930412</v>
      </c>
      <c r="N138" s="27" t="n">
        <v>0.009831698148724565</v>
      </c>
      <c r="O138" s="26" t="n">
        <v>162.6194384206625</v>
      </c>
      <c r="P138" s="27" t="n">
        <v>0.01236547526854242</v>
      </c>
      <c r="Q138" s="26" t="n">
        <v>200.0495541522814</v>
      </c>
      <c r="R138" s="27" t="n">
        <v>0.01174797159381449</v>
      </c>
      <c r="S138" s="26" t="n">
        <v>182.932207396214</v>
      </c>
      <c r="T138" s="27" t="n">
        <v>0.01348278583188941</v>
      </c>
      <c r="U138" s="26" t="n">
        <v>208.1500531997854</v>
      </c>
      <c r="V138" s="27" t="n">
        <v>0.01085249426545794</v>
      </c>
      <c r="W138" s="26" t="n">
        <v>214.2453707766882</v>
      </c>
      <c r="X138" s="27" t="n">
        <v>0.009867927236021121</v>
      </c>
      <c r="Y138" s="26" t="n">
        <v>183.4183936607284</v>
      </c>
      <c r="Z138" s="27" t="n">
        <v>0.01028155539190623</v>
      </c>
      <c r="AA138" s="26" t="n">
        <v>204.1509007087114</v>
      </c>
      <c r="AB138" s="27" t="n">
        <v>0.01156388515381313</v>
      </c>
    </row>
    <row r="139">
      <c r="A139" s="26" t="n">
        <v>157.382138682281</v>
      </c>
      <c r="B139" s="27" t="n">
        <v>0.01427606922704903</v>
      </c>
      <c r="C139" s="26" t="n">
        <v>169.3457716907271</v>
      </c>
      <c r="D139" s="27" t="n">
        <v>0.01316532865378725</v>
      </c>
      <c r="E139" s="26" t="n">
        <v>207.8895471150891</v>
      </c>
      <c r="F139" s="27" t="n">
        <v>0.01023734182896929</v>
      </c>
      <c r="G139" s="26" t="n">
        <v>236.024212151845</v>
      </c>
      <c r="H139" s="27" t="n">
        <v>0.008477265287916444</v>
      </c>
      <c r="I139" s="26" t="n">
        <v>242.6313139926925</v>
      </c>
      <c r="J139" s="27" t="n">
        <v>0.008274226331151796</v>
      </c>
      <c r="K139" s="26" t="n">
        <v>235.120467861654</v>
      </c>
      <c r="L139" s="27" t="n">
        <v>0.008632845329366123</v>
      </c>
      <c r="M139" s="26" t="n">
        <v>216.195834395127</v>
      </c>
      <c r="N139" s="27" t="n">
        <v>0.009884190020591606</v>
      </c>
      <c r="O139" s="26" t="n">
        <v>162.743843114751</v>
      </c>
      <c r="P139" s="27" t="n">
        <v>0.01242212114352869</v>
      </c>
      <c r="Q139" s="26" t="n">
        <v>200.1436409279143</v>
      </c>
      <c r="R139" s="27" t="n">
        <v>0.01181866427871606</v>
      </c>
      <c r="S139" s="26" t="n">
        <v>183.0386310042454</v>
      </c>
      <c r="T139" s="27" t="n">
        <v>0.01356685514038342</v>
      </c>
      <c r="U139" s="26" t="n">
        <v>208.2350984942377</v>
      </c>
      <c r="V139" s="27" t="n">
        <v>0.01091544216741423</v>
      </c>
      <c r="W139" s="26" t="n">
        <v>214.323556268741</v>
      </c>
      <c r="X139" s="27" t="n">
        <v>0.009920815993566982</v>
      </c>
      <c r="Y139" s="26" t="n">
        <v>183.5238348273354</v>
      </c>
      <c r="Z139" s="27" t="n">
        <v>0.01032555301243548</v>
      </c>
      <c r="AA139" s="26" t="n">
        <v>204.231088370418</v>
      </c>
      <c r="AB139" s="27" t="n">
        <v>0.01163472910842154</v>
      </c>
    </row>
    <row r="140">
      <c r="A140" s="26" t="n">
        <v>157.5479003454863</v>
      </c>
      <c r="B140" s="27" t="n">
        <v>0.01434848313067529</v>
      </c>
      <c r="C140" s="26" t="n">
        <v>169.4858212045419</v>
      </c>
      <c r="D140" s="27" t="n">
        <v>0.01323435719790708</v>
      </c>
      <c r="E140" s="26" t="n">
        <v>208.0026047694458</v>
      </c>
      <c r="F140" s="27" t="n">
        <v>0.01029044681446602</v>
      </c>
      <c r="G140" s="26" t="n">
        <v>236.1109345824505</v>
      </c>
      <c r="H140" s="27" t="n">
        <v>0.008518804841351606</v>
      </c>
      <c r="I140" s="26" t="n">
        <v>242.7116984211925</v>
      </c>
      <c r="J140" s="27" t="n">
        <v>0.008315281403782387</v>
      </c>
      <c r="K140" s="26" t="n">
        <v>235.1967103560104</v>
      </c>
      <c r="L140" s="27" t="n">
        <v>0.008676459002470722</v>
      </c>
      <c r="M140" s="26" t="n">
        <v>216.2871400972129</v>
      </c>
      <c r="N140" s="27" t="n">
        <v>0.009936962437367461</v>
      </c>
      <c r="O140" s="26" t="n">
        <v>162.8682478088396</v>
      </c>
      <c r="P140" s="27" t="n">
        <v>0.0124790336390037</v>
      </c>
      <c r="Q140" s="26" t="n">
        <v>200.2377277035473</v>
      </c>
      <c r="R140" s="27" t="n">
        <v>0.01188977280051101</v>
      </c>
      <c r="S140" s="26" t="n">
        <v>183.1450546122767</v>
      </c>
      <c r="T140" s="27" t="n">
        <v>0.01365142959839387</v>
      </c>
      <c r="U140" s="26" t="n">
        <v>208.32014378869</v>
      </c>
      <c r="V140" s="27" t="n">
        <v>0.01097875065855663</v>
      </c>
      <c r="W140" s="26" t="n">
        <v>214.4017417607938</v>
      </c>
      <c r="X140" s="27" t="n">
        <v>0.009973988267069791</v>
      </c>
      <c r="Y140" s="26" t="n">
        <v>183.6292759939423</v>
      </c>
      <c r="Z140" s="27" t="n">
        <v>0.01036974233196339</v>
      </c>
      <c r="AA140" s="26" t="n">
        <v>204.3112760321246</v>
      </c>
      <c r="AB140" s="27" t="n">
        <v>0.01170599620996199</v>
      </c>
    </row>
    <row r="141">
      <c r="A141" s="26" t="n">
        <v>157.7136620086916</v>
      </c>
      <c r="B141" s="27" t="n">
        <v>0.0144212733730571</v>
      </c>
      <c r="C141" s="26" t="n">
        <v>169.6258707183566</v>
      </c>
      <c r="D141" s="27" t="n">
        <v>0.01330375123242183</v>
      </c>
      <c r="E141" s="26" t="n">
        <v>208.1156624238025</v>
      </c>
      <c r="F141" s="27" t="n">
        <v>0.01034382895263252</v>
      </c>
      <c r="G141" s="26" t="n">
        <v>236.1976570130561</v>
      </c>
      <c r="H141" s="27" t="n">
        <v>0.008560549047712671</v>
      </c>
      <c r="I141" s="26" t="n">
        <v>242.7920828496924</v>
      </c>
      <c r="J141" s="27" t="n">
        <v>0.008356541035934835</v>
      </c>
      <c r="K141" s="26" t="n">
        <v>235.2729528503667</v>
      </c>
      <c r="L141" s="27" t="n">
        <v>0.008720293786859771</v>
      </c>
      <c r="M141" s="26" t="n">
        <v>216.3784457992987</v>
      </c>
      <c r="N141" s="27" t="n">
        <v>0.009990016887288476</v>
      </c>
      <c r="O141" s="26" t="n">
        <v>162.9926525029281</v>
      </c>
      <c r="P141" s="27" t="n">
        <v>0.01253621402878539</v>
      </c>
      <c r="Q141" s="26" t="n">
        <v>200.3318144791802</v>
      </c>
      <c r="R141" s="27" t="n">
        <v>0.01196129948464704</v>
      </c>
      <c r="S141" s="26" t="n">
        <v>183.2514782203081</v>
      </c>
      <c r="T141" s="27" t="n">
        <v>0.01373651201615881</v>
      </c>
      <c r="U141" s="26" t="n">
        <v>208.4051890831423</v>
      </c>
      <c r="V141" s="27" t="n">
        <v>0.01104242174015484</v>
      </c>
      <c r="W141" s="26" t="n">
        <v>214.4799272528466</v>
      </c>
      <c r="X141" s="27" t="n">
        <v>0.01002744556575776</v>
      </c>
      <c r="Y141" s="26" t="n">
        <v>183.7347171605492</v>
      </c>
      <c r="Z141" s="27" t="n">
        <v>0.01041412419616198</v>
      </c>
      <c r="AA141" s="26" t="n">
        <v>204.3914636938312</v>
      </c>
      <c r="AB141" s="27" t="n">
        <v>0.01177768885546256</v>
      </c>
    </row>
    <row r="142">
      <c r="A142" s="26" t="n">
        <v>157.8794236718969</v>
      </c>
      <c r="B142" s="27" t="n">
        <v>0.01449444187978788</v>
      </c>
      <c r="C142" s="26" t="n">
        <v>169.7659202321714</v>
      </c>
      <c r="D142" s="27" t="n">
        <v>0.01337351266191792</v>
      </c>
      <c r="E142" s="26" t="n">
        <v>208.2287200781593</v>
      </c>
      <c r="F142" s="27" t="n">
        <v>0.01039748968462486</v>
      </c>
      <c r="G142" s="26" t="n">
        <v>236.2843794436617</v>
      </c>
      <c r="H142" s="27" t="n">
        <v>0.008602498919209098</v>
      </c>
      <c r="I142" s="26" t="n">
        <v>242.8724672781923</v>
      </c>
      <c r="J142" s="27" t="n">
        <v>0.008398006249715527</v>
      </c>
      <c r="K142" s="26" t="n">
        <v>235.3491953447231</v>
      </c>
      <c r="L142" s="27" t="n">
        <v>0.008764350805313357</v>
      </c>
      <c r="M142" s="26" t="n">
        <v>216.4697515013846</v>
      </c>
      <c r="N142" s="27" t="n">
        <v>0.01004335486627605</v>
      </c>
      <c r="O142" s="26" t="n">
        <v>163.1170571970167</v>
      </c>
      <c r="P142" s="27" t="n">
        <v>0.0125936635928185</v>
      </c>
      <c r="Q142" s="26" t="n">
        <v>200.4259012548131</v>
      </c>
      <c r="R142" s="27" t="n">
        <v>0.01203324666815428</v>
      </c>
      <c r="S142" s="26" t="n">
        <v>183.3579018283394</v>
      </c>
      <c r="T142" s="27" t="n">
        <v>0.01382210521702188</v>
      </c>
      <c r="U142" s="26" t="n">
        <v>208.4902343775946</v>
      </c>
      <c r="V142" s="27" t="n">
        <v>0.01110645742377654</v>
      </c>
      <c r="W142" s="26" t="n">
        <v>214.5581127448994</v>
      </c>
      <c r="X142" s="27" t="n">
        <v>0.01008118940670245</v>
      </c>
      <c r="Y142" s="26" t="n">
        <v>183.8401583271561</v>
      </c>
      <c r="Z142" s="27" t="n">
        <v>0.01045869945446972</v>
      </c>
      <c r="AA142" s="26" t="n">
        <v>204.4716513555378</v>
      </c>
      <c r="AB142" s="27" t="n">
        <v>0.01184980945401792</v>
      </c>
    </row>
    <row r="143">
      <c r="A143" s="26" t="n">
        <v>158.0451853351022</v>
      </c>
      <c r="B143" s="27" t="n">
        <v>0.01456799058566418</v>
      </c>
      <c r="C143" s="26" t="n">
        <v>169.9059697459862</v>
      </c>
      <c r="D143" s="27" t="n">
        <v>0.01344364340032145</v>
      </c>
      <c r="E143" s="26" t="n">
        <v>208.341777732516</v>
      </c>
      <c r="F143" s="27" t="n">
        <v>0.010451430458918</v>
      </c>
      <c r="G143" s="26" t="n">
        <v>236.3711018742673</v>
      </c>
      <c r="H143" s="27" t="n">
        <v>0.008644655473063329</v>
      </c>
      <c r="I143" s="26" t="n">
        <v>242.9528517066923</v>
      </c>
      <c r="J143" s="27" t="n">
        <v>0.008439678072337956</v>
      </c>
      <c r="K143" s="26" t="n">
        <v>235.4254378390794</v>
      </c>
      <c r="L143" s="27" t="n">
        <v>0.008808631186296722</v>
      </c>
      <c r="M143" s="26" t="n">
        <v>216.5610572034704</v>
      </c>
      <c r="N143" s="27" t="n">
        <v>0.01009697787797345</v>
      </c>
      <c r="O143" s="26" t="n">
        <v>163.2414618911052</v>
      </c>
      <c r="P143" s="27" t="n">
        <v>0.01265138361720396</v>
      </c>
      <c r="Q143" s="26" t="n">
        <v>200.5199880304461</v>
      </c>
      <c r="R143" s="27" t="n">
        <v>0.01210561669968622</v>
      </c>
      <c r="S143" s="26" t="n">
        <v>183.4643254363708</v>
      </c>
      <c r="T143" s="27" t="n">
        <v>0.01390821203746459</v>
      </c>
      <c r="U143" s="26" t="n">
        <v>208.5752796720469</v>
      </c>
      <c r="V143" s="27" t="n">
        <v>0.01117085973133053</v>
      </c>
      <c r="W143" s="26" t="n">
        <v>214.6362982369522</v>
      </c>
      <c r="X143" s="27" t="n">
        <v>0.01013522131485684</v>
      </c>
      <c r="Y143" s="26" t="n">
        <v>183.945599493763</v>
      </c>
      <c r="Z143" s="27" t="n">
        <v>0.01050346896010835</v>
      </c>
      <c r="AA143" s="26" t="n">
        <v>204.5518390172444</v>
      </c>
      <c r="AB143" s="27" t="n">
        <v>0.01192236042683259</v>
      </c>
    </row>
    <row r="144">
      <c r="A144" s="26" t="n">
        <v>158.2109469983076</v>
      </c>
      <c r="B144" s="27" t="n">
        <v>0.01464192143472044</v>
      </c>
      <c r="C144" s="26" t="n">
        <v>170.046019259801</v>
      </c>
      <c r="D144" s="27" t="n">
        <v>0.01351414537093592</v>
      </c>
      <c r="E144" s="26" t="n">
        <v>208.4548353868727</v>
      </c>
      <c r="F144" s="27" t="n">
        <v>0.01050565273134065</v>
      </c>
      <c r="G144" s="26" t="n">
        <v>236.4578243048728</v>
      </c>
      <c r="H144" s="27" t="n">
        <v>0.008687019731535361</v>
      </c>
      <c r="I144" s="26" t="n">
        <v>243.0332361351922</v>
      </c>
      <c r="J144" s="27" t="n">
        <v>0.008481557536148031</v>
      </c>
      <c r="K144" s="26" t="n">
        <v>235.5016803334358</v>
      </c>
      <c r="L144" s="27" t="n">
        <v>0.008853136063988333</v>
      </c>
      <c r="M144" s="26" t="n">
        <v>216.6523629055562</v>
      </c>
      <c r="N144" s="27" t="n">
        <v>0.01015088743378229</v>
      </c>
      <c r="O144" s="26" t="n">
        <v>163.3658665851938</v>
      </c>
      <c r="P144" s="27" t="n">
        <v>0.01270937539422828</v>
      </c>
      <c r="Q144" s="26" t="n">
        <v>200.614074806079</v>
      </c>
      <c r="R144" s="27" t="n">
        <v>0.01217841193956071</v>
      </c>
      <c r="S144" s="26" t="n">
        <v>183.5707490444022</v>
      </c>
      <c r="T144" s="27" t="n">
        <v>0.01399483532713836</v>
      </c>
      <c r="U144" s="26" t="n">
        <v>208.6603249664992</v>
      </c>
      <c r="V144" s="27" t="n">
        <v>0.01123563069510972</v>
      </c>
      <c r="W144" s="26" t="n">
        <v>214.7144837290051</v>
      </c>
      <c r="X144" s="27" t="n">
        <v>0.01018954282309337</v>
      </c>
      <c r="Y144" s="26" t="n">
        <v>184.0510406603699</v>
      </c>
      <c r="Z144" s="27" t="n">
        <v>0.01054843357010006</v>
      </c>
      <c r="AA144" s="26" t="n">
        <v>204.632026678951</v>
      </c>
      <c r="AB144" s="27" t="n">
        <v>0.011995344207264</v>
      </c>
    </row>
    <row r="145">
      <c r="A145" s="26" t="n">
        <v>158.3767086615129</v>
      </c>
      <c r="B145" s="27" t="n">
        <v>0.01471623638026447</v>
      </c>
      <c r="C145" s="26" t="n">
        <v>170.1860687736157</v>
      </c>
      <c r="D145" s="27" t="n">
        <v>0.01358502050648004</v>
      </c>
      <c r="E145" s="26" t="n">
        <v>208.5678930412294</v>
      </c>
      <c r="F145" s="27" t="n">
        <v>0.0105601579651094</v>
      </c>
      <c r="G145" s="26" t="n">
        <v>236.5445467354784</v>
      </c>
      <c r="H145" s="27" t="n">
        <v>0.008729592721947524</v>
      </c>
      <c r="I145" s="26" t="n">
        <v>243.1136205636922</v>
      </c>
      <c r="J145" s="27" t="n">
        <v>0.008523645678649765</v>
      </c>
      <c r="K145" s="26" t="n">
        <v>235.5779228277922</v>
      </c>
      <c r="L145" s="27" t="n">
        <v>0.008897866578308751</v>
      </c>
      <c r="M145" s="26" t="n">
        <v>216.7436686076421</v>
      </c>
      <c r="N145" s="27" t="n">
        <v>0.01020508505289959</v>
      </c>
      <c r="O145" s="26" t="n">
        <v>163.4902712792823</v>
      </c>
      <c r="P145" s="27" t="n">
        <v>0.01276764022239271</v>
      </c>
      <c r="Q145" s="26" t="n">
        <v>200.708161581712</v>
      </c>
      <c r="R145" s="27" t="n">
        <v>0.01225163475980055</v>
      </c>
      <c r="S145" s="26" t="n">
        <v>183.6771726524336</v>
      </c>
      <c r="T145" s="27" t="n">
        <v>0.01408197794889642</v>
      </c>
      <c r="U145" s="26" t="n">
        <v>208.7453702609515</v>
      </c>
      <c r="V145" s="27" t="n">
        <v>0.01130077235783438</v>
      </c>
      <c r="W145" s="26" t="n">
        <v>214.7926692210578</v>
      </c>
      <c r="X145" s="27" t="n">
        <v>0.01024415547224229</v>
      </c>
      <c r="Y145" s="26" t="n">
        <v>184.1564818269769</v>
      </c>
      <c r="Z145" s="27" t="n">
        <v>0.01059359414528432</v>
      </c>
      <c r="AA145" s="26" t="n">
        <v>204.7122143406576</v>
      </c>
      <c r="AB145" s="27" t="n">
        <v>0.01206876324086533</v>
      </c>
    </row>
    <row r="146">
      <c r="A146" s="26" t="n">
        <v>158.5424703247182</v>
      </c>
      <c r="B146" s="27" t="n">
        <v>0.01479093738491226</v>
      </c>
      <c r="C146" s="26" t="n">
        <v>170.3261182874305</v>
      </c>
      <c r="D146" s="27" t="n">
        <v>0.01365627074912605</v>
      </c>
      <c r="E146" s="26" t="n">
        <v>208.6809506955861</v>
      </c>
      <c r="F146" s="27" t="n">
        <v>0.01061494763086375</v>
      </c>
      <c r="G146" s="26" t="n">
        <v>236.631269166084</v>
      </c>
      <c r="H146" s="27" t="n">
        <v>0.008772375476709532</v>
      </c>
      <c r="I146" s="26" t="n">
        <v>243.1940049921921</v>
      </c>
      <c r="J146" s="27" t="n">
        <v>0.00856594354253049</v>
      </c>
      <c r="K146" s="26" t="n">
        <v>235.6541653221485</v>
      </c>
      <c r="L146" s="27" t="n">
        <v>0.00894282387494872</v>
      </c>
      <c r="M146" s="26" t="n">
        <v>216.8349743097279</v>
      </c>
      <c r="N146" s="27" t="n">
        <v>0.01025957226235495</v>
      </c>
      <c r="O146" s="26" t="n">
        <v>163.6146759733708</v>
      </c>
      <c r="P146" s="27" t="n">
        <v>0.01282617940644327</v>
      </c>
      <c r="Q146" s="26" t="n">
        <v>200.8022483573449</v>
      </c>
      <c r="R146" s="27" t="n">
        <v>0.01232528754417461</v>
      </c>
      <c r="S146" s="26" t="n">
        <v>183.7835962604649</v>
      </c>
      <c r="T146" s="27" t="n">
        <v>0.01416964277882508</v>
      </c>
      <c r="U146" s="26" t="n">
        <v>208.8304155554038</v>
      </c>
      <c r="V146" s="27" t="n">
        <v>0.01136628677269546</v>
      </c>
      <c r="W146" s="26" t="n">
        <v>214.8708547131106</v>
      </c>
      <c r="X146" s="27" t="n">
        <v>0.01029906081113016</v>
      </c>
      <c r="Y146" s="26" t="n">
        <v>184.2619229935838</v>
      </c>
      <c r="Z146" s="27" t="n">
        <v>0.01063895155033507</v>
      </c>
      <c r="AA146" s="26" t="n">
        <v>204.7924020023642</v>
      </c>
      <c r="AB146" s="27" t="n">
        <v>0.01214261998542837</v>
      </c>
    </row>
    <row r="147">
      <c r="A147" s="26" t="n">
        <v>158.7082319879235</v>
      </c>
      <c r="B147" s="27" t="n">
        <v>0.01486602642062304</v>
      </c>
      <c r="C147" s="26" t="n">
        <v>170.4661678012453</v>
      </c>
      <c r="D147" s="27" t="n">
        <v>0.01372789805053755</v>
      </c>
      <c r="E147" s="26" t="n">
        <v>208.7940083499429</v>
      </c>
      <c r="F147" s="27" t="n">
        <v>0.0106700232067006</v>
      </c>
      <c r="G147" s="26" t="n">
        <v>236.7179915966896</v>
      </c>
      <c r="H147" s="27" t="n">
        <v>0.008815369033343448</v>
      </c>
      <c r="I147" s="26" t="n">
        <v>243.274389420692</v>
      </c>
      <c r="J147" s="27" t="n">
        <v>0.008608452175686719</v>
      </c>
      <c r="K147" s="26" t="n">
        <v>235.7304078165049</v>
      </c>
      <c r="L147" s="27" t="n">
        <v>0.008988009105398355</v>
      </c>
      <c r="M147" s="26" t="n">
        <v>216.9262800118137</v>
      </c>
      <c r="N147" s="27" t="n">
        <v>0.01031435059704752</v>
      </c>
      <c r="O147" s="26" t="n">
        <v>163.7390806674594</v>
      </c>
      <c r="P147" s="27" t="n">
        <v>0.01288499425740017</v>
      </c>
      <c r="Q147" s="26" t="n">
        <v>200.8963351329779</v>
      </c>
      <c r="R147" s="27" t="n">
        <v>0.01239937268823826</v>
      </c>
      <c r="S147" s="26" t="n">
        <v>183.8900198684963</v>
      </c>
      <c r="T147" s="27" t="n">
        <v>0.01425783270627521</v>
      </c>
      <c r="U147" s="26" t="n">
        <v>208.9154608498561</v>
      </c>
      <c r="V147" s="27" t="n">
        <v>0.01143217600339748</v>
      </c>
      <c r="W147" s="26" t="n">
        <v>214.9490402051634</v>
      </c>
      <c r="X147" s="27" t="n">
        <v>0.01035426039661809</v>
      </c>
      <c r="Y147" s="26" t="n">
        <v>184.3673641601907</v>
      </c>
      <c r="Z147" s="27" t="n">
        <v>0.01068450665377802</v>
      </c>
      <c r="AA147" s="26" t="n">
        <v>204.8725896640707</v>
      </c>
      <c r="AB147" s="27" t="n">
        <v>0.01221691691102631</v>
      </c>
    </row>
    <row r="148">
      <c r="A148" s="26" t="n">
        <v>158.8739936511288</v>
      </c>
      <c r="B148" s="27" t="n">
        <v>0.01494150546873459</v>
      </c>
      <c r="C148" s="26" t="n">
        <v>170.6062173150601</v>
      </c>
      <c r="D148" s="27" t="n">
        <v>0.01379990437190746</v>
      </c>
      <c r="E148" s="26" t="n">
        <v>208.9070660042996</v>
      </c>
      <c r="F148" s="27" t="n">
        <v>0.01072538617820943</v>
      </c>
      <c r="G148" s="26" t="n">
        <v>236.8047140272951</v>
      </c>
      <c r="H148" s="27" t="n">
        <v>0.008858574434508739</v>
      </c>
      <c r="I148" s="26" t="n">
        <v>243.354773849192</v>
      </c>
      <c r="J148" s="27" t="n">
        <v>0.00865117263124995</v>
      </c>
      <c r="K148" s="26" t="n">
        <v>235.8066503108612</v>
      </c>
      <c r="L148" s="27" t="n">
        <v>0.009033423426975764</v>
      </c>
      <c r="M148" s="26" t="n">
        <v>217.0175857138996</v>
      </c>
      <c r="N148" s="27" t="n">
        <v>0.01036942159978339</v>
      </c>
      <c r="O148" s="26" t="n">
        <v>163.8634853615479</v>
      </c>
      <c r="P148" s="27" t="n">
        <v>0.01294408609258762</v>
      </c>
      <c r="Q148" s="26" t="n">
        <v>200.9904219086109</v>
      </c>
      <c r="R148" s="27" t="n">
        <v>0.01247389259937394</v>
      </c>
      <c r="S148" s="26" t="n">
        <v>183.9964434765277</v>
      </c>
      <c r="T148" s="27" t="n">
        <v>0.0143465506338929</v>
      </c>
      <c r="U148" s="26" t="n">
        <v>209.0005061443085</v>
      </c>
      <c r="V148" s="27" t="n">
        <v>0.01149844212420237</v>
      </c>
      <c r="W148" s="26" t="n">
        <v>215.0272256972162</v>
      </c>
      <c r="X148" s="27" t="n">
        <v>0.01040975579364093</v>
      </c>
      <c r="Y148" s="26" t="n">
        <v>184.4728053267976</v>
      </c>
      <c r="Z148" s="27" t="n">
        <v>0.01073026032800795</v>
      </c>
      <c r="AA148" s="26" t="n">
        <v>204.9527773257773</v>
      </c>
      <c r="AB148" s="27" t="n">
        <v>0.01229165650005648</v>
      </c>
    </row>
    <row r="149">
      <c r="A149" s="26" t="n">
        <v>159.0397553143341</v>
      </c>
      <c r="B149" s="27" t="n">
        <v>0.01501737651999796</v>
      </c>
      <c r="C149" s="26" t="n">
        <v>170.7462668288749</v>
      </c>
      <c r="D149" s="27" t="n">
        <v>0.01387229168399645</v>
      </c>
      <c r="E149" s="26" t="n">
        <v>209.0201236586564</v>
      </c>
      <c r="F149" s="27" t="n">
        <v>0.01078103803850722</v>
      </c>
      <c r="G149" s="26" t="n">
        <v>236.8914364579007</v>
      </c>
      <c r="H149" s="27" t="n">
        <v>0.008901992728027736</v>
      </c>
      <c r="I149" s="26" t="n">
        <v>243.435158277692</v>
      </c>
      <c r="J149" s="27" t="n">
        <v>0.008694105967612595</v>
      </c>
      <c r="K149" s="26" t="n">
        <v>235.8828928052175</v>
      </c>
      <c r="L149" s="27" t="n">
        <v>0.009079068002856183</v>
      </c>
      <c r="M149" s="26" t="n">
        <v>217.1088914159855</v>
      </c>
      <c r="N149" s="27" t="n">
        <v>0.01042478682131306</v>
      </c>
      <c r="O149" s="26" t="n">
        <v>163.9878900556365</v>
      </c>
      <c r="P149" s="27" t="n">
        <v>0.01300345623566428</v>
      </c>
      <c r="Q149" s="26" t="n">
        <v>201.0845086842438</v>
      </c>
      <c r="R149" s="27" t="n">
        <v>0.01254884969683204</v>
      </c>
      <c r="S149" s="26" t="n">
        <v>184.1028670845591</v>
      </c>
      <c r="T149" s="27" t="n">
        <v>0.01443579947764994</v>
      </c>
      <c r="U149" s="26" t="n">
        <v>209.0855514387608</v>
      </c>
      <c r="V149" s="27" t="n">
        <v>0.01156508721997227</v>
      </c>
      <c r="W149" s="26" t="n">
        <v>215.105411189269</v>
      </c>
      <c r="X149" s="27" t="n">
        <v>0.01046554857524577</v>
      </c>
      <c r="Y149" s="26" t="n">
        <v>184.5782464934045</v>
      </c>
      <c r="Z149" s="27" t="n">
        <v>0.01077621344930593</v>
      </c>
      <c r="AA149" s="26" t="n">
        <v>205.0329649874839</v>
      </c>
      <c r="AB149" s="27" t="n">
        <v>0.01236684124728278</v>
      </c>
    </row>
    <row r="150">
      <c r="A150" s="26" t="n">
        <v>159.2055169775394</v>
      </c>
      <c r="B150" s="27" t="n">
        <v>0.01509364157461306</v>
      </c>
      <c r="C150" s="26" t="n">
        <v>170.8863163426896</v>
      </c>
      <c r="D150" s="27" t="n">
        <v>0.01394506196717087</v>
      </c>
      <c r="E150" s="26" t="n">
        <v>209.1331813130131</v>
      </c>
      <c r="F150" s="27" t="n">
        <v>0.01083698028827368</v>
      </c>
      <c r="G150" s="26" t="n">
        <v>236.9781588885062</v>
      </c>
      <c r="H150" s="27" t="n">
        <v>0.008945624966911035</v>
      </c>
      <c r="I150" s="26" t="n">
        <v>243.5155427061919</v>
      </c>
      <c r="J150" s="27" t="n">
        <v>0.008737253248453952</v>
      </c>
      <c r="K150" s="26" t="n">
        <v>235.9591352995739</v>
      </c>
      <c r="L150" s="27" t="n">
        <v>0.009124944002101013</v>
      </c>
      <c r="M150" s="26" t="n">
        <v>217.2001971180713</v>
      </c>
      <c r="N150" s="27" t="n">
        <v>0.01048044782036889</v>
      </c>
      <c r="O150" s="26" t="n">
        <v>164.112294749725</v>
      </c>
      <c r="P150" s="27" t="n">
        <v>0.01306310601665283</v>
      </c>
      <c r="Q150" s="26" t="n">
        <v>201.1785954598767</v>
      </c>
      <c r="R150" s="27" t="n">
        <v>0.01262424641177086</v>
      </c>
      <c r="S150" s="26" t="n">
        <v>184.2092906925905</v>
      </c>
      <c r="T150" s="27" t="n">
        <v>0.01452558216687434</v>
      </c>
      <c r="U150" s="26" t="n">
        <v>209.170596733213</v>
      </c>
      <c r="V150" s="27" t="n">
        <v>0.01163211338621336</v>
      </c>
      <c r="W150" s="26" t="n">
        <v>215.1835966813218</v>
      </c>
      <c r="X150" s="27" t="n">
        <v>0.01052164032263116</v>
      </c>
      <c r="Y150" s="26" t="n">
        <v>184.6836876600114</v>
      </c>
      <c r="Z150" s="27" t="n">
        <v>0.01082236689785685</v>
      </c>
      <c r="AA150" s="26" t="n">
        <v>205.1131526491905</v>
      </c>
      <c r="AB150" s="27" t="n">
        <v>0.01244247365987842</v>
      </c>
    </row>
    <row r="151">
      <c r="A151" s="26" t="n">
        <v>159.3712786407447</v>
      </c>
      <c r="B151" s="27" t="n">
        <v>0.01517030264226352</v>
      </c>
      <c r="C151" s="26" t="n">
        <v>171.0263658565044</v>
      </c>
      <c r="D151" s="27" t="n">
        <v>0.01401821721144111</v>
      </c>
      <c r="E151" s="26" t="n">
        <v>209.2462389673698</v>
      </c>
      <c r="F151" s="27" t="n">
        <v>0.01089321443578649</v>
      </c>
      <c r="G151" s="26" t="n">
        <v>237.0648813191118</v>
      </c>
      <c r="H151" s="27" t="n">
        <v>0.008989472209382815</v>
      </c>
      <c r="I151" s="26" t="n">
        <v>243.5959271346918</v>
      </c>
      <c r="J151" s="27" t="n">
        <v>0.008780615542766492</v>
      </c>
      <c r="K151" s="26" t="n">
        <v>236.0353777939303</v>
      </c>
      <c r="L151" s="27" t="n">
        <v>0.009171052599687195</v>
      </c>
      <c r="M151" s="26" t="n">
        <v>217.2915028201571</v>
      </c>
      <c r="N151" s="27" t="n">
        <v>0.01053640616370295</v>
      </c>
      <c r="O151" s="26" t="n">
        <v>164.2366994438136</v>
      </c>
      <c r="P151" s="27" t="n">
        <v>0.01312303677197052</v>
      </c>
      <c r="Q151" s="26" t="n">
        <v>201.2726822355096</v>
      </c>
      <c r="R151" s="27" t="n">
        <v>0.01270008518729725</v>
      </c>
      <c r="S151" s="26" t="n">
        <v>184.3157143006218</v>
      </c>
      <c r="T151" s="27" t="n">
        <v>0.01461590164427984</v>
      </c>
      <c r="U151" s="26" t="n">
        <v>209.2556420276654</v>
      </c>
      <c r="V151" s="27" t="n">
        <v>0.01169952272911902</v>
      </c>
      <c r="W151" s="26" t="n">
        <v>215.2617821733746</v>
      </c>
      <c r="X151" s="27" t="n">
        <v>0.01057803262518617</v>
      </c>
      <c r="Y151" s="26" t="n">
        <v>184.7891288266183</v>
      </c>
      <c r="Z151" s="27" t="n">
        <v>0.01086872155776696</v>
      </c>
      <c r="AA151" s="26" t="n">
        <v>205.1933403108971</v>
      </c>
      <c r="AB151" s="27" t="n">
        <v>0.01251855625746826</v>
      </c>
    </row>
    <row r="152">
      <c r="A152" s="26" t="n">
        <v>159.5370403039501</v>
      </c>
      <c r="B152" s="27" t="n">
        <v>0.01524736174215159</v>
      </c>
      <c r="C152" s="26" t="n">
        <v>171.1664153703192</v>
      </c>
      <c r="D152" s="27" t="n">
        <v>0.01409175941649963</v>
      </c>
      <c r="E152" s="26" t="n">
        <v>209.3592966217265</v>
      </c>
      <c r="F152" s="27" t="n">
        <v>0.01094974199695681</v>
      </c>
      <c r="G152" s="26" t="n">
        <v>237.1516037497174</v>
      </c>
      <c r="H152" s="27" t="n">
        <v>0.009033535518906659</v>
      </c>
      <c r="I152" s="26" t="n">
        <v>243.6763115631917</v>
      </c>
      <c r="J152" s="27" t="n">
        <v>0.008824193924882156</v>
      </c>
      <c r="K152" s="26" t="n">
        <v>236.1116202882866</v>
      </c>
      <c r="L152" s="27" t="n">
        <v>0.0092173949765366</v>
      </c>
      <c r="M152" s="26" t="n">
        <v>217.3828085222429</v>
      </c>
      <c r="N152" s="27" t="n">
        <v>0.01059266342612492</v>
      </c>
      <c r="O152" s="26" t="n">
        <v>164.3611041379021</v>
      </c>
      <c r="P152" s="27" t="n">
        <v>0.01318324984445971</v>
      </c>
      <c r="Q152" s="26" t="n">
        <v>201.3667690111426</v>
      </c>
      <c r="R152" s="27" t="n">
        <v>0.01277636847850688</v>
      </c>
      <c r="S152" s="26" t="n">
        <v>184.4221379086532</v>
      </c>
      <c r="T152" s="27" t="n">
        <v>0.01470676086599581</v>
      </c>
      <c r="U152" s="26" t="n">
        <v>209.3406873221177</v>
      </c>
      <c r="V152" s="27" t="n">
        <v>0.01176731736561342</v>
      </c>
      <c r="W152" s="26" t="n">
        <v>215.3399676654275</v>
      </c>
      <c r="X152" s="27" t="n">
        <v>0.01063472708052965</v>
      </c>
      <c r="Y152" s="26" t="n">
        <v>184.8945699932252</v>
      </c>
      <c r="Z152" s="27" t="n">
        <v>0.01091527831708142</v>
      </c>
      <c r="AA152" s="26" t="n">
        <v>205.2735279726037</v>
      </c>
      <c r="AB152" s="27" t="n">
        <v>0.01259509157217107</v>
      </c>
    </row>
    <row r="153">
      <c r="A153" s="26" t="n">
        <v>159.7028019671553</v>
      </c>
      <c r="B153" s="27" t="n">
        <v>0.01532482090303389</v>
      </c>
      <c r="C153" s="26" t="n">
        <v>171.306464884134</v>
      </c>
      <c r="D153" s="27" t="n">
        <v>0.01416569059175957</v>
      </c>
      <c r="E153" s="26" t="n">
        <v>209.4723542760833</v>
      </c>
      <c r="F153" s="27" t="n">
        <v>0.01100656449536465</v>
      </c>
      <c r="G153" s="26" t="n">
        <v>237.238326180323</v>
      </c>
      <c r="H153" s="27" t="n">
        <v>0.009077815964211354</v>
      </c>
      <c r="I153" s="26" t="n">
        <v>243.7566959916917</v>
      </c>
      <c r="J153" s="27" t="n">
        <v>0.008867989474498589</v>
      </c>
      <c r="K153" s="26" t="n">
        <v>236.187862782643</v>
      </c>
      <c r="L153" s="27" t="n">
        <v>0.009263972319545581</v>
      </c>
      <c r="M153" s="26" t="n">
        <v>217.4741142243288</v>
      </c>
      <c r="N153" s="27" t="n">
        <v>0.01064922119053971</v>
      </c>
      <c r="O153" s="26" t="n">
        <v>164.4855088319907</v>
      </c>
      <c r="P153" s="27" t="n">
        <v>0.01324374658341809</v>
      </c>
      <c r="Q153" s="26" t="n">
        <v>201.4608557867756</v>
      </c>
      <c r="R153" s="27" t="n">
        <v>0.01285309875252424</v>
      </c>
      <c r="S153" s="26" t="n">
        <v>184.5285615166846</v>
      </c>
      <c r="T153" s="27" t="n">
        <v>0.01479816280159637</v>
      </c>
      <c r="U153" s="26" t="n">
        <v>209.42573261657</v>
      </c>
      <c r="V153" s="27" t="n">
        <v>0.01183549942339502</v>
      </c>
      <c r="W153" s="26" t="n">
        <v>215.4181531574803</v>
      </c>
      <c r="X153" s="27" t="n">
        <v>0.01069172529454981</v>
      </c>
      <c r="Y153" s="26" t="n">
        <v>185.0000111598321</v>
      </c>
      <c r="Z153" s="27" t="n">
        <v>0.01096203806780209</v>
      </c>
      <c r="AA153" s="26" t="n">
        <v>205.3537156343103</v>
      </c>
      <c r="AB153" s="27" t="n">
        <v>0.01267208214864163</v>
      </c>
    </row>
    <row r="154">
      <c r="A154" s="26" t="n">
        <v>159.8685636303607</v>
      </c>
      <c r="B154" s="27" t="n">
        <v>0.01540268216325584</v>
      </c>
      <c r="C154" s="26" t="n">
        <v>171.4465143979487</v>
      </c>
      <c r="D154" s="27" t="n">
        <v>0.01424001275639265</v>
      </c>
      <c r="E154" s="26" t="n">
        <v>209.58541193044</v>
      </c>
      <c r="F154" s="27" t="n">
        <v>0.01106368346229471</v>
      </c>
      <c r="G154" s="26" t="n">
        <v>237.3250486109285</v>
      </c>
      <c r="H154" s="27" t="n">
        <v>0.009122314619316584</v>
      </c>
      <c r="I154" s="26" t="n">
        <v>243.8370804201916</v>
      </c>
      <c r="J154" s="27" t="n">
        <v>0.008912003276705976</v>
      </c>
      <c r="K154" s="26" t="n">
        <v>236.2641052769993</v>
      </c>
      <c r="L154" s="27" t="n">
        <v>0.009310785821614586</v>
      </c>
      <c r="M154" s="26" t="n">
        <v>217.5654199264146</v>
      </c>
      <c r="N154" s="27" t="n">
        <v>0.01070608104798591</v>
      </c>
      <c r="O154" s="26" t="n">
        <v>164.6099135260792</v>
      </c>
      <c r="P154" s="27" t="n">
        <v>0.01330452834462959</v>
      </c>
      <c r="Q154" s="26" t="n">
        <v>201.5549425624085</v>
      </c>
      <c r="R154" s="27" t="n">
        <v>0.01293027848854274</v>
      </c>
      <c r="S154" s="26" t="n">
        <v>184.634985124716</v>
      </c>
      <c r="T154" s="27" t="n">
        <v>0.01489011043412906</v>
      </c>
      <c r="U154" s="26" t="n">
        <v>209.5107779110223</v>
      </c>
      <c r="V154" s="27" t="n">
        <v>0.01190407104098003</v>
      </c>
      <c r="W154" s="26" t="n">
        <v>215.4963386495331</v>
      </c>
      <c r="X154" s="27" t="n">
        <v>0.01074902888144367</v>
      </c>
      <c r="Y154" s="26" t="n">
        <v>185.105452326439</v>
      </c>
      <c r="Z154" s="27" t="n">
        <v>0.01100900170590517</v>
      </c>
      <c r="AA154" s="26" t="n">
        <v>205.4339032960169</v>
      </c>
      <c r="AB154" s="27" t="n">
        <v>0.01274953054411325</v>
      </c>
    </row>
    <row r="155">
      <c r="A155" s="26" t="n">
        <v>160.034325293566</v>
      </c>
      <c r="B155" s="27" t="n">
        <v>0.01548094757078718</v>
      </c>
      <c r="C155" s="26" t="n">
        <v>171.5865639117635</v>
      </c>
      <c r="D155" s="27" t="n">
        <v>0.01431472793936798</v>
      </c>
      <c r="E155" s="26" t="n">
        <v>209.6984695847967</v>
      </c>
      <c r="F155" s="27" t="n">
        <v>0.01112110043677207</v>
      </c>
      <c r="G155" s="26" t="n">
        <v>237.4117710415341</v>
      </c>
      <c r="H155" s="27" t="n">
        <v>0.009167032563559156</v>
      </c>
      <c r="I155" s="26" t="n">
        <v>243.9174648486916</v>
      </c>
      <c r="J155" s="27" t="n">
        <v>0.008956236422013516</v>
      </c>
      <c r="K155" s="26" t="n">
        <v>236.3403477713557</v>
      </c>
      <c r="L155" s="27" t="n">
        <v>0.009357836681678158</v>
      </c>
      <c r="M155" s="26" t="n">
        <v>217.6567256285005</v>
      </c>
      <c r="N155" s="27" t="n">
        <v>0.01076324459767384</v>
      </c>
      <c r="O155" s="26" t="n">
        <v>164.7343182201678</v>
      </c>
      <c r="P155" s="27" t="n">
        <v>0.01336559649039502</v>
      </c>
      <c r="Q155" s="26" t="n">
        <v>201.6490293380415</v>
      </c>
      <c r="R155" s="27" t="n">
        <v>0.01300791017786467</v>
      </c>
      <c r="S155" s="26" t="n">
        <v>184.7414087327473</v>
      </c>
      <c r="T155" s="27" t="n">
        <v>0.01498260676014378</v>
      </c>
      <c r="U155" s="26" t="n">
        <v>209.5958232054746</v>
      </c>
      <c r="V155" s="27" t="n">
        <v>0.01197303436774601</v>
      </c>
      <c r="W155" s="26" t="n">
        <v>215.5745241415859</v>
      </c>
      <c r="X155" s="27" t="n">
        <v>0.01080663946375689</v>
      </c>
      <c r="Y155" s="26" t="n">
        <v>185.2108934930459</v>
      </c>
      <c r="Z155" s="27" t="n">
        <v>0.01105617013135913</v>
      </c>
      <c r="AA155" s="26" t="n">
        <v>205.5140909577235</v>
      </c>
      <c r="AB155" s="27" t="n">
        <v>0.0128274393284393</v>
      </c>
    </row>
    <row r="156">
      <c r="A156" s="26" t="n">
        <v>160.2000869567713</v>
      </c>
      <c r="B156" s="27" t="n">
        <v>0.01555961918325702</v>
      </c>
      <c r="C156" s="26" t="n">
        <v>171.7266134255783</v>
      </c>
      <c r="D156" s="27" t="n">
        <v>0.01438983817948999</v>
      </c>
      <c r="E156" s="26" t="n">
        <v>209.8115272391534</v>
      </c>
      <c r="F156" s="27" t="n">
        <v>0.01117881696559804</v>
      </c>
      <c r="G156" s="26" t="n">
        <v>237.4984934721397</v>
      </c>
      <c r="H156" s="27" t="n">
        <v>0.009211970881618951</v>
      </c>
      <c r="I156" s="26" t="n">
        <v>243.9978492771915</v>
      </c>
      <c r="J156" s="27" t="n">
        <v>0.00900069000637633</v>
      </c>
      <c r="K156" s="26" t="n">
        <v>236.416590265712</v>
      </c>
      <c r="L156" s="27" t="n">
        <v>0.009405126104734759</v>
      </c>
      <c r="M156" s="26" t="n">
        <v>217.7480313305863</v>
      </c>
      <c r="N156" s="27" t="n">
        <v>0.01082071344702394</v>
      </c>
      <c r="O156" s="26" t="n">
        <v>164.8587229142563</v>
      </c>
      <c r="P156" s="27" t="n">
        <v>0.01342695238956336</v>
      </c>
      <c r="Q156" s="26" t="n">
        <v>201.7431161136744</v>
      </c>
      <c r="R156" s="27" t="n">
        <v>0.01308599632394101</v>
      </c>
      <c r="S156" s="26" t="n">
        <v>184.8478323407787</v>
      </c>
      <c r="T156" s="27" t="n">
        <v>0.01507565478972039</v>
      </c>
      <c r="U156" s="26" t="n">
        <v>209.6808684999269</v>
      </c>
      <c r="V156" s="27" t="n">
        <v>0.01204239156397555</v>
      </c>
      <c r="W156" s="26" t="n">
        <v>215.6527096336387</v>
      </c>
      <c r="X156" s="27" t="n">
        <v>0.01086455867242366</v>
      </c>
      <c r="Y156" s="26" t="n">
        <v>185.3163346596529</v>
      </c>
      <c r="Z156" s="27" t="n">
        <v>0.01110354424814252</v>
      </c>
      <c r="AA156" s="26" t="n">
        <v>205.5942786194302</v>
      </c>
      <c r="AB156" s="27" t="n">
        <v>0.01290581108413533</v>
      </c>
    </row>
    <row r="157">
      <c r="A157" s="26" t="n">
        <v>160.3658486199766</v>
      </c>
      <c r="B157" s="27" t="n">
        <v>0.01563869906798886</v>
      </c>
      <c r="C157" s="26" t="n">
        <v>171.8666629393931</v>
      </c>
      <c r="D157" s="27" t="n">
        <v>0.0144653455254373</v>
      </c>
      <c r="E157" s="26" t="n">
        <v>209.9245848935101</v>
      </c>
      <c r="F157" s="27" t="n">
        <v>0.01123683460338636</v>
      </c>
      <c r="G157" s="26" t="n">
        <v>237.5852159027453</v>
      </c>
      <c r="H157" s="27" t="n">
        <v>0.009257130663545421</v>
      </c>
      <c r="I157" s="26" t="n">
        <v>244.0782337056914</v>
      </c>
      <c r="J157" s="27" t="n">
        <v>0.00904536513122233</v>
      </c>
      <c r="K157" s="26" t="n">
        <v>236.4928327600684</v>
      </c>
      <c r="L157" s="27" t="n">
        <v>0.009452655301876984</v>
      </c>
      <c r="M157" s="26" t="n">
        <v>217.8393370326721</v>
      </c>
      <c r="N157" s="27" t="n">
        <v>0.01087848921170529</v>
      </c>
      <c r="O157" s="26" t="n">
        <v>164.9831276083448</v>
      </c>
      <c r="P157" s="27" t="n">
        <v>0.0134885974175623</v>
      </c>
      <c r="Q157" s="26" t="n">
        <v>201.8372028893074</v>
      </c>
      <c r="R157" s="27" t="n">
        <v>0.01316453944241118</v>
      </c>
      <c r="S157" s="26" t="n">
        <v>184.9542559488101</v>
      </c>
      <c r="T157" s="27" t="n">
        <v>0.01516925754649699</v>
      </c>
      <c r="U157" s="26" t="n">
        <v>209.7659137943792</v>
      </c>
      <c r="V157" s="27" t="n">
        <v>0.01211214480089967</v>
      </c>
      <c r="W157" s="26" t="n">
        <v>215.7308951256915</v>
      </c>
      <c r="X157" s="27" t="n">
        <v>0.01092278814680663</v>
      </c>
      <c r="Y157" s="26" t="n">
        <v>185.4217758262598</v>
      </c>
      <c r="Z157" s="27" t="n">
        <v>0.01115112496426209</v>
      </c>
      <c r="AA157" s="26" t="n">
        <v>205.6744662811367</v>
      </c>
      <c r="AB157" s="27" t="n">
        <v>0.01298464840642077</v>
      </c>
    </row>
    <row r="158">
      <c r="A158" s="26" t="n">
        <v>160.5316102831819</v>
      </c>
      <c r="B158" s="27" t="n">
        <v>0.01571818930203586</v>
      </c>
      <c r="C158" s="26" t="n">
        <v>172.0067124532079</v>
      </c>
      <c r="D158" s="27" t="n">
        <v>0.0145412520358007</v>
      </c>
      <c r="E158" s="26" t="n">
        <v>210.0376425478669</v>
      </c>
      <c r="F158" s="27" t="n">
        <v>0.01129515491259915</v>
      </c>
      <c r="G158" s="26" t="n">
        <v>237.6719383333509</v>
      </c>
      <c r="H158" s="27" t="n">
        <v>0.009302513004783686</v>
      </c>
      <c r="I158" s="26" t="n">
        <v>244.1586181341914</v>
      </c>
      <c r="J158" s="27" t="n">
        <v>0.009090262903479328</v>
      </c>
      <c r="K158" s="26" t="n">
        <v>236.5690752544247</v>
      </c>
      <c r="L158" s="27" t="n">
        <v>0.009500425490321643</v>
      </c>
      <c r="M158" s="26" t="n">
        <v>217.930642734758</v>
      </c>
      <c r="N158" s="27" t="n">
        <v>0.0109365735156742</v>
      </c>
      <c r="O158" s="26" t="n">
        <v>165.1075323024334</v>
      </c>
      <c r="P158" s="27" t="n">
        <v>0.01355053295642997</v>
      </c>
      <c r="Q158" s="26" t="n">
        <v>201.9312896649403</v>
      </c>
      <c r="R158" s="27" t="n">
        <v>0.01324354206114248</v>
      </c>
      <c r="S158" s="26" t="n">
        <v>185.0606795568415</v>
      </c>
      <c r="T158" s="27" t="n">
        <v>0.01526341806769691</v>
      </c>
      <c r="U158" s="26" t="n">
        <v>209.8509590888315</v>
      </c>
      <c r="V158" s="27" t="n">
        <v>0.01218229626074184</v>
      </c>
      <c r="W158" s="26" t="n">
        <v>215.8090806177443</v>
      </c>
      <c r="X158" s="27" t="n">
        <v>0.01098132953473706</v>
      </c>
      <c r="Y158" s="26" t="n">
        <v>185.5272169928666</v>
      </c>
      <c r="Z158" s="27" t="n">
        <v>0.01119891319177084</v>
      </c>
      <c r="AA158" s="26" t="n">
        <v>205.7546539428433</v>
      </c>
      <c r="AB158" s="27" t="n">
        <v>0.01306395390326058</v>
      </c>
    </row>
    <row r="159">
      <c r="A159" s="26" t="n">
        <v>160.6973719463872</v>
      </c>
      <c r="B159" s="27" t="n">
        <v>0.01579809197221562</v>
      </c>
      <c r="C159" s="26" t="n">
        <v>172.1467619670226</v>
      </c>
      <c r="D159" s="27" t="n">
        <v>0.01461755977912199</v>
      </c>
      <c r="E159" s="26" t="n">
        <v>210.1507002022236</v>
      </c>
      <c r="F159" s="27" t="n">
        <v>0.01135377946358337</v>
      </c>
      <c r="G159" s="26" t="n">
        <v>237.7586607639564</v>
      </c>
      <c r="H159" s="27" t="n">
        <v>0.009348119006201291</v>
      </c>
      <c r="I159" s="26" t="n">
        <v>244.2390025626913</v>
      </c>
      <c r="J159" s="27" t="n">
        <v>0.009135384435602209</v>
      </c>
      <c r="K159" s="26" t="n">
        <v>236.6453177487811</v>
      </c>
      <c r="L159" s="27" t="n">
        <v>0.009548437893440457</v>
      </c>
      <c r="M159" s="26" t="n">
        <v>218.0219484368438</v>
      </c>
      <c r="N159" s="27" t="n">
        <v>0.01099496799121289</v>
      </c>
      <c r="O159" s="26" t="n">
        <v>165.2319369965219</v>
      </c>
      <c r="P159" s="27" t="n">
        <v>0.01361276039484598</v>
      </c>
      <c r="Q159" s="26" t="n">
        <v>202.0253764405733</v>
      </c>
      <c r="R159" s="27" t="n">
        <v>0.01332300672026992</v>
      </c>
      <c r="S159" s="26" t="n">
        <v>185.1671031648728</v>
      </c>
      <c r="T159" s="27" t="n">
        <v>0.01535813940415615</v>
      </c>
      <c r="U159" s="26" t="n">
        <v>209.9360043832838</v>
      </c>
      <c r="V159" s="27" t="n">
        <v>0.01225284813676122</v>
      </c>
      <c r="W159" s="26" t="n">
        <v>215.8872661097971</v>
      </c>
      <c r="X159" s="27" t="n">
        <v>0.01104018449255524</v>
      </c>
      <c r="Y159" s="26" t="n">
        <v>185.6326581594736</v>
      </c>
      <c r="Z159" s="27" t="n">
        <v>0.01124690984678618</v>
      </c>
      <c r="AA159" s="26" t="n">
        <v>205.8348416045499</v>
      </c>
      <c r="AB159" s="27" t="n">
        <v>0.01314373019540673</v>
      </c>
    </row>
    <row r="160">
      <c r="A160" s="26" t="n">
        <v>160.8631336095925</v>
      </c>
      <c r="B160" s="27" t="n">
        <v>0.01587840917514554</v>
      </c>
      <c r="C160" s="26" t="n">
        <v>172.2868114808374</v>
      </c>
      <c r="D160" s="27" t="n">
        <v>0.01469427083393225</v>
      </c>
      <c r="E160" s="26" t="n">
        <v>210.2637578565804</v>
      </c>
      <c r="F160" s="27" t="n">
        <v>0.01141270983460697</v>
      </c>
      <c r="G160" s="26" t="n">
        <v>237.845383194562</v>
      </c>
      <c r="H160" s="27" t="n">
        <v>0.009393949774114703</v>
      </c>
      <c r="I160" s="26" t="n">
        <v>244.3193869911913</v>
      </c>
      <c r="J160" s="27" t="n">
        <v>0.009180730845600242</v>
      </c>
      <c r="K160" s="26" t="n">
        <v>236.7215602431374</v>
      </c>
      <c r="L160" s="27" t="n">
        <v>0.009596693740790188</v>
      </c>
      <c r="M160" s="26" t="n">
        <v>218.1132541389296</v>
      </c>
      <c r="N160" s="27" t="n">
        <v>0.01105367427896854</v>
      </c>
      <c r="O160" s="26" t="n">
        <v>165.3563416906105</v>
      </c>
      <c r="P160" s="27" t="n">
        <v>0.01367528112816318</v>
      </c>
      <c r="Q160" s="26" t="n">
        <v>202.1194632162062</v>
      </c>
      <c r="R160" s="27" t="n">
        <v>0.0134029359722351</v>
      </c>
      <c r="S160" s="26" t="n">
        <v>185.2735267729042</v>
      </c>
      <c r="T160" s="27" t="n">
        <v>0.01545342462034966</v>
      </c>
      <c r="U160" s="26" t="n">
        <v>210.0210496777361</v>
      </c>
      <c r="V160" s="27" t="n">
        <v>0.0123238026332966</v>
      </c>
      <c r="W160" s="26" t="n">
        <v>215.9654516018499</v>
      </c>
      <c r="X160" s="27" t="n">
        <v>0.01109935468515106</v>
      </c>
      <c r="Y160" s="26" t="n">
        <v>185.7380993260805</v>
      </c>
      <c r="Z160" s="27" t="n">
        <v>0.01129511584950817</v>
      </c>
      <c r="AA160" s="26" t="n">
        <v>205.9150292662565</v>
      </c>
      <c r="AB160" s="27" t="n">
        <v>0.01322397991643952</v>
      </c>
    </row>
    <row r="161">
      <c r="A161" s="26" t="n">
        <v>161.0288952727978</v>
      </c>
      <c r="B161" s="27" t="n">
        <v>0.01595914301727782</v>
      </c>
      <c r="C161" s="26" t="n">
        <v>172.4268609946521</v>
      </c>
      <c r="D161" s="27" t="n">
        <v>0.01477138728879054</v>
      </c>
      <c r="E161" s="26" t="n">
        <v>210.376815510937</v>
      </c>
      <c r="F161" s="27" t="n">
        <v>0.01147194761189557</v>
      </c>
      <c r="G161" s="26" t="n">
        <v>237.9321056251676</v>
      </c>
      <c r="H161" s="27" t="n">
        <v>0.009440006420316095</v>
      </c>
      <c r="I161" s="26" t="n">
        <v>244.3997714196912</v>
      </c>
      <c r="J161" s="27" t="n">
        <v>0.009226303257064583</v>
      </c>
      <c r="K161" s="26" t="n">
        <v>236.7978027374938</v>
      </c>
      <c r="L161" s="27" t="n">
        <v>0.009645194268143718</v>
      </c>
      <c r="M161" s="26" t="n">
        <v>218.2045598410155</v>
      </c>
      <c r="N161" s="27" t="n">
        <v>0.01111269402799209</v>
      </c>
      <c r="O161" s="26" t="n">
        <v>165.480746384699</v>
      </c>
      <c r="P161" s="27" t="n">
        <v>0.01373809655843914</v>
      </c>
      <c r="Q161" s="26" t="n">
        <v>202.2135499918392</v>
      </c>
      <c r="R161" s="27" t="n">
        <v>0.01348333238182569</v>
      </c>
      <c r="S161" s="26" t="n">
        <v>185.3799503809356</v>
      </c>
      <c r="T161" s="27" t="n">
        <v>0.01554927679441761</v>
      </c>
      <c r="U161" s="26" t="n">
        <v>210.1060949721884</v>
      </c>
      <c r="V161" s="27" t="n">
        <v>0.01239516196581016</v>
      </c>
      <c r="W161" s="26" t="n">
        <v>216.0436370939027</v>
      </c>
      <c r="X161" s="27" t="n">
        <v>0.01115884178600426</v>
      </c>
      <c r="Y161" s="26" t="n">
        <v>185.8435404926874</v>
      </c>
      <c r="Z161" s="27" t="n">
        <v>0.01134353212423786</v>
      </c>
      <c r="AA161" s="26" t="n">
        <v>205.9952169279631</v>
      </c>
      <c r="AB161" s="27" t="n">
        <v>0.01330470571280894</v>
      </c>
    </row>
    <row r="162">
      <c r="A162" s="26" t="n">
        <v>161.1946569360031</v>
      </c>
      <c r="B162" s="27" t="n">
        <v>0.01604029561493431</v>
      </c>
      <c r="C162" s="26" t="n">
        <v>172.5669105084669</v>
      </c>
      <c r="D162" s="27" t="n">
        <v>0.0148489112423221</v>
      </c>
      <c r="E162" s="26" t="n">
        <v>210.4898731652938</v>
      </c>
      <c r="F162" s="27" t="n">
        <v>0.01153149438966902</v>
      </c>
      <c r="G162" s="26" t="n">
        <v>238.0188280557731</v>
      </c>
      <c r="H162" s="27" t="n">
        <v>0.009486290062100266</v>
      </c>
      <c r="I162" s="26" t="n">
        <v>244.4801558481911</v>
      </c>
      <c r="J162" s="27" t="n">
        <v>0.009272102799195752</v>
      </c>
      <c r="K162" s="26" t="n">
        <v>236.8740452318502</v>
      </c>
      <c r="L162" s="27" t="n">
        <v>0.009693940717520508</v>
      </c>
      <c r="M162" s="26" t="n">
        <v>218.2958655431013</v>
      </c>
      <c r="N162" s="27" t="n">
        <v>0.01117202889577744</v>
      </c>
      <c r="O162" s="26" t="n">
        <v>165.6051510787876</v>
      </c>
      <c r="P162" s="27" t="n">
        <v>0.01380120809446781</v>
      </c>
      <c r="Q162" s="26" t="n">
        <v>202.3076367674721</v>
      </c>
      <c r="R162" s="27" t="n">
        <v>0.01356419852621464</v>
      </c>
      <c r="S162" s="26" t="n">
        <v>185.486373988967</v>
      </c>
      <c r="T162" s="27" t="n">
        <v>0.01564569901819146</v>
      </c>
      <c r="U162" s="26" t="n">
        <v>210.1911402666407</v>
      </c>
      <c r="V162" s="27" t="n">
        <v>0.01246692836093079</v>
      </c>
      <c r="W162" s="26" t="n">
        <v>216.1218225859555</v>
      </c>
      <c r="X162" s="27" t="n">
        <v>0.0112186474772253</v>
      </c>
      <c r="Y162" s="26" t="n">
        <v>185.9489816592943</v>
      </c>
      <c r="Z162" s="27" t="n">
        <v>0.0113921595993957</v>
      </c>
      <c r="AA162" s="26" t="n">
        <v>206.0754045896697</v>
      </c>
      <c r="AB162" s="27" t="n">
        <v>0.01338591024387568</v>
      </c>
    </row>
    <row r="163">
      <c r="A163" s="26" t="n">
        <v>161.3604185992085</v>
      </c>
      <c r="B163" s="27" t="n">
        <v>0.01612186909434178</v>
      </c>
      <c r="C163" s="26" t="n">
        <v>172.7069600222817</v>
      </c>
      <c r="D163" s="27" t="n">
        <v>0.01492684480325733</v>
      </c>
      <c r="E163" s="26" t="n">
        <v>210.6029308196505</v>
      </c>
      <c r="F163" s="27" t="n">
        <v>0.01159135177017819</v>
      </c>
      <c r="G163" s="26" t="n">
        <v>238.1055504863787</v>
      </c>
      <c r="H163" s="27" t="n">
        <v>0.009532801822291681</v>
      </c>
      <c r="I163" s="26" t="n">
        <v>244.5605402766911</v>
      </c>
      <c r="J163" s="27" t="n">
        <v>0.009318130606831369</v>
      </c>
      <c r="K163" s="26" t="n">
        <v>236.9502877262065</v>
      </c>
      <c r="L163" s="27" t="n">
        <v>0.009742934337217821</v>
      </c>
      <c r="M163" s="26" t="n">
        <v>218.3871712451871</v>
      </c>
      <c r="N163" s="27" t="n">
        <v>0.01123168054830086</v>
      </c>
      <c r="O163" s="26" t="n">
        <v>165.7295557728761</v>
      </c>
      <c r="P163" s="27" t="n">
        <v>0.01386461715181185</v>
      </c>
      <c r="Q163" s="26" t="n">
        <v>202.401723543105</v>
      </c>
      <c r="R163" s="27" t="n">
        <v>0.01364553699499865</v>
      </c>
      <c r="S163" s="26" t="n">
        <v>185.5927975969983</v>
      </c>
      <c r="T163" s="27" t="n">
        <v>0.01574269439721922</v>
      </c>
      <c r="U163" s="26" t="n">
        <v>210.276185561093</v>
      </c>
      <c r="V163" s="27" t="n">
        <v>0.01253910405649841</v>
      </c>
      <c r="W163" s="26" t="n">
        <v>216.2000080780083</v>
      </c>
      <c r="X163" s="27" t="n">
        <v>0.01127877344959658</v>
      </c>
      <c r="Y163" s="26" t="n">
        <v>186.0544228259012</v>
      </c>
      <c r="Z163" s="27" t="n">
        <v>0.01144099920754003</v>
      </c>
      <c r="AA163" s="26" t="n">
        <v>206.1555922513763</v>
      </c>
      <c r="AB163" s="27" t="n">
        <v>0.01346759618195191</v>
      </c>
    </row>
    <row r="164">
      <c r="A164" s="26" t="n">
        <v>161.5261802624137</v>
      </c>
      <c r="B164" s="27" t="n">
        <v>0.01620386559166661</v>
      </c>
      <c r="C164" s="26" t="n">
        <v>172.8470095360965</v>
      </c>
      <c r="D164" s="27" t="n">
        <v>0.01500519009047004</v>
      </c>
      <c r="E164" s="26" t="n">
        <v>210.7159884740072</v>
      </c>
      <c r="F164" s="27" t="n">
        <v>0.01165152136374189</v>
      </c>
      <c r="G164" s="26" t="n">
        <v>238.1922729169843</v>
      </c>
      <c r="H164" s="27" t="n">
        <v>0.009579542829271632</v>
      </c>
      <c r="I164" s="26" t="n">
        <v>244.640924705191</v>
      </c>
      <c r="J164" s="27" t="n">
        <v>0.009364387820474131</v>
      </c>
      <c r="K164" s="26" t="n">
        <v>237.0265302205628</v>
      </c>
      <c r="L164" s="27" t="n">
        <v>0.009792176381841622</v>
      </c>
      <c r="M164" s="26" t="n">
        <v>218.478476947273</v>
      </c>
      <c r="N164" s="27" t="n">
        <v>0.01129165066006009</v>
      </c>
      <c r="O164" s="26" t="n">
        <v>165.8539604669647</v>
      </c>
      <c r="P164" s="27" t="n">
        <v>0.01392832515283423</v>
      </c>
      <c r="Q164" s="26" t="n">
        <v>202.495810318738</v>
      </c>
      <c r="R164" s="27" t="n">
        <v>0.01372735039023741</v>
      </c>
      <c r="S164" s="26" t="n">
        <v>185.6992212050297</v>
      </c>
      <c r="T164" s="27" t="n">
        <v>0.01584026605079035</v>
      </c>
      <c r="U164" s="26" t="n">
        <v>210.3612308555453</v>
      </c>
      <c r="V164" s="27" t="n">
        <v>0.01261169130160721</v>
      </c>
      <c r="W164" s="26" t="n">
        <v>216.2781935700611</v>
      </c>
      <c r="X164" s="27" t="n">
        <v>0.01133922140261298</v>
      </c>
      <c r="Y164" s="26" t="n">
        <v>186.1598639925081</v>
      </c>
      <c r="Z164" s="27" t="n">
        <v>0.01149005188538576</v>
      </c>
      <c r="AA164" s="26" t="n">
        <v>206.2357799130829</v>
      </c>
      <c r="AB164" s="27" t="n">
        <v>0.01354976621234243</v>
      </c>
    </row>
    <row r="165">
      <c r="A165" s="26" t="n">
        <v>161.6919419256191</v>
      </c>
      <c r="B165" s="27" t="n">
        <v>0.01628628725305017</v>
      </c>
      <c r="C165" s="26" t="n">
        <v>172.9870590499113</v>
      </c>
      <c r="D165" s="27" t="n">
        <v>0.01508394923301613</v>
      </c>
      <c r="E165" s="26" t="n">
        <v>210.8290461283639</v>
      </c>
      <c r="F165" s="27" t="n">
        <v>0.01171200478878349</v>
      </c>
      <c r="G165" s="26" t="n">
        <v>238.2789953475898</v>
      </c>
      <c r="H165" s="27" t="n">
        <v>0.009626514217005248</v>
      </c>
      <c r="I165" s="26" t="n">
        <v>244.721309133691</v>
      </c>
      <c r="J165" s="27" t="n">
        <v>0.009410875586319523</v>
      </c>
      <c r="K165" s="26" t="n">
        <v>237.1027727149192</v>
      </c>
      <c r="L165" s="27" t="n">
        <v>0.00984166811233804</v>
      </c>
      <c r="M165" s="26" t="n">
        <v>218.5697826493588</v>
      </c>
      <c r="N165" s="27" t="n">
        <v>0.01135194091411409</v>
      </c>
      <c r="O165" s="26" t="n">
        <v>165.9783651610532</v>
      </c>
      <c r="P165" s="27" t="n">
        <v>0.01399233352673074</v>
      </c>
      <c r="Q165" s="26" t="n">
        <v>202.5898970943709</v>
      </c>
      <c r="R165" s="27" t="n">
        <v>0.01380964132649212</v>
      </c>
      <c r="S165" s="26" t="n">
        <v>185.8056448130611</v>
      </c>
      <c r="T165" s="27" t="n">
        <v>0.0159384171119604</v>
      </c>
      <c r="U165" s="26" t="n">
        <v>210.4462761499976</v>
      </c>
      <c r="V165" s="27" t="n">
        <v>0.01268469235664965</v>
      </c>
      <c r="W165" s="26" t="n">
        <v>216.3563790621139</v>
      </c>
      <c r="X165" s="27" t="n">
        <v>0.01139999304452326</v>
      </c>
      <c r="Y165" s="26" t="n">
        <v>186.2653051591151</v>
      </c>
      <c r="Z165" s="27" t="n">
        <v>0.01153931857382283</v>
      </c>
      <c r="AA165" s="26" t="n">
        <v>206.3159675747895</v>
      </c>
      <c r="AB165" s="27" t="n">
        <v>0.01363242303338493</v>
      </c>
    </row>
    <row r="166">
      <c r="A166" s="26" t="n">
        <v>161.8577035888244</v>
      </c>
      <c r="B166" s="27" t="n">
        <v>0.01636913623464327</v>
      </c>
      <c r="C166" s="26" t="n">
        <v>173.127108563726</v>
      </c>
      <c r="D166" s="27" t="n">
        <v>0.01516312437017225</v>
      </c>
      <c r="E166" s="26" t="n">
        <v>210.9421037827207</v>
      </c>
      <c r="F166" s="27" t="n">
        <v>0.01177280367186854</v>
      </c>
      <c r="G166" s="26" t="n">
        <v>238.3657177781954</v>
      </c>
      <c r="H166" s="27" t="n">
        <v>0.00967371712506933</v>
      </c>
      <c r="I166" s="26" t="n">
        <v>244.8016935621909</v>
      </c>
      <c r="J166" s="27" t="n">
        <v>0.009457595056284247</v>
      </c>
      <c r="K166" s="26" t="n">
        <v>237.1790152092755</v>
      </c>
      <c r="L166" s="27" t="n">
        <v>0.009891410796024446</v>
      </c>
      <c r="M166" s="26" t="n">
        <v>218.6610883514447</v>
      </c>
      <c r="N166" s="27" t="n">
        <v>0.01141255300212255</v>
      </c>
      <c r="O166" s="26" t="n">
        <v>166.1027698551417</v>
      </c>
      <c r="P166" s="27" t="n">
        <v>0.01405664370956228</v>
      </c>
      <c r="Q166" s="26" t="n">
        <v>202.6839838700039</v>
      </c>
      <c r="R166" s="27" t="n">
        <v>0.01389241243086369</v>
      </c>
      <c r="S166" s="26" t="n">
        <v>185.9120684210924</v>
      </c>
      <c r="T166" s="27" t="n">
        <v>0.01603715072757537</v>
      </c>
      <c r="U166" s="26" t="n">
        <v>210.5313214444499</v>
      </c>
      <c r="V166" s="27" t="n">
        <v>0.01275810949336004</v>
      </c>
      <c r="W166" s="26" t="n">
        <v>216.4345645541667</v>
      </c>
      <c r="X166" s="27" t="n">
        <v>0.01146109009237152</v>
      </c>
      <c r="Y166" s="26" t="n">
        <v>186.370746325722</v>
      </c>
      <c r="Z166" s="27" t="n">
        <v>0.01158880021793509</v>
      </c>
      <c r="AA166" s="26" t="n">
        <v>206.3961552364961</v>
      </c>
      <c r="AB166" s="27" t="n">
        <v>0.01371556935649066</v>
      </c>
    </row>
    <row r="167">
      <c r="A167" s="26" t="n">
        <v>162.0234652520297</v>
      </c>
      <c r="B167" s="27" t="n">
        <v>0.01645241470264147</v>
      </c>
      <c r="C167" s="26" t="n">
        <v>173.2671580775408</v>
      </c>
      <c r="D167" s="27" t="n">
        <v>0.01524271765147429</v>
      </c>
      <c r="E167" s="26" t="n">
        <v>211.0551614370774</v>
      </c>
      <c r="F167" s="27" t="n">
        <v>0.01183391964774163</v>
      </c>
      <c r="G167" s="26" t="n">
        <v>238.452440208801</v>
      </c>
      <c r="H167" s="27" t="n">
        <v>0.009721152698679642</v>
      </c>
      <c r="I167" s="26" t="n">
        <v>244.8820779906908</v>
      </c>
      <c r="J167" s="27" t="n">
        <v>0.009504547388034173</v>
      </c>
      <c r="K167" s="26" t="n">
        <v>237.2552577036319</v>
      </c>
      <c r="L167" s="27" t="n">
        <v>0.009941405706621409</v>
      </c>
      <c r="M167" s="26" t="n">
        <v>218.7523940535305</v>
      </c>
      <c r="N167" s="27" t="n">
        <v>0.01147348862438578</v>
      </c>
      <c r="O167" s="26" t="n">
        <v>166.2271745492303</v>
      </c>
      <c r="P167" s="27" t="n">
        <v>0.01412125714428724</v>
      </c>
      <c r="Q167" s="26" t="n">
        <v>202.7780706456369</v>
      </c>
      <c r="R167" s="27" t="n">
        <v>0.0139756663430314</v>
      </c>
      <c r="S167" s="26" t="n">
        <v>186.0184920291238</v>
      </c>
      <c r="T167" s="27" t="n">
        <v>0.01613647005829494</v>
      </c>
      <c r="U167" s="26" t="n">
        <v>210.6163667389022</v>
      </c>
      <c r="V167" s="27" t="n">
        <v>0.01283194499485854</v>
      </c>
      <c r="W167" s="26" t="n">
        <v>216.5127500462195</v>
      </c>
      <c r="X167" s="27" t="n">
        <v>0.01152251427203822</v>
      </c>
      <c r="Y167" s="26" t="n">
        <v>186.4761874923289</v>
      </c>
      <c r="Z167" s="27" t="n">
        <v>0.01163849776701927</v>
      </c>
      <c r="AA167" s="26" t="n">
        <v>206.4763428982027</v>
      </c>
      <c r="AB167" s="27" t="n">
        <v>0.01379920790618464</v>
      </c>
    </row>
    <row r="168">
      <c r="A168" s="26" t="n">
        <v>162.189226915235</v>
      </c>
      <c r="B168" s="27" t="n">
        <v>0.01653612483331975</v>
      </c>
      <c r="C168" s="26" t="n">
        <v>173.4072075913556</v>
      </c>
      <c r="D168" s="27" t="n">
        <v>0.01532273123675601</v>
      </c>
      <c r="E168" s="26" t="n">
        <v>211.1682190914341</v>
      </c>
      <c r="F168" s="27" t="n">
        <v>0.01189535435936386</v>
      </c>
      <c r="G168" s="26" t="n">
        <v>238.5391626394065</v>
      </c>
      <c r="H168" s="27" t="n">
        <v>0.009768822088718446</v>
      </c>
      <c r="I168" s="26" t="n">
        <v>244.9624624191908</v>
      </c>
      <c r="J168" s="27" t="n">
        <v>0.009551733745012827</v>
      </c>
      <c r="K168" s="26" t="n">
        <v>237.3315001979882</v>
      </c>
      <c r="L168" s="27" t="n">
        <v>0.009991654124283839</v>
      </c>
      <c r="M168" s="26" t="n">
        <v>218.8436997556163</v>
      </c>
      <c r="N168" s="27" t="n">
        <v>0.01153474948988445</v>
      </c>
      <c r="O168" s="26" t="n">
        <v>166.3515792433188</v>
      </c>
      <c r="P168" s="27" t="n">
        <v>0.01418617528079411</v>
      </c>
      <c r="Q168" s="26" t="n">
        <v>202.8721574212698</v>
      </c>
      <c r="R168" s="27" t="n">
        <v>0.01405940571529095</v>
      </c>
      <c r="S168" s="26" t="n">
        <v>186.1249156371552</v>
      </c>
      <c r="T168" s="27" t="n">
        <v>0.01623637827861628</v>
      </c>
      <c r="U168" s="26" t="n">
        <v>210.7014120333546</v>
      </c>
      <c r="V168" s="27" t="n">
        <v>0.01290620115569461</v>
      </c>
      <c r="W168" s="26" t="n">
        <v>216.5909355382723</v>
      </c>
      <c r="X168" s="27" t="n">
        <v>0.01158426731828229</v>
      </c>
      <c r="Y168" s="26" t="n">
        <v>186.5816286589358</v>
      </c>
      <c r="Z168" s="27" t="n">
        <v>0.01168841217460355</v>
      </c>
      <c r="AA168" s="26" t="n">
        <v>206.5565305599093</v>
      </c>
      <c r="AB168" s="27" t="n">
        <v>0.01388334142014576</v>
      </c>
    </row>
    <row r="169">
      <c r="A169" s="26" t="n">
        <v>162.3549885784403</v>
      </c>
      <c r="B169" s="27" t="n">
        <v>0.01662026881306739</v>
      </c>
      <c r="C169" s="26" t="n">
        <v>173.5472571051704</v>
      </c>
      <c r="D169" s="27" t="n">
        <v>0.01540316729618782</v>
      </c>
      <c r="E169" s="26" t="n">
        <v>211.2812767457908</v>
      </c>
      <c r="F169" s="27" t="n">
        <v>0.01195710945795024</v>
      </c>
      <c r="G169" s="26" t="n">
        <v>238.6258850700121</v>
      </c>
      <c r="H169" s="27" t="n">
        <v>0.009816726451762627</v>
      </c>
      <c r="I169" s="26" t="n">
        <v>245.0428468476908</v>
      </c>
      <c r="J169" s="27" t="n">
        <v>0.009599155296469911</v>
      </c>
      <c r="K169" s="26" t="n">
        <v>237.4077426923446</v>
      </c>
      <c r="L169" s="27" t="n">
        <v>0.01004215733563336</v>
      </c>
      <c r="M169" s="26" t="n">
        <v>218.9350054577021</v>
      </c>
      <c r="N169" s="27" t="n">
        <v>0.01159633731631968</v>
      </c>
      <c r="O169" s="26" t="n">
        <v>166.4759839374074</v>
      </c>
      <c r="P169" s="27" t="n">
        <v>0.01425139957593465</v>
      </c>
      <c r="Q169" s="26" t="n">
        <v>202.9662441969027</v>
      </c>
      <c r="R169" s="27" t="n">
        <v>0.01414363321259252</v>
      </c>
      <c r="S169" s="26" t="n">
        <v>186.2313392451866</v>
      </c>
      <c r="T169" s="27" t="n">
        <v>0.01633687857689626</v>
      </c>
      <c r="U169" s="26" t="n">
        <v>210.7864573278069</v>
      </c>
      <c r="V169" s="27" t="n">
        <v>0.01298088028189091</v>
      </c>
      <c r="W169" s="26" t="n">
        <v>216.6691210303251</v>
      </c>
      <c r="X169" s="27" t="n">
        <v>0.01164635097478261</v>
      </c>
      <c r="Y169" s="26" t="n">
        <v>186.6870698255427</v>
      </c>
      <c r="Z169" s="27" t="n">
        <v>0.01173854439846688</v>
      </c>
      <c r="AA169" s="26" t="n">
        <v>206.6367182216159</v>
      </c>
      <c r="AB169" s="27" t="n">
        <v>0.01396797264924699</v>
      </c>
    </row>
    <row r="170">
      <c r="A170" s="26" t="n">
        <v>162.5207502416456</v>
      </c>
      <c r="B170" s="27" t="n">
        <v>0.01670484883842261</v>
      </c>
      <c r="C170" s="26" t="n">
        <v>173.6873066189852</v>
      </c>
      <c r="D170" s="27" t="n">
        <v>0.01548402801031508</v>
      </c>
      <c r="E170" s="26" t="n">
        <v>211.3943344001476</v>
      </c>
      <c r="F170" s="27" t="n">
        <v>0.01201918660300732</v>
      </c>
      <c r="G170" s="26" t="n">
        <v>238.7126075006177</v>
      </c>
      <c r="H170" s="27" t="n">
        <v>0.009864866950111293</v>
      </c>
      <c r="I170" s="26" t="n">
        <v>245.1232312761907</v>
      </c>
      <c r="J170" s="27" t="n">
        <v>0.009646813217489872</v>
      </c>
      <c r="K170" s="26" t="n">
        <v>237.483985186701</v>
      </c>
      <c r="L170" s="27" t="n">
        <v>0.0100929166337898</v>
      </c>
      <c r="M170" s="26" t="n">
        <v>219.026311159788</v>
      </c>
      <c r="N170" s="27" t="n">
        <v>0.01165825383015323</v>
      </c>
      <c r="O170" s="26" t="n">
        <v>166.6003886314959</v>
      </c>
      <c r="P170" s="27" t="n">
        <v>0.01431693149355621</v>
      </c>
      <c r="Q170" s="26" t="n">
        <v>203.0603309725357</v>
      </c>
      <c r="R170" s="27" t="n">
        <v>0.01422835151257833</v>
      </c>
      <c r="S170" s="26" t="n">
        <v>186.337762853218</v>
      </c>
      <c r="T170" s="27" t="n">
        <v>0.01643797415537429</v>
      </c>
      <c r="U170" s="26" t="n">
        <v>210.8715026222592</v>
      </c>
      <c r="V170" s="27" t="n">
        <v>0.01305598469098707</v>
      </c>
      <c r="W170" s="26" t="n">
        <v>216.7473065223779</v>
      </c>
      <c r="X170" s="27" t="n">
        <v>0.01170876699417977</v>
      </c>
      <c r="Y170" s="26" t="n">
        <v>186.7925109921496</v>
      </c>
      <c r="Z170" s="27" t="n">
        <v>0.01178889540065796</v>
      </c>
      <c r="AA170" s="26" t="n">
        <v>206.7169058833225</v>
      </c>
      <c r="AB170" s="27" t="n">
        <v>0.0140531043575947</v>
      </c>
    </row>
    <row r="171">
      <c r="A171" s="26" t="n">
        <v>162.6865119048509</v>
      </c>
      <c r="B171" s="27" t="n">
        <v>0.01678986711610776</v>
      </c>
      <c r="C171" s="26" t="n">
        <v>173.8273561327999</v>
      </c>
      <c r="D171" s="27" t="n">
        <v>0.015565315570097</v>
      </c>
      <c r="E171" s="26" t="n">
        <v>211.5073920545043</v>
      </c>
      <c r="F171" s="27" t="n">
        <v>0.01208158746237083</v>
      </c>
      <c r="G171" s="26" t="n">
        <v>238.7993299312233</v>
      </c>
      <c r="H171" s="27" t="n">
        <v>0.009913244751814036</v>
      </c>
      <c r="I171" s="26" t="n">
        <v>245.2036157046906</v>
      </c>
      <c r="J171" s="27" t="n">
        <v>0.009694708689020797</v>
      </c>
      <c r="K171" s="26" t="n">
        <v>237.5602276810573</v>
      </c>
      <c r="L171" s="27" t="n">
        <v>0.01014393331840363</v>
      </c>
      <c r="M171" s="26" t="n">
        <v>219.1176168618738</v>
      </c>
      <c r="N171" s="27" t="n">
        <v>0.01172050076664766</v>
      </c>
      <c r="O171" s="26" t="n">
        <v>166.7247933255845</v>
      </c>
      <c r="P171" s="27" t="n">
        <v>0.01438277250453528</v>
      </c>
      <c r="Q171" s="26" t="n">
        <v>203.1544177481686</v>
      </c>
      <c r="R171" s="27" t="n">
        <v>0.01431356330562057</v>
      </c>
      <c r="S171" s="26" t="n">
        <v>186.4441864612493</v>
      </c>
      <c r="T171" s="27" t="n">
        <v>0.01653966823019383</v>
      </c>
      <c r="U171" s="26" t="n">
        <v>210.9565479167115</v>
      </c>
      <c r="V171" s="27" t="n">
        <v>0.0131315167120833</v>
      </c>
      <c r="W171" s="26" t="n">
        <v>216.8254920144307</v>
      </c>
      <c r="X171" s="27" t="n">
        <v>0.01177151713811826</v>
      </c>
      <c r="Y171" s="26" t="n">
        <v>186.8979521587565</v>
      </c>
      <c r="Z171" s="27" t="n">
        <v>0.01183946614751433</v>
      </c>
      <c r="AA171" s="26" t="n">
        <v>206.7970935450291</v>
      </c>
      <c r="AB171" s="27" t="n">
        <v>0.01413873932256851</v>
      </c>
    </row>
    <row r="172">
      <c r="A172" s="26" t="n">
        <v>162.8522735680562</v>
      </c>
      <c r="B172" s="27" t="n">
        <v>0.01687532586306339</v>
      </c>
      <c r="C172" s="26" t="n">
        <v>173.9674056466147</v>
      </c>
      <c r="D172" s="27" t="n">
        <v>0.01564703217694513</v>
      </c>
      <c r="E172" s="26" t="n">
        <v>211.620449708861</v>
      </c>
      <c r="F172" s="27" t="n">
        <v>0.01214431371224333</v>
      </c>
      <c r="G172" s="26" t="n">
        <v>238.8860523618288</v>
      </c>
      <c r="H172" s="27" t="n">
        <v>0.009961861030699034</v>
      </c>
      <c r="I172" s="26" t="n">
        <v>245.2840001331905</v>
      </c>
      <c r="J172" s="27" t="n">
        <v>0.009742842897903205</v>
      </c>
      <c r="K172" s="26" t="n">
        <v>237.6364701754136</v>
      </c>
      <c r="L172" s="27" t="n">
        <v>0.01019520869568804</v>
      </c>
      <c r="M172" s="26" t="n">
        <v>219.2089225639597</v>
      </c>
      <c r="N172" s="27" t="n">
        <v>0.0117830798699068</v>
      </c>
      <c r="O172" s="26" t="n">
        <v>166.849198019673</v>
      </c>
      <c r="P172" s="27" t="n">
        <v>0.01444892408681037</v>
      </c>
      <c r="Q172" s="26" t="n">
        <v>203.2485045238016</v>
      </c>
      <c r="R172" s="27" t="n">
        <v>0.01439927129485863</v>
      </c>
      <c r="S172" s="26" t="n">
        <v>186.5506100692807</v>
      </c>
      <c r="T172" s="27" t="n">
        <v>0.0166419640314239</v>
      </c>
      <c r="U172" s="26" t="n">
        <v>211.0415932111638</v>
      </c>
      <c r="V172" s="27" t="n">
        <v>0.01320747868588417</v>
      </c>
      <c r="W172" s="26" t="n">
        <v>216.9036775064835</v>
      </c>
      <c r="X172" s="27" t="n">
        <v>0.01183460317728876</v>
      </c>
      <c r="Y172" s="26" t="n">
        <v>187.0033933253634</v>
      </c>
      <c r="Z172" s="27" t="n">
        <v>0.01189025760968184</v>
      </c>
      <c r="AA172" s="26" t="n">
        <v>206.8772812067357</v>
      </c>
      <c r="AB172" s="27" t="n">
        <v>0.01422488033486077</v>
      </c>
    </row>
    <row r="173">
      <c r="A173" s="26" t="n">
        <v>163.0180352312615</v>
      </c>
      <c r="B173" s="27" t="n">
        <v>0.01696122730648359</v>
      </c>
      <c r="C173" s="26" t="n">
        <v>174.1074551604295</v>
      </c>
      <c r="D173" s="27" t="n">
        <v>0.01572918004276203</v>
      </c>
      <c r="E173" s="26" t="n">
        <v>211.7335073632177</v>
      </c>
      <c r="F173" s="27" t="n">
        <v>0.01220736703723245</v>
      </c>
      <c r="G173" s="26" t="n">
        <v>238.9727747924344</v>
      </c>
      <c r="H173" s="27" t="n">
        <v>0.01001071696640145</v>
      </c>
      <c r="I173" s="26" t="n">
        <v>245.3643845616905</v>
      </c>
      <c r="J173" s="27" t="n">
        <v>0.009791217036899053</v>
      </c>
      <c r="K173" s="26" t="n">
        <v>237.71271266977</v>
      </c>
      <c r="L173" s="27" t="n">
        <v>0.01024674407845144</v>
      </c>
      <c r="M173" s="26" t="n">
        <v>219.3002282660455</v>
      </c>
      <c r="N173" s="27" t="n">
        <v>0.01184599289291624</v>
      </c>
      <c r="O173" s="26" t="n">
        <v>166.9736027137616</v>
      </c>
      <c r="P173" s="27" t="n">
        <v>0.01451538772541552</v>
      </c>
      <c r="Q173" s="26" t="n">
        <v>203.3425912994346</v>
      </c>
      <c r="R173" s="27" t="n">
        <v>0.01448547819623664</v>
      </c>
      <c r="S173" s="26" t="n">
        <v>186.6570336773121</v>
      </c>
      <c r="T173" s="27" t="n">
        <v>0.01674486480308005</v>
      </c>
      <c r="U173" s="26" t="n">
        <v>211.1266385056161</v>
      </c>
      <c r="V173" s="27" t="n">
        <v>0.01328387296474234</v>
      </c>
      <c r="W173" s="26" t="n">
        <v>216.9818629985363</v>
      </c>
      <c r="X173" s="27" t="n">
        <v>0.0118980268914701</v>
      </c>
      <c r="Y173" s="26" t="n">
        <v>187.1088344919703</v>
      </c>
      <c r="Z173" s="27" t="n">
        <v>0.01194127076213379</v>
      </c>
      <c r="AA173" s="26" t="n">
        <v>206.9574688684423</v>
      </c>
      <c r="AB173" s="27" t="n">
        <v>0.01431153019851553</v>
      </c>
    </row>
    <row r="174">
      <c r="A174" s="26" t="n">
        <v>163.1837968944669</v>
      </c>
      <c r="B174" s="27" t="n">
        <v>0.01704757368385005</v>
      </c>
      <c r="C174" s="26" t="n">
        <v>174.2475046742443</v>
      </c>
      <c r="D174" s="27" t="n">
        <v>0.01581176138997979</v>
      </c>
      <c r="E174" s="26" t="n">
        <v>211.8465650175744</v>
      </c>
      <c r="F174" s="27" t="n">
        <v>0.01227074913038867</v>
      </c>
      <c r="G174" s="26" t="n">
        <v>239.05949722304</v>
      </c>
      <c r="H174" s="27" t="n">
        <v>0.01005981374439173</v>
      </c>
      <c r="I174" s="26" t="n">
        <v>245.4447689901904</v>
      </c>
      <c r="J174" s="27" t="n">
        <v>0.009839832304721106</v>
      </c>
      <c r="K174" s="26" t="n">
        <v>237.7889551641263</v>
      </c>
      <c r="L174" s="27" t="n">
        <v>0.01029854078613002</v>
      </c>
      <c r="M174" s="26" t="n">
        <v>219.3915339681313</v>
      </c>
      <c r="N174" s="27" t="n">
        <v>0.011909241597584</v>
      </c>
      <c r="O174" s="26" t="n">
        <v>167.0980074078501</v>
      </c>
      <c r="P174" s="27" t="n">
        <v>0.01458216491251387</v>
      </c>
      <c r="Q174" s="26" t="n">
        <v>203.4366780750675</v>
      </c>
      <c r="R174" s="27" t="n">
        <v>0.01457218673854012</v>
      </c>
      <c r="S174" s="26" t="n">
        <v>186.7634572853434</v>
      </c>
      <c r="T174" s="27" t="n">
        <v>0.01684837380314448</v>
      </c>
      <c r="U174" s="26" t="n">
        <v>211.2116838000684</v>
      </c>
      <c r="V174" s="27" t="n">
        <v>0.01336070191270209</v>
      </c>
      <c r="W174" s="26" t="n">
        <v>217.0600484905892</v>
      </c>
      <c r="X174" s="27" t="n">
        <v>0.01196179006957197</v>
      </c>
      <c r="Y174" s="26" t="n">
        <v>187.2142756585772</v>
      </c>
      <c r="Z174" s="27" t="n">
        <v>0.01199250658419044</v>
      </c>
      <c r="AA174" s="26" t="n">
        <v>207.0376565301489</v>
      </c>
      <c r="AB174" s="27" t="n">
        <v>0.01439869173096753</v>
      </c>
    </row>
    <row r="175">
      <c r="A175" s="26" t="n">
        <v>163.3495585576721</v>
      </c>
      <c r="B175" s="27" t="n">
        <v>0.01713436724296682</v>
      </c>
      <c r="C175" s="26" t="n">
        <v>174.387554188059</v>
      </c>
      <c r="D175" s="27" t="n">
        <v>0.01589477845159875</v>
      </c>
      <c r="E175" s="26" t="n">
        <v>211.9596226719312</v>
      </c>
      <c r="F175" s="27" t="n">
        <v>0.01233446169324356</v>
      </c>
      <c r="G175" s="26" t="n">
        <v>239.1462196536456</v>
      </c>
      <c r="H175" s="27" t="n">
        <v>0.01010915255600432</v>
      </c>
      <c r="I175" s="26" t="n">
        <v>245.5251534186904</v>
      </c>
      <c r="J175" s="27" t="n">
        <v>0.009888689906062067</v>
      </c>
      <c r="K175" s="26" t="n">
        <v>237.8651976584827</v>
      </c>
      <c r="L175" s="27" t="n">
        <v>0.01035060014482033</v>
      </c>
      <c r="M175" s="26" t="n">
        <v>219.4828396702172</v>
      </c>
      <c r="N175" s="27" t="n">
        <v>0.01197282775478115</v>
      </c>
      <c r="O175" s="26" t="n">
        <v>167.2224121019387</v>
      </c>
      <c r="P175" s="27" t="n">
        <v>0.0146492571474311</v>
      </c>
      <c r="Q175" s="26" t="n">
        <v>203.5307648507004</v>
      </c>
      <c r="R175" s="27" t="n">
        <v>0.01465939966343338</v>
      </c>
      <c r="S175" s="26" t="n">
        <v>186.8698808933748</v>
      </c>
      <c r="T175" s="27" t="n">
        <v>0.01695249430358627</v>
      </c>
      <c r="U175" s="26" t="n">
        <v>211.2967290945207</v>
      </c>
      <c r="V175" s="27" t="n">
        <v>0.01343796790554311</v>
      </c>
      <c r="W175" s="26" t="n">
        <v>217.138233982642</v>
      </c>
      <c r="X175" s="27" t="n">
        <v>0.01202589450967741</v>
      </c>
      <c r="Y175" s="26" t="n">
        <v>187.3197168251841</v>
      </c>
      <c r="Z175" s="27" t="n">
        <v>0.01204396605953862</v>
      </c>
      <c r="AA175" s="26" t="n">
        <v>207.1178441918555</v>
      </c>
      <c r="AB175" s="27" t="n">
        <v>0.0144863677630811</v>
      </c>
    </row>
    <row r="176">
      <c r="A176" s="26" t="n">
        <v>163.5153202208775</v>
      </c>
      <c r="B176" s="27" t="n">
        <v>0.01722161024199507</v>
      </c>
      <c r="C176" s="26" t="n">
        <v>174.5276037018738</v>
      </c>
      <c r="D176" s="27" t="n">
        <v>0.01597823347122589</v>
      </c>
      <c r="E176" s="26" t="n">
        <v>212.0726803262879</v>
      </c>
      <c r="F176" s="27" t="n">
        <v>0.01239850643584792</v>
      </c>
      <c r="G176" s="26" t="n">
        <v>239.2329420842511</v>
      </c>
      <c r="H176" s="27" t="n">
        <v>0.01015873459846636</v>
      </c>
      <c r="I176" s="26" t="n">
        <v>245.6055378471903</v>
      </c>
      <c r="J176" s="27" t="n">
        <v>0.009937791051624099</v>
      </c>
      <c r="K176" s="26" t="n">
        <v>237.941440152839</v>
      </c>
      <c r="L176" s="27" t="n">
        <v>0.01040292348731222</v>
      </c>
      <c r="M176" s="26" t="n">
        <v>219.574145372303</v>
      </c>
      <c r="N176" s="27" t="n">
        <v>0.01203675314438291</v>
      </c>
      <c r="O176" s="26" t="n">
        <v>167.3468167960272</v>
      </c>
      <c r="P176" s="27" t="n">
        <v>0.01471666593668932</v>
      </c>
      <c r="Q176" s="26" t="n">
        <v>203.6248516263334</v>
      </c>
      <c r="R176" s="27" t="n">
        <v>0.01474711972549556</v>
      </c>
      <c r="S176" s="26" t="n">
        <v>186.9763045014062</v>
      </c>
      <c r="T176" s="27" t="n">
        <v>0.01705722959038053</v>
      </c>
      <c r="U176" s="26" t="n">
        <v>211.381774388973</v>
      </c>
      <c r="V176" s="27" t="n">
        <v>0.01351567333082415</v>
      </c>
      <c r="W176" s="26" t="n">
        <v>217.2164194746948</v>
      </c>
      <c r="X176" s="27" t="n">
        <v>0.01209034201908546</v>
      </c>
      <c r="Y176" s="26" t="n">
        <v>187.4251579917911</v>
      </c>
      <c r="Z176" s="27" t="n">
        <v>0.01209565017625124</v>
      </c>
      <c r="AA176" s="26" t="n">
        <v>207.198031853562</v>
      </c>
      <c r="AB176" s="27" t="n">
        <v>0.01457456113918868</v>
      </c>
    </row>
    <row r="177">
      <c r="A177" s="26" t="n">
        <v>163.6810818840828</v>
      </c>
      <c r="B177" s="27" t="n">
        <v>0.01730930494948701</v>
      </c>
      <c r="C177" s="26" t="n">
        <v>174.6676532156886</v>
      </c>
      <c r="D177" s="27" t="n">
        <v>0.01606212870311357</v>
      </c>
      <c r="E177" s="26" t="n">
        <v>212.1857379806446</v>
      </c>
      <c r="F177" s="27" t="n">
        <v>0.01246288507681031</v>
      </c>
      <c r="G177" s="26" t="n">
        <v>239.3196645148567</v>
      </c>
      <c r="H177" s="27" t="n">
        <v>0.01020856107492656</v>
      </c>
      <c r="I177" s="26" t="n">
        <v>245.6859222756902</v>
      </c>
      <c r="J177" s="27" t="n">
        <v>0.009987136958148372</v>
      </c>
      <c r="K177" s="26" t="n">
        <v>238.0176826471954</v>
      </c>
      <c r="L177" s="27" t="n">
        <v>0.01045551215312191</v>
      </c>
      <c r="M177" s="26" t="n">
        <v>219.6654510743888</v>
      </c>
      <c r="N177" s="27" t="n">
        <v>0.01210101955530946</v>
      </c>
      <c r="O177" s="26" t="n">
        <v>167.4712214901157</v>
      </c>
      <c r="P177" s="27" t="n">
        <v>0.01478439279404109</v>
      </c>
      <c r="Q177" s="26" t="n">
        <v>203.7189384019663</v>
      </c>
      <c r="R177" s="27" t="n">
        <v>0.01483534969225779</v>
      </c>
      <c r="S177" s="26" t="n">
        <v>187.0827281094376</v>
      </c>
      <c r="T177" s="27" t="n">
        <v>0.01716258296352724</v>
      </c>
      <c r="U177" s="26" t="n">
        <v>211.4668196834253</v>
      </c>
      <c r="V177" s="27" t="n">
        <v>0.01359382058792648</v>
      </c>
      <c r="W177" s="26" t="n">
        <v>217.2946049667476</v>
      </c>
      <c r="X177" s="27" t="n">
        <v>0.01215513441435419</v>
      </c>
      <c r="Y177" s="26" t="n">
        <v>187.530599158398</v>
      </c>
      <c r="Z177" s="27" t="n">
        <v>0.01214755992680707</v>
      </c>
      <c r="AA177" s="26" t="n">
        <v>207.2782195152687</v>
      </c>
      <c r="AB177" s="27" t="n">
        <v>0.01466327471712916</v>
      </c>
    </row>
    <row r="178">
      <c r="A178" s="26" t="n">
        <v>163.8468435472881</v>
      </c>
      <c r="B178" s="27" t="n">
        <v>0.01739745364442074</v>
      </c>
      <c r="C178" s="26" t="n">
        <v>174.8077027295034</v>
      </c>
      <c r="D178" s="27" t="n">
        <v>0.01614646641219813</v>
      </c>
      <c r="E178" s="26" t="n">
        <v>212.2987956350013</v>
      </c>
      <c r="F178" s="27" t="n">
        <v>0.01252759934333545</v>
      </c>
      <c r="G178" s="26" t="n">
        <v>239.4063869454623</v>
      </c>
      <c r="H178" s="27" t="n">
        <v>0.01025863319448409</v>
      </c>
      <c r="I178" s="26" t="n">
        <v>245.7663067041902</v>
      </c>
      <c r="J178" s="27" t="n">
        <v>0.01003672884844495</v>
      </c>
      <c r="K178" s="26" t="n">
        <v>238.0939251415518</v>
      </c>
      <c r="L178" s="27" t="n">
        <v>0.01050836748852501</v>
      </c>
      <c r="M178" s="26" t="n">
        <v>219.7567567764747</v>
      </c>
      <c r="N178" s="27" t="n">
        <v>0.01216562878556715</v>
      </c>
      <c r="O178" s="26" t="n">
        <v>167.5956261842043</v>
      </c>
      <c r="P178" s="27" t="n">
        <v>0.0148524392405033</v>
      </c>
      <c r="Q178" s="26" t="n">
        <v>203.8130251775993</v>
      </c>
      <c r="R178" s="27" t="n">
        <v>0.01492409234423876</v>
      </c>
      <c r="S178" s="26" t="n">
        <v>187.189151717469</v>
      </c>
      <c r="T178" s="27" t="n">
        <v>0.01726855773706975</v>
      </c>
      <c r="U178" s="26" t="n">
        <v>211.5518649778776</v>
      </c>
      <c r="V178" s="27" t="n">
        <v>0.01367241208809761</v>
      </c>
      <c r="W178" s="26" t="n">
        <v>217.3727904588004</v>
      </c>
      <c r="X178" s="27" t="n">
        <v>0.01222027352134354</v>
      </c>
      <c r="Y178" s="26" t="n">
        <v>187.6360403250049</v>
      </c>
      <c r="Z178" s="27" t="n">
        <v>0.01219969630811032</v>
      </c>
      <c r="AA178" s="26" t="n">
        <v>207.3584071769752</v>
      </c>
      <c r="AB178" s="27" t="n">
        <v>0.01475251136828583</v>
      </c>
    </row>
    <row r="179">
      <c r="A179" s="26" t="n">
        <v>164.0126052104934</v>
      </c>
      <c r="B179" s="27" t="n">
        <v>0.01748605861623425</v>
      </c>
      <c r="C179" s="26" t="n">
        <v>174.9477522433182</v>
      </c>
      <c r="D179" s="27" t="n">
        <v>0.01623124887413819</v>
      </c>
      <c r="E179" s="26" t="n">
        <v>212.4118532893581</v>
      </c>
      <c r="F179" s="27" t="n">
        <v>0.01259265097126271</v>
      </c>
      <c r="G179" s="26" t="n">
        <v>239.4931093760678</v>
      </c>
      <c r="H179" s="27" t="n">
        <v>0.01030895217221782</v>
      </c>
      <c r="I179" s="26" t="n">
        <v>245.8466911326901</v>
      </c>
      <c r="J179" s="27" t="n">
        <v>0.01008656795142242</v>
      </c>
      <c r="K179" s="26" t="n">
        <v>238.1701676359081</v>
      </c>
      <c r="L179" s="27" t="n">
        <v>0.01056149084658978</v>
      </c>
      <c r="M179" s="26" t="n">
        <v>219.8480624785605</v>
      </c>
      <c r="N179" s="27" t="n">
        <v>0.01223058264228965</v>
      </c>
      <c r="O179" s="26" t="n">
        <v>167.7200308782928</v>
      </c>
      <c r="P179" s="27" t="n">
        <v>0.01492080680439161</v>
      </c>
      <c r="Q179" s="26" t="n">
        <v>203.9071119532322</v>
      </c>
      <c r="R179" s="27" t="n">
        <v>0.01501335047498123</v>
      </c>
      <c r="S179" s="26" t="n">
        <v>187.2955753255003</v>
      </c>
      <c r="T179" s="27" t="n">
        <v>0.01737515723911252</v>
      </c>
      <c r="U179" s="26" t="n">
        <v>211.6369102723299</v>
      </c>
      <c r="V179" s="27" t="n">
        <v>0.01375145025449468</v>
      </c>
      <c r="W179" s="26" t="n">
        <v>217.4509759508531</v>
      </c>
      <c r="X179" s="27" t="n">
        <v>0.01228576117525851</v>
      </c>
      <c r="Y179" s="26" t="n">
        <v>187.7414814916118</v>
      </c>
      <c r="Z179" s="27" t="n">
        <v>0.01225206032151096</v>
      </c>
      <c r="AA179" s="26" t="n">
        <v>207.4385948386818</v>
      </c>
      <c r="AB179" s="27" t="n">
        <v>0.01484227397762456</v>
      </c>
    </row>
    <row r="180">
      <c r="A180" s="26" t="n">
        <v>164.1783668736987</v>
      </c>
      <c r="B180" s="27" t="n">
        <v>0.01757512216485993</v>
      </c>
      <c r="C180" s="26" t="n">
        <v>175.0878017571329</v>
      </c>
      <c r="D180" s="27" t="n">
        <v>0.01631647837535333</v>
      </c>
      <c r="E180" s="26" t="n">
        <v>212.5249109437148</v>
      </c>
      <c r="F180" s="27" t="n">
        <v>0.01265804170510513</v>
      </c>
      <c r="G180" s="26" t="n">
        <v>239.5798318066734</v>
      </c>
      <c r="H180" s="27" t="n">
        <v>0.0103595192292155</v>
      </c>
      <c r="I180" s="26" t="n">
        <v>245.9270755611901</v>
      </c>
      <c r="J180" s="27" t="n">
        <v>0.0101366555021181</v>
      </c>
      <c r="K180" s="26" t="n">
        <v>238.2464101302645</v>
      </c>
      <c r="L180" s="27" t="n">
        <v>0.01061488358721079</v>
      </c>
      <c r="M180" s="26" t="n">
        <v>219.9393681806464</v>
      </c>
      <c r="N180" s="27" t="n">
        <v>0.01229588294177944</v>
      </c>
      <c r="O180" s="26" t="n">
        <v>167.8444355723814</v>
      </c>
      <c r="P180" s="27" t="n">
        <v>0.01498949702135468</v>
      </c>
      <c r="Q180" s="26" t="n">
        <v>204.0011987288652</v>
      </c>
      <c r="R180" s="27" t="n">
        <v>0.01510312689108761</v>
      </c>
      <c r="S180" s="26" t="n">
        <v>187.4019989335317</v>
      </c>
      <c r="T180" s="27" t="n">
        <v>0.01748238481183821</v>
      </c>
      <c r="U180" s="26" t="n">
        <v>211.7219555667822</v>
      </c>
      <c r="V180" s="27" t="n">
        <v>0.01383093752222808</v>
      </c>
      <c r="W180" s="26" t="n">
        <v>217.529161442906</v>
      </c>
      <c r="X180" s="27" t="n">
        <v>0.01235159922069243</v>
      </c>
      <c r="Y180" s="26" t="n">
        <v>187.8469226582187</v>
      </c>
      <c r="Z180" s="27" t="n">
        <v>0.01230465297282424</v>
      </c>
      <c r="AA180" s="26" t="n">
        <v>207.5187825003885</v>
      </c>
      <c r="AB180" s="27" t="n">
        <v>0.01493256544373131</v>
      </c>
    </row>
    <row r="181">
      <c r="A181" s="26" t="n">
        <v>164.344128536904</v>
      </c>
      <c r="B181" s="27" t="n">
        <v>0.0176646466007587</v>
      </c>
      <c r="C181" s="26" t="n">
        <v>175.2278512709477</v>
      </c>
      <c r="D181" s="27" t="n">
        <v>0.01640215721306262</v>
      </c>
      <c r="E181" s="26" t="n">
        <v>212.6379685980716</v>
      </c>
      <c r="F181" s="27" t="n">
        <v>0.01272377329808776</v>
      </c>
      <c r="G181" s="26" t="n">
        <v>239.6665542372789</v>
      </c>
      <c r="H181" s="27" t="n">
        <v>0.01041033559260322</v>
      </c>
      <c r="I181" s="26" t="n">
        <v>246.00745998969</v>
      </c>
      <c r="J181" s="27" t="n">
        <v>0.01018699274172811</v>
      </c>
      <c r="K181" s="26" t="n">
        <v>238.3226526246208</v>
      </c>
      <c r="L181" s="27" t="n">
        <v>0.01066854707714231</v>
      </c>
      <c r="M181" s="26" t="n">
        <v>220.0306738827322</v>
      </c>
      <c r="N181" s="27" t="n">
        <v>0.01236153150954922</v>
      </c>
      <c r="O181" s="26" t="n">
        <v>167.96884026647</v>
      </c>
      <c r="P181" s="27" t="n">
        <v>0.0150585114344087</v>
      </c>
      <c r="Q181" s="26" t="n">
        <v>204.0952855044981</v>
      </c>
      <c r="R181" s="27" t="n">
        <v>0.01519342441225553</v>
      </c>
      <c r="S181" s="26" t="n">
        <v>187.508422541563</v>
      </c>
      <c r="T181" s="27" t="n">
        <v>0.01759024381152456</v>
      </c>
      <c r="U181" s="26" t="n">
        <v>211.8070008612345</v>
      </c>
      <c r="V181" s="27" t="n">
        <v>0.01391087633840472</v>
      </c>
      <c r="W181" s="26" t="n">
        <v>217.6073469349588</v>
      </c>
      <c r="X181" s="27" t="n">
        <v>0.01241778951167034</v>
      </c>
      <c r="Y181" s="26" t="n">
        <v>187.9523638248256</v>
      </c>
      <c r="Z181" s="27" t="n">
        <v>0.01235747527235096</v>
      </c>
      <c r="AA181" s="26" t="n">
        <v>207.598970162095</v>
      </c>
      <c r="AB181" s="27" t="n">
        <v>0.01502338867884923</v>
      </c>
    </row>
    <row r="182">
      <c r="A182" s="26" t="n">
        <v>164.5098902001093</v>
      </c>
      <c r="B182" s="27" t="n">
        <v>0.01775463424495366</v>
      </c>
      <c r="C182" s="26" t="n">
        <v>175.3679007847625</v>
      </c>
      <c r="D182" s="27" t="n">
        <v>0.01648828769532295</v>
      </c>
      <c r="E182" s="26" t="n">
        <v>212.7510262524283</v>
      </c>
      <c r="F182" s="27" t="n">
        <v>0.01278984751218707</v>
      </c>
      <c r="G182" s="26" t="n">
        <v>239.7532766678845</v>
      </c>
      <c r="H182" s="27" t="n">
        <v>0.010461402495575</v>
      </c>
      <c r="I182" s="26" t="n">
        <v>246.0878444181899</v>
      </c>
      <c r="J182" s="27" t="n">
        <v>0.01023758091763754</v>
      </c>
      <c r="K182" s="26" t="n">
        <v>238.3988951189771</v>
      </c>
      <c r="L182" s="27" t="n">
        <v>0.01072248269003222</v>
      </c>
      <c r="M182" s="26" t="n">
        <v>220.121979584818</v>
      </c>
      <c r="N182" s="27" t="n">
        <v>0.0124275301803635</v>
      </c>
      <c r="O182" s="26" t="n">
        <v>168.0932449605585</v>
      </c>
      <c r="P182" s="27" t="n">
        <v>0.01512785159397216</v>
      </c>
      <c r="Q182" s="26" t="n">
        <v>204.1893722801311</v>
      </c>
      <c r="R182" s="27" t="n">
        <v>0.01528424587131328</v>
      </c>
      <c r="S182" s="26" t="n">
        <v>187.6148461495944</v>
      </c>
      <c r="T182" s="27" t="n">
        <v>0.0176987376085605</v>
      </c>
      <c r="U182" s="26" t="n">
        <v>211.8920461556868</v>
      </c>
      <c r="V182" s="27" t="n">
        <v>0.01399126916217178</v>
      </c>
      <c r="W182" s="26" t="n">
        <v>217.6855324270116</v>
      </c>
      <c r="X182" s="27" t="n">
        <v>0.01248433391169261</v>
      </c>
      <c r="Y182" s="26" t="n">
        <v>188.0578049914325</v>
      </c>
      <c r="Z182" s="27" t="n">
        <v>0.01241052823489761</v>
      </c>
      <c r="AA182" s="26" t="n">
        <v>207.6791578238016</v>
      </c>
      <c r="AB182" s="27" t="n">
        <v>0.01511474660891636</v>
      </c>
    </row>
    <row r="183">
      <c r="A183" s="26" t="n">
        <v>164.6756518633146</v>
      </c>
      <c r="B183" s="27" t="n">
        <v>0.01784508742906486</v>
      </c>
      <c r="C183" s="26" t="n">
        <v>175.5079502985773</v>
      </c>
      <c r="D183" s="27" t="n">
        <v>0.01657487214106746</v>
      </c>
      <c r="E183" s="26" t="n">
        <v>212.864083906785</v>
      </c>
      <c r="F183" s="27" t="n">
        <v>0.01285626611816958</v>
      </c>
      <c r="G183" s="26" t="n">
        <v>239.8399990984901</v>
      </c>
      <c r="H183" s="27" t="n">
        <v>0.0105127211774222</v>
      </c>
      <c r="I183" s="26" t="n">
        <v>246.1682288466899</v>
      </c>
      <c r="J183" s="27" t="n">
        <v>0.01028842128345117</v>
      </c>
      <c r="K183" s="26" t="n">
        <v>238.4751376133335</v>
      </c>
      <c r="L183" s="27" t="n">
        <v>0.01077669180645577</v>
      </c>
      <c r="M183" s="26" t="n">
        <v>220.2132852869039</v>
      </c>
      <c r="N183" s="27" t="n">
        <v>0.01249388079828034</v>
      </c>
      <c r="O183" s="26" t="n">
        <v>168.217649654647</v>
      </c>
      <c r="P183" s="27" t="n">
        <v>0.01519751905790057</v>
      </c>
      <c r="Q183" s="26" t="n">
        <v>204.283459055764</v>
      </c>
      <c r="R183" s="27" t="n">
        <v>0.01537559411425469</v>
      </c>
      <c r="S183" s="26" t="n">
        <v>187.7212697576258</v>
      </c>
      <c r="T183" s="27" t="n">
        <v>0.01780786958746152</v>
      </c>
      <c r="U183" s="26" t="n">
        <v>211.9770914501391</v>
      </c>
      <c r="V183" s="27" t="n">
        <v>0.0140721184647597</v>
      </c>
      <c r="W183" s="26" t="n">
        <v>217.7637179190644</v>
      </c>
      <c r="X183" s="27" t="n">
        <v>0.01255123429377844</v>
      </c>
      <c r="Y183" s="26" t="n">
        <v>188.1632461580394</v>
      </c>
      <c r="Z183" s="27" t="n">
        <v>0.01246381287979661</v>
      </c>
      <c r="AA183" s="26" t="n">
        <v>207.7593454855082</v>
      </c>
      <c r="AB183" s="27" t="n">
        <v>0.01520664217360222</v>
      </c>
    </row>
    <row r="184">
      <c r="A184" s="26" t="n">
        <v>164.8414135265199</v>
      </c>
      <c r="B184" s="27" t="n">
        <v>0.01793600849534278</v>
      </c>
      <c r="C184" s="26" t="n">
        <v>175.647999812392</v>
      </c>
      <c r="D184" s="27" t="n">
        <v>0.01666191288014406</v>
      </c>
      <c r="E184" s="26" t="n">
        <v>212.9771415611417</v>
      </c>
      <c r="F184" s="27" t="n">
        <v>0.01292303089563123</v>
      </c>
      <c r="G184" s="26" t="n">
        <v>239.9267215290957</v>
      </c>
      <c r="H184" s="27" t="n">
        <v>0.01056429288356365</v>
      </c>
      <c r="I184" s="26" t="n">
        <v>246.2486132751898</v>
      </c>
      <c r="J184" s="27" t="n">
        <v>0.01033951509902372</v>
      </c>
      <c r="K184" s="26" t="n">
        <v>238.5513801076899</v>
      </c>
      <c r="L184" s="27" t="n">
        <v>0.01083117581394963</v>
      </c>
      <c r="M184" s="26" t="n">
        <v>220.3045909889897</v>
      </c>
      <c r="N184" s="27" t="n">
        <v>0.01256058521669304</v>
      </c>
      <c r="O184" s="26" t="n">
        <v>168.3420543487356</v>
      </c>
      <c r="P184" s="27" t="n">
        <v>0.01526751539152152</v>
      </c>
      <c r="Q184" s="26" t="n">
        <v>204.377545831397</v>
      </c>
      <c r="R184" s="27" t="n">
        <v>0.0154674720002742</v>
      </c>
      <c r="S184" s="26" t="n">
        <v>187.8276933656572</v>
      </c>
      <c r="T184" s="27" t="n">
        <v>0.0179176431468849</v>
      </c>
      <c r="U184" s="26" t="n">
        <v>212.0621367445914</v>
      </c>
      <c r="V184" s="27" t="n">
        <v>0.01415342672952568</v>
      </c>
      <c r="W184" s="26" t="n">
        <v>217.8419034111172</v>
      </c>
      <c r="X184" s="27" t="n">
        <v>0.01261849254050993</v>
      </c>
      <c r="Y184" s="26" t="n">
        <v>188.2686873246463</v>
      </c>
      <c r="Z184" s="27" t="n">
        <v>0.01251733023092666</v>
      </c>
      <c r="AA184" s="26" t="n">
        <v>207.8395331472149</v>
      </c>
      <c r="AB184" s="27" t="n">
        <v>0.01529907832634435</v>
      </c>
    </row>
    <row r="185">
      <c r="A185" s="26" t="n">
        <v>165.0071751897253</v>
      </c>
      <c r="B185" s="27" t="n">
        <v>0.01802739979670219</v>
      </c>
      <c r="C185" s="26" t="n">
        <v>175.7880493262068</v>
      </c>
      <c r="D185" s="27" t="n">
        <v>0.01674941225335367</v>
      </c>
      <c r="E185" s="26" t="n">
        <v>213.0901992154984</v>
      </c>
      <c r="F185" s="27" t="n">
        <v>0.01299014363303668</v>
      </c>
      <c r="G185" s="26" t="n">
        <v>240.0134439597013</v>
      </c>
      <c r="H185" s="27" t="n">
        <v>0.01061611886557549</v>
      </c>
      <c r="I185" s="26" t="n">
        <v>246.3289977036898</v>
      </c>
      <c r="J185" s="27" t="n">
        <v>0.01039086363049084</v>
      </c>
      <c r="K185" s="26" t="n">
        <v>238.6276226020462</v>
      </c>
      <c r="L185" s="27" t="n">
        <v>0.01088593610704632</v>
      </c>
      <c r="M185" s="26" t="n">
        <v>220.3958966910756</v>
      </c>
      <c r="N185" s="27" t="n">
        <v>0.01262764529837236</v>
      </c>
      <c r="O185" s="26" t="n">
        <v>168.4664590428241</v>
      </c>
      <c r="P185" s="27" t="n">
        <v>0.01533784216766969</v>
      </c>
      <c r="Q185" s="26" t="n">
        <v>204.4716326070299</v>
      </c>
      <c r="R185" s="27" t="n">
        <v>0.01555988240180124</v>
      </c>
      <c r="S185" s="26" t="n">
        <v>187.9341169736886</v>
      </c>
      <c r="T185" s="27" t="n">
        <v>0.01802806169964392</v>
      </c>
      <c r="U185" s="26" t="n">
        <v>212.1471820390437</v>
      </c>
      <c r="V185" s="27" t="n">
        <v>0.01423519645199695</v>
      </c>
      <c r="W185" s="26" t="n">
        <v>217.92008890317</v>
      </c>
      <c r="X185" s="27" t="n">
        <v>0.01268611054407583</v>
      </c>
      <c r="Y185" s="26" t="n">
        <v>188.3741284912532</v>
      </c>
      <c r="Z185" s="27" t="n">
        <v>0.01257108131673301</v>
      </c>
      <c r="AA185" s="26" t="n">
        <v>207.9197208089214</v>
      </c>
      <c r="AB185" s="27" t="n">
        <v>0.0153920580343849</v>
      </c>
    </row>
    <row r="186">
      <c r="A186" s="26" t="n">
        <v>165.1729368529305</v>
      </c>
      <c r="B186" s="27" t="n">
        <v>0.01811926369675618</v>
      </c>
      <c r="C186" s="26" t="n">
        <v>175.9280988400216</v>
      </c>
      <c r="D186" s="27" t="n">
        <v>0.01683737261248862</v>
      </c>
      <c r="E186" s="26" t="n">
        <v>213.2032568698552</v>
      </c>
      <c r="F186" s="27" t="n">
        <v>0.01305760612775832</v>
      </c>
      <c r="G186" s="26" t="n">
        <v>240.1001663903068</v>
      </c>
      <c r="H186" s="27" t="n">
        <v>0.01066820038122109</v>
      </c>
      <c r="I186" s="26" t="n">
        <v>246.4093821321897</v>
      </c>
      <c r="J186" s="27" t="n">
        <v>0.01044246815029964</v>
      </c>
      <c r="K186" s="26" t="n">
        <v>238.7038650964026</v>
      </c>
      <c r="L186" s="27" t="n">
        <v>0.01094097408730826</v>
      </c>
      <c r="M186" s="26" t="n">
        <v>220.4872023931614</v>
      </c>
      <c r="N186" s="27" t="n">
        <v>0.01269506291550826</v>
      </c>
      <c r="O186" s="26" t="n">
        <v>168.5908637369127</v>
      </c>
      <c r="P186" s="27" t="n">
        <v>0.01540850096672212</v>
      </c>
      <c r="Q186" s="26" t="n">
        <v>204.5657193826628</v>
      </c>
      <c r="R186" s="27" t="n">
        <v>0.01565282820453477</v>
      </c>
      <c r="S186" s="26" t="n">
        <v>188.0405405817199</v>
      </c>
      <c r="T186" s="27" t="n">
        <v>0.0181391286727219</v>
      </c>
      <c r="U186" s="26" t="n">
        <v>212.232227333496</v>
      </c>
      <c r="V186" s="27" t="n">
        <v>0.0143174301399139</v>
      </c>
      <c r="W186" s="26" t="n">
        <v>217.9982743952228</v>
      </c>
      <c r="X186" s="27" t="n">
        <v>0.01275409020631567</v>
      </c>
      <c r="Y186" s="26" t="n">
        <v>188.4795696578601</v>
      </c>
      <c r="Z186" s="27" t="n">
        <v>0.01262506717024831</v>
      </c>
      <c r="AA186" s="26" t="n">
        <v>207.999908470628</v>
      </c>
      <c r="AB186" s="27" t="n">
        <v>0.01548558427880661</v>
      </c>
    </row>
    <row r="187">
      <c r="A187" s="26" t="n">
        <v>165.3386985161359</v>
      </c>
      <c r="B187" s="27" t="n">
        <v>0.01821160256984957</v>
      </c>
      <c r="C187" s="26" t="n">
        <v>176.0681483538364</v>
      </c>
      <c r="D187" s="27" t="n">
        <v>0.01692579632037085</v>
      </c>
      <c r="E187" s="26" t="n">
        <v>213.3163145242119</v>
      </c>
      <c r="F187" s="27" t="n">
        <v>0.01312542018611626</v>
      </c>
      <c r="G187" s="26" t="n">
        <v>240.1868888209124</v>
      </c>
      <c r="H187" s="27" t="n">
        <v>0.01072053869448162</v>
      </c>
      <c r="I187" s="26" t="n">
        <v>246.4897665606896</v>
      </c>
      <c r="J187" s="27" t="n">
        <v>0.01049432993724003</v>
      </c>
      <c r="K187" s="26" t="n">
        <v>238.7801075907589</v>
      </c>
      <c r="L187" s="27" t="n">
        <v>0.01099629116336262</v>
      </c>
      <c r="M187" s="26" t="n">
        <v>220.5785080952472</v>
      </c>
      <c r="N187" s="27" t="n">
        <v>0.01276283994975229</v>
      </c>
      <c r="O187" s="26" t="n">
        <v>168.7152684310012</v>
      </c>
      <c r="P187" s="27" t="n">
        <v>0.01547949337663386</v>
      </c>
      <c r="Q187" s="26" t="n">
        <v>204.6598061582958</v>
      </c>
      <c r="R187" s="27" t="n">
        <v>0.01574631230747709</v>
      </c>
      <c r="S187" s="26" t="n">
        <v>188.1469641897513</v>
      </c>
      <c r="T187" s="27" t="n">
        <v>0.01825084750728499</v>
      </c>
      <c r="U187" s="26" t="n">
        <v>212.3172726279483</v>
      </c>
      <c r="V187" s="27" t="n">
        <v>0.01440013031327315</v>
      </c>
      <c r="W187" s="26" t="n">
        <v>218.0764598872756</v>
      </c>
      <c r="X187" s="27" t="n">
        <v>0.012822433438764</v>
      </c>
      <c r="Y187" s="26" t="n">
        <v>188.585010824467</v>
      </c>
      <c r="Z187" s="27" t="n">
        <v>0.01267928882911283</v>
      </c>
      <c r="AA187" s="26" t="n">
        <v>208.0800961323346</v>
      </c>
      <c r="AB187" s="27" t="n">
        <v>0.01557966005456861</v>
      </c>
    </row>
    <row r="188">
      <c r="A188" s="26" t="n">
        <v>165.5044601793412</v>
      </c>
      <c r="B188" s="27" t="n">
        <v>0.01830441880109277</v>
      </c>
      <c r="C188" s="26" t="n">
        <v>176.2081978676512</v>
      </c>
      <c r="D188" s="27" t="n">
        <v>0.01701468575089022</v>
      </c>
      <c r="E188" s="26" t="n">
        <v>213.4293721785686</v>
      </c>
      <c r="F188" s="27" t="n">
        <v>0.01319358762341733</v>
      </c>
      <c r="G188" s="26" t="n">
        <v>240.273611251518</v>
      </c>
      <c r="H188" s="27" t="n">
        <v>0.01077313507558612</v>
      </c>
      <c r="I188" s="26" t="n">
        <v>246.5701509891896</v>
      </c>
      <c r="J188" s="27" t="n">
        <v>0.01054645027647573</v>
      </c>
      <c r="K188" s="26" t="n">
        <v>238.8563500851153</v>
      </c>
      <c r="L188" s="27" t="n">
        <v>0.01105188875093551</v>
      </c>
      <c r="M188" s="26" t="n">
        <v>220.6698137973331</v>
      </c>
      <c r="N188" s="27" t="n">
        <v>0.01283097829225978</v>
      </c>
      <c r="O188" s="26" t="n">
        <v>168.8396731250897</v>
      </c>
      <c r="P188" s="27" t="n">
        <v>0.01555082099297327</v>
      </c>
      <c r="Q188" s="26" t="n">
        <v>204.7538929339288</v>
      </c>
      <c r="R188" s="27" t="n">
        <v>0.01584033762296778</v>
      </c>
      <c r="S188" s="26" t="n">
        <v>188.2533877977827</v>
      </c>
      <c r="T188" s="27" t="n">
        <v>0.01836322165869505</v>
      </c>
      <c r="U188" s="26" t="n">
        <v>212.4023179224006</v>
      </c>
      <c r="V188" s="27" t="n">
        <v>0.01448329950437076</v>
      </c>
      <c r="W188" s="26" t="n">
        <v>218.1546453793284</v>
      </c>
      <c r="X188" s="27" t="n">
        <v>0.01289114216269467</v>
      </c>
      <c r="Y188" s="26" t="n">
        <v>188.690451991074</v>
      </c>
      <c r="Z188" s="27" t="n">
        <v>0.0127337473355955</v>
      </c>
      <c r="AA188" s="26" t="n">
        <v>208.1602837940412</v>
      </c>
      <c r="AB188" s="27" t="n">
        <v>0.01567428837054206</v>
      </c>
    </row>
    <row r="189">
      <c r="A189" s="26" t="n">
        <v>165.6702218425465</v>
      </c>
      <c r="B189" s="27" t="n">
        <v>0.01839771478639486</v>
      </c>
      <c r="C189" s="26" t="n">
        <v>176.3482473814659</v>
      </c>
      <c r="D189" s="27" t="n">
        <v>0.01710404328904263</v>
      </c>
      <c r="E189" s="26" t="n">
        <v>213.5424298329253</v>
      </c>
      <c r="F189" s="27" t="n">
        <v>0.01326211026399521</v>
      </c>
      <c r="G189" s="26" t="n">
        <v>240.3603336821236</v>
      </c>
      <c r="H189" s="27" t="n">
        <v>0.01082599080104206</v>
      </c>
      <c r="I189" s="26" t="n">
        <v>246.6505354176896</v>
      </c>
      <c r="J189" s="27" t="n">
        <v>0.0105988304595754</v>
      </c>
      <c r="K189" s="26" t="n">
        <v>238.9325925794716</v>
      </c>
      <c r="L189" s="27" t="n">
        <v>0.01110776827288738</v>
      </c>
      <c r="M189" s="26" t="n">
        <v>220.7611194994189</v>
      </c>
      <c r="N189" s="27" t="n">
        <v>0.01289947984373231</v>
      </c>
      <c r="O189" s="26" t="n">
        <v>168.9640778191783</v>
      </c>
      <c r="P189" s="27" t="n">
        <v>0.01562248541895775</v>
      </c>
      <c r="Q189" s="26" t="n">
        <v>204.8479797095617</v>
      </c>
      <c r="R189" s="27" t="n">
        <v>0.01593490707671727</v>
      </c>
      <c r="S189" s="26" t="n">
        <v>188.359811405814</v>
      </c>
      <c r="T189" s="27" t="n">
        <v>0.01847625459652167</v>
      </c>
      <c r="U189" s="26" t="n">
        <v>212.4873632168529</v>
      </c>
      <c r="V189" s="27" t="n">
        <v>0.01456694025784516</v>
      </c>
      <c r="W189" s="26" t="n">
        <v>218.2328308713812</v>
      </c>
      <c r="X189" s="27" t="n">
        <v>0.01296021830916537</v>
      </c>
      <c r="Y189" s="26" t="n">
        <v>188.7958931576809</v>
      </c>
      <c r="Z189" s="27" t="n">
        <v>0.01278844373661449</v>
      </c>
      <c r="AA189" s="26" t="n">
        <v>208.2404714557478</v>
      </c>
      <c r="AB189" s="27" t="n">
        <v>0.01576947224954528</v>
      </c>
    </row>
    <row r="190">
      <c r="A190" s="26" t="n">
        <v>165.8359835057518</v>
      </c>
      <c r="B190" s="27" t="n">
        <v>0.01849149293249755</v>
      </c>
      <c r="C190" s="26" t="n">
        <v>176.4882968952807</v>
      </c>
      <c r="D190" s="27" t="n">
        <v>0.01719387133096821</v>
      </c>
      <c r="E190" s="26" t="n">
        <v>213.6554874872821</v>
      </c>
      <c r="F190" s="27" t="n">
        <v>0.01333098994124996</v>
      </c>
      <c r="G190" s="26" t="n">
        <v>240.4470561127291</v>
      </c>
      <c r="H190" s="27" t="n">
        <v>0.01087910715366623</v>
      </c>
      <c r="I190" s="26" t="n">
        <v>246.7309198461895</v>
      </c>
      <c r="J190" s="27" t="n">
        <v>0.0106514717845443</v>
      </c>
      <c r="K190" s="26" t="n">
        <v>239.008835073828</v>
      </c>
      <c r="L190" s="27" t="n">
        <v>0.01116393115924752</v>
      </c>
      <c r="M190" s="26" t="n">
        <v>220.8524252015047</v>
      </c>
      <c r="N190" s="27" t="n">
        <v>0.01296834651446005</v>
      </c>
      <c r="O190" s="26" t="n">
        <v>169.0884825132669</v>
      </c>
      <c r="P190" s="27" t="n">
        <v>0.01569448826548982</v>
      </c>
      <c r="Q190" s="26" t="n">
        <v>204.9420664851947</v>
      </c>
      <c r="R190" s="27" t="n">
        <v>0.01603002360783982</v>
      </c>
      <c r="S190" s="26" t="n">
        <v>188.4662350138454</v>
      </c>
      <c r="T190" s="27" t="n">
        <v>0.01858994980455312</v>
      </c>
      <c r="U190" s="26" t="n">
        <v>212.5724085113052</v>
      </c>
      <c r="V190" s="27" t="n">
        <v>0.01465105513072009</v>
      </c>
      <c r="W190" s="26" t="n">
        <v>218.311016363434</v>
      </c>
      <c r="X190" s="27" t="n">
        <v>0.01302966381906225</v>
      </c>
      <c r="Y190" s="26" t="n">
        <v>188.9013343242878</v>
      </c>
      <c r="Z190" s="27" t="n">
        <v>0.01284337908375812</v>
      </c>
      <c r="AA190" s="26" t="n">
        <v>208.3206591174544</v>
      </c>
      <c r="AB190" s="27" t="n">
        <v>0.01586521472837871</v>
      </c>
    </row>
    <row r="191">
      <c r="A191" s="26" t="n">
        <v>166.0017451689571</v>
      </c>
      <c r="B191" s="27" t="n">
        <v>0.01858575565700799</v>
      </c>
      <c r="C191" s="26" t="n">
        <v>176.6283464090955</v>
      </c>
      <c r="D191" s="27" t="n">
        <v>0.01728417228398935</v>
      </c>
      <c r="E191" s="26" t="n">
        <v>213.7685451416388</v>
      </c>
      <c r="F191" s="27" t="n">
        <v>0.01340022849768796</v>
      </c>
      <c r="G191" s="26" t="n">
        <v>240.5337785433347</v>
      </c>
      <c r="H191" s="27" t="n">
        <v>0.01093248542261527</v>
      </c>
      <c r="I191" s="26" t="n">
        <v>246.8113042746894</v>
      </c>
      <c r="J191" s="27" t="n">
        <v>0.01070437555585569</v>
      </c>
      <c r="K191" s="26" t="n">
        <v>239.0850775681843</v>
      </c>
      <c r="L191" s="27" t="n">
        <v>0.0112203788472495</v>
      </c>
      <c r="M191" s="26" t="n">
        <v>220.9437309035906</v>
      </c>
      <c r="N191" s="27" t="n">
        <v>0.0130375802243646</v>
      </c>
      <c r="O191" s="26" t="n">
        <v>169.2128872073554</v>
      </c>
      <c r="P191" s="27" t="n">
        <v>0.01576683115119298</v>
      </c>
      <c r="Q191" s="26" t="n">
        <v>205.0361532608276</v>
      </c>
      <c r="R191" s="27" t="n">
        <v>0.01612569016888671</v>
      </c>
      <c r="S191" s="26" t="n">
        <v>188.5726586218768</v>
      </c>
      <c r="T191" s="27" t="n">
        <v>0.01870431078080724</v>
      </c>
      <c r="U191" s="26" t="n">
        <v>212.6574538057575</v>
      </c>
      <c r="V191" s="27" t="n">
        <v>0.0147356466924474</v>
      </c>
      <c r="W191" s="26" t="n">
        <v>218.3892018554868</v>
      </c>
      <c r="X191" s="27" t="n">
        <v>0.01309948064314456</v>
      </c>
      <c r="Y191" s="26" t="n">
        <v>189.0067754908947</v>
      </c>
      <c r="Z191" s="27" t="n">
        <v>0.01289855443330602</v>
      </c>
      <c r="AA191" s="26" t="n">
        <v>208.400846779161</v>
      </c>
      <c r="AB191" s="27" t="n">
        <v>0.01596151885785952</v>
      </c>
    </row>
    <row r="192">
      <c r="A192" s="26" t="n">
        <v>166.1675068321624</v>
      </c>
      <c r="B192" s="27" t="n">
        <v>0.01868050538843222</v>
      </c>
      <c r="C192" s="26" t="n">
        <v>176.7683959229103</v>
      </c>
      <c r="D192" s="27" t="n">
        <v>0.01737494856664871</v>
      </c>
      <c r="E192" s="26" t="n">
        <v>213.8816027959955</v>
      </c>
      <c r="F192" s="27" t="n">
        <v>0.01346982778496184</v>
      </c>
      <c r="G192" s="26" t="n">
        <v>240.6205009739403</v>
      </c>
      <c r="H192" s="27" t="n">
        <v>0.01098612690341657</v>
      </c>
      <c r="I192" s="26" t="n">
        <v>246.8916887031893</v>
      </c>
      <c r="J192" s="27" t="n">
        <v>0.01075754308448276</v>
      </c>
      <c r="K192" s="26" t="n">
        <v>239.1613200625407</v>
      </c>
      <c r="L192" s="27" t="n">
        <v>0.01127711278136618</v>
      </c>
      <c r="M192" s="26" t="n">
        <v>221.0350366056764</v>
      </c>
      <c r="N192" s="27" t="n">
        <v>0.01310718290304151</v>
      </c>
      <c r="O192" s="26" t="n">
        <v>169.337291901444</v>
      </c>
      <c r="P192" s="27" t="n">
        <v>0.01583951570244795</v>
      </c>
      <c r="Q192" s="26" t="n">
        <v>205.1302400364606</v>
      </c>
      <c r="R192" s="27" t="n">
        <v>0.01622190972587875</v>
      </c>
      <c r="S192" s="26" t="n">
        <v>188.6790822299081</v>
      </c>
      <c r="T192" s="27" t="n">
        <v>0.01881934103754165</v>
      </c>
      <c r="U192" s="26" t="n">
        <v>212.7424991002098</v>
      </c>
      <c r="V192" s="27" t="n">
        <v>0.01482071752494981</v>
      </c>
      <c r="W192" s="26" t="n">
        <v>218.4673873475396</v>
      </c>
      <c r="X192" s="27" t="n">
        <v>0.01316967074208965</v>
      </c>
      <c r="Y192" s="26" t="n">
        <v>189.1122166575016</v>
      </c>
      <c r="Z192" s="27" t="n">
        <v>0.01295397084625011</v>
      </c>
      <c r="AA192" s="26" t="n">
        <v>208.4810344408676</v>
      </c>
      <c r="AB192" s="27" t="n">
        <v>0.01605838770285604</v>
      </c>
    </row>
    <row r="193">
      <c r="A193" s="26" t="n">
        <v>166.3332684953677</v>
      </c>
      <c r="B193" s="27" t="n">
        <v>0.01877574456620804</v>
      </c>
      <c r="C193" s="26" t="n">
        <v>176.9084454367251</v>
      </c>
      <c r="D193" s="27" t="n">
        <v>0.01746620260874731</v>
      </c>
      <c r="E193" s="26" t="n">
        <v>213.9946604503522</v>
      </c>
      <c r="F193" s="27" t="n">
        <v>0.01353978966391069</v>
      </c>
      <c r="G193" s="26" t="n">
        <v>240.7072234045458</v>
      </c>
      <c r="H193" s="27" t="n">
        <v>0.0110400328979997</v>
      </c>
      <c r="I193" s="26" t="n">
        <v>246.9720731316893</v>
      </c>
      <c r="J193" s="27" t="n">
        <v>0.01081097568793019</v>
      </c>
      <c r="K193" s="26" t="n">
        <v>239.237562556897</v>
      </c>
      <c r="L193" s="27" t="n">
        <v>0.01133413441334552</v>
      </c>
      <c r="M193" s="26" t="n">
        <v>221.1263423077623</v>
      </c>
      <c r="N193" s="27" t="n">
        <v>0.01317715648980324</v>
      </c>
      <c r="O193" s="26" t="n">
        <v>169.4616965955325</v>
      </c>
      <c r="P193" s="27" t="n">
        <v>0.01591254355342883</v>
      </c>
      <c r="Q193" s="26" t="n">
        <v>205.2243268120935</v>
      </c>
      <c r="R193" s="27" t="n">
        <v>0.01631868525833861</v>
      </c>
      <c r="S193" s="26" t="n">
        <v>188.7855058379395</v>
      </c>
      <c r="T193" s="27" t="n">
        <v>0.01893504410126266</v>
      </c>
      <c r="U193" s="26" t="n">
        <v>212.8275443946621</v>
      </c>
      <c r="V193" s="27" t="n">
        <v>0.01490627022266363</v>
      </c>
      <c r="W193" s="26" t="n">
        <v>218.5455728395924</v>
      </c>
      <c r="X193" s="27" t="n">
        <v>0.01324023608653786</v>
      </c>
      <c r="Y193" s="26" t="n">
        <v>189.2176578241085</v>
      </c>
      <c r="Z193" s="27" t="n">
        <v>0.01300962938831559</v>
      </c>
      <c r="AA193" s="26" t="n">
        <v>208.5612221025742</v>
      </c>
      <c r="AB193" s="27" t="n">
        <v>0.01615582434232162</v>
      </c>
    </row>
    <row r="194">
      <c r="A194" s="26" t="n">
        <v>166.499030158573</v>
      </c>
      <c r="B194" s="27" t="n">
        <v>0.01887147564073814</v>
      </c>
      <c r="C194" s="26" t="n">
        <v>177.0484949505398</v>
      </c>
      <c r="D194" s="27" t="n">
        <v>0.01755793685138225</v>
      </c>
      <c r="E194" s="26" t="n">
        <v>214.107718104709</v>
      </c>
      <c r="F194" s="27" t="n">
        <v>0.01361011600460016</v>
      </c>
      <c r="G194" s="26" t="n">
        <v>240.7939458351514</v>
      </c>
      <c r="H194" s="27" t="n">
        <v>0.01109420471472724</v>
      </c>
      <c r="I194" s="26" t="n">
        <v>247.0524575601892</v>
      </c>
      <c r="J194" s="27" t="n">
        <v>0.01086467469026644</v>
      </c>
      <c r="K194" s="26" t="n">
        <v>239.3138050512534</v>
      </c>
      <c r="L194" s="27" t="n">
        <v>0.01139144520224568</v>
      </c>
      <c r="M194" s="26" t="n">
        <v>221.2176480098481</v>
      </c>
      <c r="N194" s="27" t="n">
        <v>0.01324750293372206</v>
      </c>
      <c r="O194" s="26" t="n">
        <v>169.586101289621</v>
      </c>
      <c r="P194" s="27" t="n">
        <v>0.01598591634614</v>
      </c>
      <c r="Q194" s="26" t="n">
        <v>205.3184135877265</v>
      </c>
      <c r="R194" s="27" t="n">
        <v>0.01641601975932286</v>
      </c>
      <c r="S194" s="26" t="n">
        <v>188.891929445971</v>
      </c>
      <c r="T194" s="27" t="n">
        <v>0.01905142351273436</v>
      </c>
      <c r="U194" s="26" t="n">
        <v>212.9125896891145</v>
      </c>
      <c r="V194" s="27" t="n">
        <v>0.01499230739258134</v>
      </c>
      <c r="W194" s="26" t="n">
        <v>218.6237583316452</v>
      </c>
      <c r="X194" s="27" t="n">
        <v>0.01331117865713765</v>
      </c>
      <c r="Y194" s="26" t="n">
        <v>189.3230989907154</v>
      </c>
      <c r="Z194" s="27" t="n">
        <v>0.01306553112998254</v>
      </c>
      <c r="AA194" s="26" t="n">
        <v>208.6414097642808</v>
      </c>
      <c r="AB194" s="27" t="n">
        <v>0.01625383186932845</v>
      </c>
    </row>
    <row r="195">
      <c r="A195" s="26" t="n">
        <v>166.6647918217784</v>
      </c>
      <c r="B195" s="27" t="n">
        <v>0.01896770107342287</v>
      </c>
      <c r="C195" s="26" t="n">
        <v>177.1885444643546</v>
      </c>
      <c r="D195" s="27" t="n">
        <v>0.01765015374698462</v>
      </c>
      <c r="E195" s="26" t="n">
        <v>214.2207757590657</v>
      </c>
      <c r="F195" s="27" t="n">
        <v>0.01368080868636259</v>
      </c>
      <c r="G195" s="26" t="n">
        <v>240.880668265757</v>
      </c>
      <c r="H195" s="27" t="n">
        <v>0.01114864366842639</v>
      </c>
      <c r="I195" s="26" t="n">
        <v>247.1328419886892</v>
      </c>
      <c r="J195" s="27" t="n">
        <v>0.01091864142215582</v>
      </c>
      <c r="K195" s="26" t="n">
        <v>239.3900475456097</v>
      </c>
      <c r="L195" s="27" t="n">
        <v>0.01144904661447134</v>
      </c>
      <c r="M195" s="26" t="n">
        <v>221.3089537119339</v>
      </c>
      <c r="N195" s="27" t="n">
        <v>0.01331822419367306</v>
      </c>
      <c r="O195" s="26" t="n">
        <v>169.7105059837096</v>
      </c>
      <c r="P195" s="27" t="n">
        <v>0.01605963573045223</v>
      </c>
      <c r="Q195" s="26" t="n">
        <v>205.4125003633594</v>
      </c>
      <c r="R195" s="27" t="n">
        <v>0.01651391623545359</v>
      </c>
      <c r="S195" s="26" t="n">
        <v>188.9983530540023</v>
      </c>
      <c r="T195" s="27" t="n">
        <v>0.01916848282698633</v>
      </c>
      <c r="U195" s="26" t="n">
        <v>212.9976349835668</v>
      </c>
      <c r="V195" s="27" t="n">
        <v>0.01507883165429403</v>
      </c>
      <c r="W195" s="26" t="n">
        <v>218.701943823698</v>
      </c>
      <c r="X195" s="27" t="n">
        <v>0.0133825004445909</v>
      </c>
      <c r="Y195" s="26" t="n">
        <v>189.4285401573223</v>
      </c>
      <c r="Z195" s="27" t="n">
        <v>0.01312167714650709</v>
      </c>
      <c r="AA195" s="26" t="n">
        <v>208.7215974259874</v>
      </c>
      <c r="AB195" s="27" t="n">
        <v>0.01635241339110074</v>
      </c>
    </row>
    <row r="196">
      <c r="A196" s="26" t="n">
        <v>166.8305534849837</v>
      </c>
      <c r="B196" s="27" t="n">
        <v>0.01906442333669281</v>
      </c>
      <c r="C196" s="26" t="n">
        <v>177.3285939781694</v>
      </c>
      <c r="D196" s="27" t="n">
        <v>0.01774285575935732</v>
      </c>
      <c r="E196" s="26" t="n">
        <v>214.3338334134224</v>
      </c>
      <c r="F196" s="27" t="n">
        <v>0.01375186959783784</v>
      </c>
      <c r="G196" s="26" t="n">
        <v>240.9673906963625</v>
      </c>
      <c r="H196" s="27" t="n">
        <v>0.01120335108042049</v>
      </c>
      <c r="I196" s="26" t="n">
        <v>247.2132264171891</v>
      </c>
      <c r="J196" s="27" t="n">
        <v>0.01097287722089066</v>
      </c>
      <c r="K196" s="26" t="n">
        <v>239.4662900399661</v>
      </c>
      <c r="L196" s="27" t="n">
        <v>0.01150694012380911</v>
      </c>
      <c r="M196" s="26" t="n">
        <v>221.4002594140198</v>
      </c>
      <c r="N196" s="27" t="n">
        <v>0.01338932223837734</v>
      </c>
      <c r="O196" s="26" t="n">
        <v>169.8349106777981</v>
      </c>
      <c r="P196" s="27" t="n">
        <v>0.0161337033641398</v>
      </c>
      <c r="Q196" s="26" t="n">
        <v>205.5065871389924</v>
      </c>
      <c r="R196" s="27" t="n">
        <v>0.01661237770695002</v>
      </c>
      <c r="S196" s="26" t="n">
        <v>189.1047766620337</v>
      </c>
      <c r="T196" s="27" t="n">
        <v>0.01928622561332122</v>
      </c>
      <c r="U196" s="26" t="n">
        <v>213.082680278019</v>
      </c>
      <c r="V196" s="27" t="n">
        <v>0.01516584564003395</v>
      </c>
      <c r="W196" s="26" t="n">
        <v>218.7801293157508</v>
      </c>
      <c r="X196" s="27" t="n">
        <v>0.01345420344969824</v>
      </c>
      <c r="Y196" s="26" t="n">
        <v>189.5339813239293</v>
      </c>
      <c r="Z196" s="27" t="n">
        <v>0.01317806851794296</v>
      </c>
      <c r="AA196" s="26" t="n">
        <v>208.801785087694</v>
      </c>
      <c r="AB196" s="27" t="n">
        <v>0.01645157202904789</v>
      </c>
    </row>
    <row r="197">
      <c r="A197" s="26" t="n">
        <v>166.996315148189</v>
      </c>
      <c r="B197" s="27" t="n">
        <v>0.0191616449140417</v>
      </c>
      <c r="C197" s="26" t="n">
        <v>177.4686434919842</v>
      </c>
      <c r="D197" s="27" t="n">
        <v>0.01783604536371254</v>
      </c>
      <c r="E197" s="26" t="n">
        <v>214.4468910677791</v>
      </c>
      <c r="F197" s="27" t="n">
        <v>0.01382330063701318</v>
      </c>
      <c r="G197" s="26" t="n">
        <v>241.0541131269681</v>
      </c>
      <c r="H197" s="27" t="n">
        <v>0.0112583282785604</v>
      </c>
      <c r="I197" s="26" t="n">
        <v>247.293610845689</v>
      </c>
      <c r="J197" s="27" t="n">
        <v>0.01102738343042398</v>
      </c>
      <c r="K197" s="26" t="n">
        <v>239.5425325343224</v>
      </c>
      <c r="L197" s="27" t="n">
        <v>0.01156512721146401</v>
      </c>
      <c r="M197" s="26" t="n">
        <v>221.4915651161056</v>
      </c>
      <c r="N197" s="27" t="n">
        <v>0.01346079904644531</v>
      </c>
      <c r="O197" s="26" t="n">
        <v>169.9593153718866</v>
      </c>
      <c r="P197" s="27" t="n">
        <v>0.01620812091291746</v>
      </c>
      <c r="Q197" s="26" t="n">
        <v>205.6006739146253</v>
      </c>
      <c r="R197" s="27" t="n">
        <v>0.01671140720765941</v>
      </c>
      <c r="S197" s="26" t="n">
        <v>189.211200270065</v>
      </c>
      <c r="T197" s="27" t="n">
        <v>0.01940465545532104</v>
      </c>
      <c r="U197" s="26" t="n">
        <v>213.1677255724713</v>
      </c>
      <c r="V197" s="27" t="n">
        <v>0.01525335199471653</v>
      </c>
      <c r="W197" s="26" t="n">
        <v>218.8583148078036</v>
      </c>
      <c r="X197" s="27" t="n">
        <v>0.01352628968340468</v>
      </c>
      <c r="Y197" s="26" t="n">
        <v>189.6394224905362</v>
      </c>
      <c r="Z197" s="27" t="n">
        <v>0.01323470632916285</v>
      </c>
      <c r="AA197" s="26" t="n">
        <v>208.8819727494006</v>
      </c>
      <c r="AB197" s="27" t="n">
        <v>0.016551310918797</v>
      </c>
    </row>
    <row r="198">
      <c r="A198" s="26" t="n">
        <v>167.1620768113943</v>
      </c>
      <c r="B198" s="27" t="n">
        <v>0.01925936830005849</v>
      </c>
      <c r="C198" s="26" t="n">
        <v>177.6086930057989</v>
      </c>
      <c r="D198" s="27" t="n">
        <v>0.01792972504670971</v>
      </c>
      <c r="E198" s="26" t="n">
        <v>214.5599487221359</v>
      </c>
      <c r="F198" s="27" t="n">
        <v>0.01389510371126426</v>
      </c>
      <c r="G198" s="26" t="n">
        <v>241.1408355575737</v>
      </c>
      <c r="H198" s="27" t="n">
        <v>0.0113135765972567</v>
      </c>
      <c r="I198" s="26" t="n">
        <v>247.373995274189</v>
      </c>
      <c r="J198" s="27" t="n">
        <v>0.01108216140140202</v>
      </c>
      <c r="K198" s="26" t="n">
        <v>239.6187750286788</v>
      </c>
      <c r="L198" s="27" t="n">
        <v>0.0116236093660953</v>
      </c>
      <c r="M198" s="26" t="n">
        <v>221.5828708181915</v>
      </c>
      <c r="N198" s="27" t="n">
        <v>0.01353265660641998</v>
      </c>
      <c r="O198" s="26" t="n">
        <v>170.0837200659752</v>
      </c>
      <c r="P198" s="27" t="n">
        <v>0.01628289005047726</v>
      </c>
      <c r="Q198" s="26" t="n">
        <v>205.6947606902582</v>
      </c>
      <c r="R198" s="27" t="n">
        <v>0.01681100778508759</v>
      </c>
      <c r="S198" s="26" t="n">
        <v>189.3176238780964</v>
      </c>
      <c r="T198" s="27" t="n">
        <v>0.01952377595085339</v>
      </c>
      <c r="U198" s="26" t="n">
        <v>213.2527708669237</v>
      </c>
      <c r="V198" s="27" t="n">
        <v>0.01534135337598292</v>
      </c>
      <c r="W198" s="26" t="n">
        <v>218.9365002998564</v>
      </c>
      <c r="X198" s="27" t="n">
        <v>0.01359876116684493</v>
      </c>
      <c r="Y198" s="26" t="n">
        <v>189.7448636571431</v>
      </c>
      <c r="Z198" s="27" t="n">
        <v>0.01329159166988049</v>
      </c>
      <c r="AA198" s="26" t="n">
        <v>208.9621604111072</v>
      </c>
      <c r="AB198" s="27" t="n">
        <v>0.01665163321022529</v>
      </c>
    </row>
    <row r="199">
      <c r="A199" s="26" t="n">
        <v>167.3278384745996</v>
      </c>
      <c r="B199" s="27" t="n">
        <v>0.01935759600045993</v>
      </c>
      <c r="C199" s="26" t="n">
        <v>177.7487425196137</v>
      </c>
      <c r="D199" s="27" t="n">
        <v>0.01802389730649258</v>
      </c>
      <c r="E199" s="26" t="n">
        <v>214.6730063764926</v>
      </c>
      <c r="F199" s="27" t="n">
        <v>0.01396728073739582</v>
      </c>
      <c r="G199" s="26" t="n">
        <v>241.2275579881793</v>
      </c>
      <c r="H199" s="27" t="n">
        <v>0.01136909737751131</v>
      </c>
      <c r="I199" s="26" t="n">
        <v>247.4543797026889</v>
      </c>
      <c r="J199" s="27" t="n">
        <v>0.01113721249119681</v>
      </c>
      <c r="K199" s="26" t="n">
        <v>239.6950175230351</v>
      </c>
      <c r="L199" s="27" t="n">
        <v>0.01168238808385322</v>
      </c>
      <c r="M199" s="26" t="n">
        <v>221.6741765202773</v>
      </c>
      <c r="N199" s="27" t="n">
        <v>0.01360489691682036</v>
      </c>
      <c r="O199" s="26" t="n">
        <v>170.2081247600638</v>
      </c>
      <c r="P199" s="27" t="n">
        <v>0.01635801245852612</v>
      </c>
      <c r="Q199" s="26" t="n">
        <v>205.7888474658912</v>
      </c>
      <c r="R199" s="27" t="n">
        <v>0.01691118250042985</v>
      </c>
      <c r="S199" s="26" t="n">
        <v>189.4240474861278</v>
      </c>
      <c r="T199" s="27" t="n">
        <v>0.01964359071207638</v>
      </c>
      <c r="U199" s="26" t="n">
        <v>213.337816161376</v>
      </c>
      <c r="V199" s="27" t="n">
        <v>0.01542985245424168</v>
      </c>
      <c r="W199" s="26" t="n">
        <v>219.0146857919092</v>
      </c>
      <c r="X199" s="27" t="n">
        <v>0.01367161993138954</v>
      </c>
      <c r="Y199" s="26" t="n">
        <v>189.85030482375</v>
      </c>
      <c r="Z199" s="27" t="n">
        <v>0.01334872563467188</v>
      </c>
      <c r="AA199" s="26" t="n">
        <v>209.0423480728138</v>
      </c>
      <c r="AB199" s="27" t="n">
        <v>0.01675254206749202</v>
      </c>
    </row>
    <row r="200">
      <c r="A200" s="26" t="n">
        <v>167.4936001378049</v>
      </c>
      <c r="B200" s="27" t="n">
        <v>0.01945633053212262</v>
      </c>
      <c r="C200" s="26" t="n">
        <v>177.8887920334285</v>
      </c>
      <c r="D200" s="27" t="n">
        <v>0.01811856465272711</v>
      </c>
      <c r="E200" s="26" t="n">
        <v>214.7860640308493</v>
      </c>
      <c r="F200" s="27" t="n">
        <v>0.01403983364168206</v>
      </c>
      <c r="G200" s="26" t="n">
        <v>241.3142804187848</v>
      </c>
      <c r="H200" s="27" t="n">
        <v>0.01142489196694981</v>
      </c>
      <c r="I200" s="26" t="n">
        <v>247.5347641311889</v>
      </c>
      <c r="J200" s="27" t="n">
        <v>0.01119253806393948</v>
      </c>
      <c r="K200" s="26" t="n">
        <v>239.7712600173915</v>
      </c>
      <c r="L200" s="27" t="n">
        <v>0.0117414648684154</v>
      </c>
      <c r="M200" s="26" t="n">
        <v>221.7654822223631</v>
      </c>
      <c r="N200" s="27" t="n">
        <v>0.01367752198618522</v>
      </c>
      <c r="O200" s="26" t="n">
        <v>170.3325294541523</v>
      </c>
      <c r="P200" s="27" t="n">
        <v>0.01643348982682296</v>
      </c>
      <c r="Q200" s="26" t="n">
        <v>205.8829342415241</v>
      </c>
      <c r="R200" s="27" t="n">
        <v>0.0170119344286003</v>
      </c>
      <c r="S200" s="26" t="n">
        <v>189.5304710941592</v>
      </c>
      <c r="T200" s="27" t="n">
        <v>0.01976410336544323</v>
      </c>
      <c r="U200" s="26" t="n">
        <v>213.4228614558283</v>
      </c>
      <c r="V200" s="27" t="n">
        <v>0.01551885191271102</v>
      </c>
      <c r="W200" s="26" t="n">
        <v>219.092871283962</v>
      </c>
      <c r="X200" s="27" t="n">
        <v>0.01374486801869052</v>
      </c>
      <c r="Y200" s="26" t="n">
        <v>189.9557459903569</v>
      </c>
      <c r="Z200" s="27" t="n">
        <v>0.01340610932299762</v>
      </c>
      <c r="AA200" s="26" t="n">
        <v>209.1225357345204</v>
      </c>
      <c r="AB200" s="27" t="n">
        <v>0.01685404066906995</v>
      </c>
    </row>
    <row r="201">
      <c r="A201" s="26" t="n">
        <v>167.6593618010102</v>
      </c>
      <c r="B201" s="27" t="n">
        <v>0.01955557442311509</v>
      </c>
      <c r="C201" s="26" t="n">
        <v>178.0288415472432</v>
      </c>
      <c r="D201" s="27" t="n">
        <v>0.01821372960663849</v>
      </c>
      <c r="E201" s="26" t="n">
        <v>214.899121685206</v>
      </c>
      <c r="F201" s="27" t="n">
        <v>0.01411276435990791</v>
      </c>
      <c r="G201" s="26" t="n">
        <v>241.4010028493904</v>
      </c>
      <c r="H201" s="27" t="n">
        <v>0.01148096171985357</v>
      </c>
      <c r="I201" s="26" t="n">
        <v>247.6151485596888</v>
      </c>
      <c r="J201" s="27" t="n">
        <v>0.01124813949055279</v>
      </c>
      <c r="K201" s="26" t="n">
        <v>239.8475025117478</v>
      </c>
      <c r="L201" s="27" t="n">
        <v>0.01180084123102348</v>
      </c>
      <c r="M201" s="26" t="n">
        <v>221.856787924449</v>
      </c>
      <c r="N201" s="27" t="n">
        <v>0.01375053383311649</v>
      </c>
      <c r="O201" s="26" t="n">
        <v>170.4569341482409</v>
      </c>
      <c r="P201" s="27" t="n">
        <v>0.01650932385321643</v>
      </c>
      <c r="Q201" s="26" t="n">
        <v>205.9770210171571</v>
      </c>
      <c r="R201" s="27" t="n">
        <v>0.01711326665826206</v>
      </c>
      <c r="S201" s="26" t="n">
        <v>189.6368947021905</v>
      </c>
      <c r="T201" s="27" t="n">
        <v>0.01988531755170582</v>
      </c>
      <c r="U201" s="26" t="n">
        <v>213.5079067502806</v>
      </c>
      <c r="V201" s="27" t="n">
        <v>0.01560835444746053</v>
      </c>
      <c r="W201" s="26" t="n">
        <v>219.1710567760148</v>
      </c>
      <c r="X201" s="27" t="n">
        <v>0.01381850748072727</v>
      </c>
      <c r="Y201" s="26" t="n">
        <v>190.0611871569638</v>
      </c>
      <c r="Z201" s="27" t="n">
        <v>0.01346374383922461</v>
      </c>
      <c r="AA201" s="26" t="n">
        <v>209.202723396227</v>
      </c>
      <c r="AB201" s="27" t="n">
        <v>0.0169561322077768</v>
      </c>
    </row>
    <row r="202">
      <c r="A202" s="26" t="n">
        <v>167.8251234642155</v>
      </c>
      <c r="B202" s="27" t="n">
        <v>0.01965533021272957</v>
      </c>
      <c r="C202" s="26" t="n">
        <v>178.168891061058</v>
      </c>
      <c r="D202" s="27" t="n">
        <v>0.01830939470104852</v>
      </c>
      <c r="E202" s="26" t="n">
        <v>215.0121793395627</v>
      </c>
      <c r="F202" s="27" t="n">
        <v>0.01418607483740976</v>
      </c>
      <c r="G202" s="26" t="n">
        <v>241.487725279996</v>
      </c>
      <c r="H202" s="27" t="n">
        <v>0.01153730799719211</v>
      </c>
      <c r="I202" s="26" t="n">
        <v>247.6955329881887</v>
      </c>
      <c r="J202" s="27" t="n">
        <v>0.01130401814878484</v>
      </c>
      <c r="K202" s="26" t="n">
        <v>239.9237450061042</v>
      </c>
      <c r="L202" s="27" t="n">
        <v>0.01186051869052001</v>
      </c>
      <c r="M202" s="26" t="n">
        <v>221.9480936265348</v>
      </c>
      <c r="N202" s="27" t="n">
        <v>0.01382393448632326</v>
      </c>
      <c r="O202" s="26" t="n">
        <v>170.5813388423294</v>
      </c>
      <c r="P202" s="27" t="n">
        <v>0.01658551624368273</v>
      </c>
      <c r="Q202" s="26" t="n">
        <v>206.07110779279</v>
      </c>
      <c r="R202" s="27" t="n">
        <v>0.01721518229185641</v>
      </c>
      <c r="S202" s="26" t="n">
        <v>189.7433183102219</v>
      </c>
      <c r="T202" s="27" t="n">
        <v>0.02000723692591777</v>
      </c>
      <c r="U202" s="26" t="n">
        <v>213.5929520447329</v>
      </c>
      <c r="V202" s="27" t="n">
        <v>0.01569836276745301</v>
      </c>
      <c r="W202" s="26" t="n">
        <v>219.2492422680676</v>
      </c>
      <c r="X202" s="27" t="n">
        <v>0.01389254037985298</v>
      </c>
      <c r="Y202" s="26" t="n">
        <v>190.1666283235707</v>
      </c>
      <c r="Z202" s="27" t="n">
        <v>0.01352163029264811</v>
      </c>
      <c r="AA202" s="26" t="n">
        <v>209.2829110579336</v>
      </c>
      <c r="AB202" s="27" t="n">
        <v>0.01705881989080572</v>
      </c>
    </row>
    <row r="203">
      <c r="A203" s="26" t="n">
        <v>167.9908851274208</v>
      </c>
      <c r="B203" s="27" t="n">
        <v>0.01975560045151411</v>
      </c>
      <c r="C203" s="26" t="n">
        <v>178.3089405748728</v>
      </c>
      <c r="D203" s="27" t="n">
        <v>0.0184055624804128</v>
      </c>
      <c r="E203" s="26" t="n">
        <v>215.1252369939195</v>
      </c>
      <c r="F203" s="27" t="n">
        <v>0.0142597670291166</v>
      </c>
      <c r="G203" s="26" t="n">
        <v>241.5744477106016</v>
      </c>
      <c r="H203" s="27" t="n">
        <v>0.01159393216665577</v>
      </c>
      <c r="I203" s="26" t="n">
        <v>247.7759174166887</v>
      </c>
      <c r="J203" s="27" t="n">
        <v>0.01136017542324202</v>
      </c>
      <c r="K203" s="26" t="n">
        <v>239.9999875004606</v>
      </c>
      <c r="L203" s="27" t="n">
        <v>0.01192049877338562</v>
      </c>
      <c r="M203" s="26" t="n">
        <v>222.0393993286206</v>
      </c>
      <c r="N203" s="27" t="n">
        <v>0.01389772598466548</v>
      </c>
      <c r="O203" s="26" t="n">
        <v>170.7057435364179</v>
      </c>
      <c r="P203" s="27" t="n">
        <v>0.01666206871236304</v>
      </c>
      <c r="Q203" s="26" t="n">
        <v>206.165194568423</v>
      </c>
      <c r="R203" s="27" t="n">
        <v>0.01731768444563165</v>
      </c>
      <c r="S203" s="26" t="n">
        <v>189.8497419182533</v>
      </c>
      <c r="T203" s="27" t="n">
        <v>0.02012986515743672</v>
      </c>
      <c r="U203" s="26" t="n">
        <v>213.6779973391852</v>
      </c>
      <c r="V203" s="27" t="n">
        <v>0.01578887959458586</v>
      </c>
      <c r="W203" s="26" t="n">
        <v>219.3274277601204</v>
      </c>
      <c r="X203" s="27" t="n">
        <v>0.01396696878884063</v>
      </c>
      <c r="Y203" s="26" t="n">
        <v>190.2720694901776</v>
      </c>
      <c r="Z203" s="27" t="n">
        <v>0.01357976979751394</v>
      </c>
      <c r="AA203" s="26" t="n">
        <v>209.3630987196402</v>
      </c>
      <c r="AB203" s="27" t="n">
        <v>0.01716210693975597</v>
      </c>
    </row>
    <row r="204">
      <c r="A204" s="26" t="n">
        <v>168.1566467906262</v>
      </c>
      <c r="B204" s="27" t="n">
        <v>0.01985638770130347</v>
      </c>
      <c r="C204" s="26" t="n">
        <v>178.4489900886876</v>
      </c>
      <c r="D204" s="27" t="n">
        <v>0.01850223550085781</v>
      </c>
      <c r="E204" s="26" t="n">
        <v>215.2382946482762</v>
      </c>
      <c r="F204" s="27" t="n">
        <v>0.01433384289959108</v>
      </c>
      <c r="G204" s="26" t="n">
        <v>241.6611701412072</v>
      </c>
      <c r="H204" s="27" t="n">
        <v>0.01165083560268823</v>
      </c>
      <c r="I204" s="26" t="n">
        <v>247.8563018451886</v>
      </c>
      <c r="J204" s="27" t="n">
        <v>0.01141661270542274</v>
      </c>
      <c r="K204" s="26" t="n">
        <v>240.0762299948169</v>
      </c>
      <c r="L204" s="27" t="n">
        <v>0.01198078301377605</v>
      </c>
      <c r="M204" s="26" t="n">
        <v>222.1307050307065</v>
      </c>
      <c r="N204" s="27" t="n">
        <v>0.01397191037719795</v>
      </c>
      <c r="O204" s="26" t="n">
        <v>170.8301482305065</v>
      </c>
      <c r="P204" s="27" t="n">
        <v>0.01673898298160209</v>
      </c>
      <c r="Q204" s="26" t="n">
        <v>206.2592813440559</v>
      </c>
      <c r="R204" s="27" t="n">
        <v>0.01742077624967165</v>
      </c>
      <c r="S204" s="26" t="n">
        <v>189.9561655262847</v>
      </c>
      <c r="T204" s="27" t="n">
        <v>0.02025320592992544</v>
      </c>
      <c r="U204" s="26" t="n">
        <v>213.7630426336375</v>
      </c>
      <c r="V204" s="27" t="n">
        <v>0.01587990766373275</v>
      </c>
      <c r="W204" s="26" t="n">
        <v>219.4056132521732</v>
      </c>
      <c r="X204" s="27" t="n">
        <v>0.01404179479092938</v>
      </c>
      <c r="Y204" s="26" t="n">
        <v>190.3775106567845</v>
      </c>
      <c r="Z204" s="27" t="n">
        <v>0.01363816347304085</v>
      </c>
      <c r="AA204" s="26" t="n">
        <v>209.4432863813468</v>
      </c>
      <c r="AB204" s="27" t="n">
        <v>0.01726599659066301</v>
      </c>
    </row>
    <row r="205">
      <c r="A205" s="26" t="n">
        <v>168.3224084538314</v>
      </c>
      <c r="B205" s="27" t="n">
        <v>0.01995769453525134</v>
      </c>
      <c r="C205" s="26" t="n">
        <v>178.5890396025023</v>
      </c>
      <c r="D205" s="27" t="n">
        <v>0.0185994163302177</v>
      </c>
      <c r="E205" s="26" t="n">
        <v>215.3513523026329</v>
      </c>
      <c r="F205" s="27" t="n">
        <v>0.0144083044230708</v>
      </c>
      <c r="G205" s="26" t="n">
        <v>241.7478925718127</v>
      </c>
      <c r="H205" s="27" t="n">
        <v>0.01170801968651958</v>
      </c>
      <c r="I205" s="26" t="n">
        <v>247.9366862736886</v>
      </c>
      <c r="J205" s="27" t="n">
        <v>0.01147333139375107</v>
      </c>
      <c r="K205" s="26" t="n">
        <v>240.1524724891732</v>
      </c>
      <c r="L205" s="27" t="n">
        <v>0.0120413729535595</v>
      </c>
      <c r="M205" s="26" t="n">
        <v>222.2220107327923</v>
      </c>
      <c r="N205" s="27" t="n">
        <v>0.01404648972321437</v>
      </c>
      <c r="O205" s="26" t="n">
        <v>170.954552924595</v>
      </c>
      <c r="P205" s="27" t="n">
        <v>0.01681626078198591</v>
      </c>
      <c r="Q205" s="26" t="n">
        <v>206.3533681196889</v>
      </c>
      <c r="R205" s="27" t="n">
        <v>0.01752446084792414</v>
      </c>
      <c r="S205" s="26" t="n">
        <v>190.0625891343161</v>
      </c>
      <c r="T205" s="27" t="n">
        <v>0.02037726294135274</v>
      </c>
      <c r="U205" s="26" t="n">
        <v>213.8480879280899</v>
      </c>
      <c r="V205" s="27" t="n">
        <v>0.0159714497227846</v>
      </c>
      <c r="W205" s="26" t="n">
        <v>219.483798744226</v>
      </c>
      <c r="X205" s="27" t="n">
        <v>0.01411702047987112</v>
      </c>
      <c r="Y205" s="26" t="n">
        <v>190.4829518233914</v>
      </c>
      <c r="Z205" s="27" t="n">
        <v>0.01369681244344259</v>
      </c>
      <c r="AA205" s="26" t="n">
        <v>209.5234740430533</v>
      </c>
      <c r="AB205" s="27" t="n">
        <v>0.01737049209402773</v>
      </c>
    </row>
    <row r="206">
      <c r="A206" s="26" t="n">
        <v>168.4881701170368</v>
      </c>
      <c r="B206" s="27" t="n">
        <v>0.02005952353786101</v>
      </c>
      <c r="C206" s="26" t="n">
        <v>178.7290891163171</v>
      </c>
      <c r="D206" s="27" t="n">
        <v>0.01869710754807132</v>
      </c>
      <c r="E206" s="26" t="n">
        <v>215.4644099569897</v>
      </c>
      <c r="F206" s="27" t="n">
        <v>0.01448315358350948</v>
      </c>
      <c r="G206" s="26" t="n">
        <v>241.8346150024183</v>
      </c>
      <c r="H206" s="27" t="n">
        <v>0.01176548580619897</v>
      </c>
      <c r="I206" s="26" t="n">
        <v>248.0170707021885</v>
      </c>
      <c r="J206" s="27" t="n">
        <v>0.01153033289361047</v>
      </c>
      <c r="K206" s="26" t="n">
        <v>240.2287149835296</v>
      </c>
      <c r="L206" s="27" t="n">
        <v>0.01210227014235428</v>
      </c>
      <c r="M206" s="26" t="n">
        <v>222.3133164348781</v>
      </c>
      <c r="N206" s="27" t="n">
        <v>0.01412146609229154</v>
      </c>
      <c r="O206" s="26" t="n">
        <v>171.0789576186836</v>
      </c>
      <c r="P206" s="27" t="n">
        <v>0.01689390385238058</v>
      </c>
      <c r="Q206" s="26" t="n">
        <v>206.4474548953218</v>
      </c>
      <c r="R206" s="27" t="n">
        <v>0.01762874139822838</v>
      </c>
      <c r="S206" s="26" t="n">
        <v>190.1690127423474</v>
      </c>
      <c r="T206" s="27" t="n">
        <v>0.0205020399039932</v>
      </c>
      <c r="U206" s="26" t="n">
        <v>213.9331332225422</v>
      </c>
      <c r="V206" s="27" t="n">
        <v>0.01606350853269125</v>
      </c>
      <c r="W206" s="26" t="n">
        <v>219.5619842362788</v>
      </c>
      <c r="X206" s="27" t="n">
        <v>0.01419264795997697</v>
      </c>
      <c r="Y206" s="26" t="n">
        <v>190.5883929899983</v>
      </c>
      <c r="Z206" s="27" t="n">
        <v>0.01375571783795069</v>
      </c>
      <c r="AA206" s="26" t="n">
        <v>209.6036617047599</v>
      </c>
      <c r="AB206" s="27" t="n">
        <v>0.01747559671484623</v>
      </c>
    </row>
    <row r="207">
      <c r="A207" s="26" t="n">
        <v>168.6539317802421</v>
      </c>
      <c r="B207" s="27" t="n">
        <v>0.02016187730501659</v>
      </c>
      <c r="C207" s="26" t="n">
        <v>178.8691386301319</v>
      </c>
      <c r="D207" s="27" t="n">
        <v>0.01879531174577896</v>
      </c>
      <c r="E207" s="26" t="n">
        <v>215.5774676113464</v>
      </c>
      <c r="F207" s="27" t="n">
        <v>0.01455839237461859</v>
      </c>
      <c r="G207" s="26" t="n">
        <v>241.9213374330238</v>
      </c>
      <c r="H207" s="27" t="n">
        <v>0.01182323535662815</v>
      </c>
      <c r="I207" s="26" t="n">
        <v>248.0974551306884</v>
      </c>
      <c r="J207" s="27" t="n">
        <v>0.01158761861737774</v>
      </c>
      <c r="K207" s="26" t="n">
        <v>240.3049574778859</v>
      </c>
      <c r="L207" s="27" t="n">
        <v>0.01216347613756619</v>
      </c>
      <c r="M207" s="26" t="n">
        <v>222.404622136964</v>
      </c>
      <c r="N207" s="27" t="n">
        <v>0.01419684156433344</v>
      </c>
      <c r="O207" s="26" t="n">
        <v>171.2033623127721</v>
      </c>
      <c r="P207" s="27" t="n">
        <v>0.01697191393997029</v>
      </c>
      <c r="Q207" s="26" t="n">
        <v>206.5415416709548</v>
      </c>
      <c r="R207" s="27" t="n">
        <v>0.01773362107234256</v>
      </c>
      <c r="S207" s="26" t="n">
        <v>190.2754363503788</v>
      </c>
      <c r="T207" s="27" t="n">
        <v>0.02062754054442625</v>
      </c>
      <c r="U207" s="26" t="n">
        <v>214.0181785169944</v>
      </c>
      <c r="V207" s="27" t="n">
        <v>0.01615608686750212</v>
      </c>
      <c r="W207" s="26" t="n">
        <v>219.6401697283316</v>
      </c>
      <c r="X207" s="27" t="n">
        <v>0.01426867934616408</v>
      </c>
      <c r="Y207" s="26" t="n">
        <v>190.6938341566052</v>
      </c>
      <c r="Z207" s="27" t="n">
        <v>0.01381488079083672</v>
      </c>
      <c r="AA207" s="26" t="n">
        <v>209.6838493664665</v>
      </c>
      <c r="AB207" s="27" t="n">
        <v>0.01758131373263809</v>
      </c>
    </row>
    <row r="208">
      <c r="A208" s="26" t="n">
        <v>168.8196934434474</v>
      </c>
      <c r="B208" s="27" t="n">
        <v>0.0202647584440141</v>
      </c>
      <c r="C208" s="26" t="n">
        <v>179.0091881439467</v>
      </c>
      <c r="D208" s="27" t="n">
        <v>0.0188940315265188</v>
      </c>
      <c r="E208" s="26" t="n">
        <v>215.6905252657031</v>
      </c>
      <c r="F208" s="27" t="n">
        <v>0.01463402279990859</v>
      </c>
      <c r="G208" s="26" t="n">
        <v>242.0080598636294</v>
      </c>
      <c r="H208" s="27" t="n">
        <v>0.0118812697395944</v>
      </c>
      <c r="I208" s="26" t="n">
        <v>248.1778395591884</v>
      </c>
      <c r="J208" s="27" t="n">
        <v>0.01164518998445731</v>
      </c>
      <c r="K208" s="26" t="n">
        <v>240.3811999722423</v>
      </c>
      <c r="L208" s="27" t="n">
        <v>0.01222499250442674</v>
      </c>
      <c r="M208" s="26" t="n">
        <v>222.4959278390498</v>
      </c>
      <c r="N208" s="27" t="n">
        <v>0.01427261822961574</v>
      </c>
      <c r="O208" s="26" t="n">
        <v>171.3277670068607</v>
      </c>
      <c r="P208" s="27" t="n">
        <v>0.0170502928002963</v>
      </c>
      <c r="Q208" s="26" t="n">
        <v>206.6356284465878</v>
      </c>
      <c r="R208" s="27" t="n">
        <v>0.01783910305597084</v>
      </c>
      <c r="S208" s="26" t="n">
        <v>190.3818599584102</v>
      </c>
      <c r="T208" s="27" t="n">
        <v>0.02075376860353422</v>
      </c>
      <c r="U208" s="26" t="n">
        <v>214.1032238114467</v>
      </c>
      <c r="V208" s="27" t="n">
        <v>0.01624918751440707</v>
      </c>
      <c r="W208" s="26" t="n">
        <v>219.7183552203845</v>
      </c>
      <c r="X208" s="27" t="n">
        <v>0.01434511676400228</v>
      </c>
      <c r="Y208" s="26" t="n">
        <v>190.7992753232122</v>
      </c>
      <c r="Z208" s="27" t="n">
        <v>0.01387430244143525</v>
      </c>
      <c r="AA208" s="26" t="n">
        <v>209.7640370281732</v>
      </c>
      <c r="AB208" s="27" t="n">
        <v>0.01768764644147498</v>
      </c>
    </row>
    <row r="209">
      <c r="A209" s="26" t="n">
        <v>168.9854551066527</v>
      </c>
      <c r="B209" s="27" t="n">
        <v>0.0203681695735921</v>
      </c>
      <c r="C209" s="26" t="n">
        <v>179.1492376577615</v>
      </c>
      <c r="D209" s="27" t="n">
        <v>0.01899326950532361</v>
      </c>
      <c r="E209" s="26" t="n">
        <v>215.8035829200599</v>
      </c>
      <c r="F209" s="27" t="n">
        <v>0.01471004687273065</v>
      </c>
      <c r="G209" s="26" t="n">
        <v>242.094782294235</v>
      </c>
      <c r="H209" s="27" t="n">
        <v>0.01193959036380418</v>
      </c>
      <c r="I209" s="26" t="n">
        <v>248.2582239876884</v>
      </c>
      <c r="J209" s="27" t="n">
        <v>0.01170304842131529</v>
      </c>
      <c r="K209" s="26" t="n">
        <v>240.4574424665986</v>
      </c>
      <c r="L209" s="27" t="n">
        <v>0.01228682081603082</v>
      </c>
      <c r="M209" s="26" t="n">
        <v>222.5872335411357</v>
      </c>
      <c r="N209" s="27" t="n">
        <v>0.01434879818882997</v>
      </c>
      <c r="O209" s="26" t="n">
        <v>171.4521717009492</v>
      </c>
      <c r="P209" s="27" t="n">
        <v>0.01712904219729576</v>
      </c>
      <c r="Q209" s="26" t="n">
        <v>206.7297152222207</v>
      </c>
      <c r="R209" s="27" t="n">
        <v>0.01794519054878981</v>
      </c>
      <c r="S209" s="26" t="n">
        <v>190.4882835664415</v>
      </c>
      <c r="T209" s="27" t="n">
        <v>0.02088072783650015</v>
      </c>
      <c r="U209" s="26" t="n">
        <v>214.1882691058991</v>
      </c>
      <c r="V209" s="27" t="n">
        <v>0.01634281327377746</v>
      </c>
      <c r="W209" s="26" t="n">
        <v>219.7965407124373</v>
      </c>
      <c r="X209" s="27" t="n">
        <v>0.01442196234976112</v>
      </c>
      <c r="Y209" s="26" t="n">
        <v>190.9047164898191</v>
      </c>
      <c r="Z209" s="27" t="n">
        <v>0.0139339839341664</v>
      </c>
      <c r="AA209" s="26" t="n">
        <v>209.8442246898798</v>
      </c>
      <c r="AB209" s="27" t="n">
        <v>0.01779459815000864</v>
      </c>
    </row>
    <row r="210">
      <c r="A210" s="26" t="n">
        <v>169.151216769858</v>
      </c>
      <c r="B210" s="27" t="n">
        <v>0.02047211332396207</v>
      </c>
      <c r="C210" s="26" t="n">
        <v>179.2892871715762</v>
      </c>
      <c r="D210" s="27" t="n">
        <v>0.01909302830911697</v>
      </c>
      <c r="E210" s="26" t="n">
        <v>215.9166405744166</v>
      </c>
      <c r="F210" s="27" t="n">
        <v>0.0147864666163182</v>
      </c>
      <c r="G210" s="26" t="n">
        <v>242.1815047248406</v>
      </c>
      <c r="H210" s="27" t="n">
        <v>0.01199819864491667</v>
      </c>
      <c r="I210" s="26" t="n">
        <v>248.3386084161883</v>
      </c>
      <c r="J210" s="27" t="n">
        <v>0.011761195361514</v>
      </c>
      <c r="K210" s="26" t="n">
        <v>240.533684960955</v>
      </c>
      <c r="L210" s="27" t="n">
        <v>0.0123489626533749</v>
      </c>
      <c r="M210" s="26" t="n">
        <v>222.6785392432215</v>
      </c>
      <c r="N210" s="27" t="n">
        <v>0.0144253835531283</v>
      </c>
      <c r="O210" s="26" t="n">
        <v>171.5765763950378</v>
      </c>
      <c r="P210" s="27" t="n">
        <v>0.01720816390334037</v>
      </c>
      <c r="Q210" s="26" t="n">
        <v>206.8238019978536</v>
      </c>
      <c r="R210" s="27" t="n">
        <v>0.0180518867644746</v>
      </c>
      <c r="S210" s="26" t="n">
        <v>190.5947071744729</v>
      </c>
      <c r="T210" s="27" t="n">
        <v>0.02100842201280372</v>
      </c>
      <c r="U210" s="26" t="n">
        <v>214.2733144003514</v>
      </c>
      <c r="V210" s="27" t="n">
        <v>0.01643696695920624</v>
      </c>
      <c r="W210" s="26" t="n">
        <v>219.8747262044901</v>
      </c>
      <c r="X210" s="27" t="n">
        <v>0.01449921825045698</v>
      </c>
      <c r="Y210" s="26" t="n">
        <v>191.010157656426</v>
      </c>
      <c r="Z210" s="27" t="n">
        <v>0.01399392641855868</v>
      </c>
      <c r="AA210" s="26" t="n">
        <v>209.9244123515863</v>
      </c>
      <c r="AB210" s="27" t="n">
        <v>0.01790217218149821</v>
      </c>
    </row>
    <row r="211">
      <c r="A211" s="26" t="n">
        <v>169.3169784330633</v>
      </c>
      <c r="B211" s="27" t="n">
        <v>0.02057659233683911</v>
      </c>
      <c r="C211" s="26" t="n">
        <v>179.429336685391</v>
      </c>
      <c r="D211" s="27" t="n">
        <v>0.01919331057674968</v>
      </c>
      <c r="E211" s="26" t="n">
        <v>216.0296982287733</v>
      </c>
      <c r="F211" s="27" t="n">
        <v>0.01486328406382877</v>
      </c>
      <c r="G211" s="26" t="n">
        <v>242.2682271554461</v>
      </c>
      <c r="H211" s="27" t="n">
        <v>0.01205709600557752</v>
      </c>
      <c r="I211" s="26" t="n">
        <v>248.4189928446882</v>
      </c>
      <c r="J211" s="27" t="n">
        <v>0.01181963224574661</v>
      </c>
      <c r="K211" s="26" t="n">
        <v>240.6099274553114</v>
      </c>
      <c r="L211" s="27" t="n">
        <v>0.01241141960539554</v>
      </c>
      <c r="M211" s="26" t="n">
        <v>222.7698449453073</v>
      </c>
      <c r="N211" s="27" t="n">
        <v>0.01450237644416793</v>
      </c>
      <c r="O211" s="26" t="n">
        <v>171.7009810891263</v>
      </c>
      <c r="P211" s="27" t="n">
        <v>0.01728765969927596</v>
      </c>
      <c r="Q211" s="26" t="n">
        <v>206.9178887734866</v>
      </c>
      <c r="R211" s="27" t="n">
        <v>0.01815919493072467</v>
      </c>
      <c r="S211" s="26" t="n">
        <v>190.7011307825043</v>
      </c>
      <c r="T211" s="27" t="n">
        <v>0.02113685491621759</v>
      </c>
      <c r="U211" s="26" t="n">
        <v>214.3583596948037</v>
      </c>
      <c r="V211" s="27" t="n">
        <v>0.01653165139754874</v>
      </c>
      <c r="W211" s="26" t="n">
        <v>219.9529116965429</v>
      </c>
      <c r="X211" s="27" t="n">
        <v>0.0145768866239001</v>
      </c>
      <c r="Y211" s="26" t="n">
        <v>191.1155988230329</v>
      </c>
      <c r="Z211" s="27" t="n">
        <v>0.01405413104927216</v>
      </c>
      <c r="AA211" s="26" t="n">
        <v>210.0046000132929</v>
      </c>
      <c r="AB211" s="27" t="n">
        <v>0.01801037187383731</v>
      </c>
    </row>
    <row r="212">
      <c r="A212" s="26" t="n">
        <v>169.4827400962686</v>
      </c>
      <c r="B212" s="27" t="n">
        <v>0.02068160926547173</v>
      </c>
      <c r="C212" s="26" t="n">
        <v>179.5693861992058</v>
      </c>
      <c r="D212" s="27" t="n">
        <v>0.01929411895903576</v>
      </c>
      <c r="E212" s="26" t="n">
        <v>216.14275588313</v>
      </c>
      <c r="F212" s="27" t="n">
        <v>0.01494050125838569</v>
      </c>
      <c r="G212" s="26" t="n">
        <v>242.3549495860517</v>
      </c>
      <c r="H212" s="27" t="n">
        <v>0.0121162838754526</v>
      </c>
      <c r="I212" s="26" t="n">
        <v>248.4993772731881</v>
      </c>
      <c r="J212" s="27" t="n">
        <v>0.01187836052187169</v>
      </c>
      <c r="K212" s="26" t="n">
        <v>240.6861699496677</v>
      </c>
      <c r="L212" s="27" t="n">
        <v>0.01247419326900768</v>
      </c>
      <c r="M212" s="26" t="n">
        <v>222.8611506473932</v>
      </c>
      <c r="N212" s="27" t="n">
        <v>0.01457977899415579</v>
      </c>
      <c r="O212" s="26" t="n">
        <v>171.8253857832149</v>
      </c>
      <c r="P212" s="27" t="n">
        <v>0.01736753137446137</v>
      </c>
      <c r="Q212" s="26" t="n">
        <v>207.0119755491195</v>
      </c>
      <c r="R212" s="27" t="n">
        <v>0.01826711828928909</v>
      </c>
      <c r="S212" s="26" t="n">
        <v>190.8075543905357</v>
      </c>
      <c r="T212" s="27" t="n">
        <v>0.02126603034480185</v>
      </c>
      <c r="U212" s="26" t="n">
        <v>214.443404989256</v>
      </c>
      <c r="V212" s="27" t="n">
        <v>0.01662686942896256</v>
      </c>
      <c r="W212" s="26" t="n">
        <v>220.0310971885957</v>
      </c>
      <c r="X212" s="27" t="n">
        <v>0.01465496963874185</v>
      </c>
      <c r="Y212" s="26" t="n">
        <v>191.2210399896398</v>
      </c>
      <c r="Z212" s="27" t="n">
        <v>0.01411459898612139</v>
      </c>
      <c r="AA212" s="26" t="n">
        <v>210.0847876749995</v>
      </c>
      <c r="AB212" s="27" t="n">
        <v>0.01811920057958053</v>
      </c>
    </row>
    <row r="213">
      <c r="A213" s="26" t="n">
        <v>169.6485017594739</v>
      </c>
      <c r="B213" s="27" t="n">
        <v>0.02078716677467231</v>
      </c>
      <c r="C213" s="26" t="n">
        <v>179.7094357130206</v>
      </c>
      <c r="D213" s="27" t="n">
        <v>0.01939545611878845</v>
      </c>
      <c r="E213" s="26" t="n">
        <v>216.2558135374867</v>
      </c>
      <c r="F213" s="27" t="n">
        <v>0.01501812025312003</v>
      </c>
      <c r="G213" s="26" t="n">
        <v>242.4416720166573</v>
      </c>
      <c r="H213" s="27" t="n">
        <v>0.01217576369126229</v>
      </c>
      <c r="I213" s="26" t="n">
        <v>248.5797617016881</v>
      </c>
      <c r="J213" s="27" t="n">
        <v>0.0119373816449483</v>
      </c>
      <c r="K213" s="26" t="n">
        <v>240.7624124440241</v>
      </c>
      <c r="L213" s="27" t="n">
        <v>0.01253728524914341</v>
      </c>
      <c r="M213" s="26" t="n">
        <v>222.952456349479</v>
      </c>
      <c r="N213" s="27" t="n">
        <v>0.01465759334589327</v>
      </c>
      <c r="O213" s="26" t="n">
        <v>171.9497904773034</v>
      </c>
      <c r="P213" s="27" t="n">
        <v>0.01744778072680812</v>
      </c>
      <c r="Q213" s="26" t="n">
        <v>207.1060623247525</v>
      </c>
      <c r="R213" s="27" t="n">
        <v>0.01837566009599115</v>
      </c>
      <c r="S213" s="26" t="n">
        <v>190.913977998567</v>
      </c>
      <c r="T213" s="27" t="n">
        <v>0.02139595211089811</v>
      </c>
      <c r="U213" s="26" t="n">
        <v>214.5284502837083</v>
      </c>
      <c r="V213" s="27" t="n">
        <v>0.01672262390694779</v>
      </c>
      <c r="W213" s="26" t="n">
        <v>220.1092826806485</v>
      </c>
      <c r="X213" s="27" t="n">
        <v>0.01473346947452212</v>
      </c>
      <c r="Y213" s="26" t="n">
        <v>191.3264811562467</v>
      </c>
      <c r="Z213" s="27" t="n">
        <v>0.01417533139409852</v>
      </c>
      <c r="AA213" s="26" t="n">
        <v>210.1649753367061</v>
      </c>
      <c r="AB213" s="27" t="n">
        <v>0.01822866166596979</v>
      </c>
    </row>
    <row r="214">
      <c r="A214" s="26" t="n">
        <v>169.8142634226792</v>
      </c>
      <c r="B214" s="27" t="n">
        <v>0.02089326754084631</v>
      </c>
      <c r="C214" s="26" t="n">
        <v>179.8494852268353</v>
      </c>
      <c r="D214" s="27" t="n">
        <v>0.01949732473085617</v>
      </c>
      <c r="E214" s="26" t="n">
        <v>216.3688711918435</v>
      </c>
      <c r="F214" s="27" t="n">
        <v>0.01509614311121252</v>
      </c>
      <c r="G214" s="26" t="n">
        <v>242.5283944472628</v>
      </c>
      <c r="H214" s="27" t="n">
        <v>0.01223553689681568</v>
      </c>
      <c r="I214" s="26" t="n">
        <v>248.660146130188</v>
      </c>
      <c r="J214" s="27" t="n">
        <v>0.01199669707727097</v>
      </c>
      <c r="K214" s="26" t="n">
        <v>240.8386549383804</v>
      </c>
      <c r="L214" s="27" t="n">
        <v>0.01260069715879049</v>
      </c>
      <c r="M214" s="26" t="n">
        <v>223.0437620515648</v>
      </c>
      <c r="N214" s="27" t="n">
        <v>0.01473582165282125</v>
      </c>
      <c r="O214" s="26" t="n">
        <v>172.0741951713919</v>
      </c>
      <c r="P214" s="27" t="n">
        <v>0.01752840956282005</v>
      </c>
      <c r="Q214" s="26" t="n">
        <v>207.2001491003854</v>
      </c>
      <c r="R214" s="27" t="n">
        <v>0.01848482362075301</v>
      </c>
      <c r="S214" s="26" t="n">
        <v>191.0204016065984</v>
      </c>
      <c r="T214" s="27" t="n">
        <v>0.0215266240411227</v>
      </c>
      <c r="U214" s="26" t="n">
        <v>214.6134955781606</v>
      </c>
      <c r="V214" s="27" t="n">
        <v>0.01681891769838696</v>
      </c>
      <c r="W214" s="26" t="n">
        <v>220.1874681727013</v>
      </c>
      <c r="X214" s="27" t="n">
        <v>0.01481238832171678</v>
      </c>
      <c r="Y214" s="26" t="n">
        <v>191.4319223228536</v>
      </c>
      <c r="Z214" s="27" t="n">
        <v>0.01423632944339682</v>
      </c>
      <c r="AA214" s="26" t="n">
        <v>210.2451629984127</v>
      </c>
      <c r="AB214" s="27" t="n">
        <v>0.01833875851495961</v>
      </c>
    </row>
    <row r="215">
      <c r="A215" s="26" t="n">
        <v>169.9800250858846</v>
      </c>
      <c r="B215" s="27" t="n">
        <v>0.02099991425202226</v>
      </c>
      <c r="C215" s="26" t="n">
        <v>179.9895347406501</v>
      </c>
      <c r="D215" s="27" t="n">
        <v>0.01959972748215793</v>
      </c>
      <c r="E215" s="26" t="n">
        <v>216.4819288462002</v>
      </c>
      <c r="F215" s="27" t="n">
        <v>0.01517457190593567</v>
      </c>
      <c r="G215" s="26" t="n">
        <v>242.6151168778684</v>
      </c>
      <c r="H215" s="27" t="n">
        <v>0.01229560494304462</v>
      </c>
      <c r="I215" s="26" t="n">
        <v>248.740530558688</v>
      </c>
      <c r="J215" s="27" t="n">
        <v>0.01205630828840477</v>
      </c>
      <c r="K215" s="26" t="n">
        <v>240.9148974327367</v>
      </c>
      <c r="L215" s="27" t="n">
        <v>0.01266443061903186</v>
      </c>
      <c r="M215" s="26" t="n">
        <v>223.1350677536507</v>
      </c>
      <c r="N215" s="27" t="n">
        <v>0.01481446607906475</v>
      </c>
      <c r="O215" s="26" t="n">
        <v>172.1985998654805</v>
      </c>
      <c r="P215" s="27" t="n">
        <v>0.01760941969763285</v>
      </c>
      <c r="Q215" s="26" t="n">
        <v>207.2942358760184</v>
      </c>
      <c r="R215" s="27" t="n">
        <v>0.01859461214761926</v>
      </c>
      <c r="S215" s="26" t="n">
        <v>191.1268252146298</v>
      </c>
      <c r="T215" s="27" t="n">
        <v>0.02165804997635865</v>
      </c>
      <c r="U215" s="26" t="n">
        <v>214.6985408726129</v>
      </c>
      <c r="V215" s="27" t="n">
        <v>0.01691575368358441</v>
      </c>
      <c r="W215" s="26" t="n">
        <v>220.2656536647541</v>
      </c>
      <c r="X215" s="27" t="n">
        <v>0.01489172838178538</v>
      </c>
      <c r="Y215" s="26" t="n">
        <v>191.5373634894605</v>
      </c>
      <c r="Z215" s="27" t="n">
        <v>0.01429759430943383</v>
      </c>
      <c r="AA215" s="26" t="n">
        <v>210.3253506601193</v>
      </c>
      <c r="AB215" s="27" t="n">
        <v>0.01844949452324248</v>
      </c>
    </row>
    <row r="216">
      <c r="A216" s="26" t="n">
        <v>170.1457867490898</v>
      </c>
      <c r="B216" s="27" t="n">
        <v>0.02110710960788091</v>
      </c>
      <c r="C216" s="26" t="n">
        <v>180.1295842544649</v>
      </c>
      <c r="D216" s="27" t="n">
        <v>0.0197026670717192</v>
      </c>
      <c r="E216" s="26" t="n">
        <v>216.5949865005569</v>
      </c>
      <c r="F216" s="27" t="n">
        <v>0.01525340872069582</v>
      </c>
      <c r="G216" s="26" t="n">
        <v>242.701839308474</v>
      </c>
      <c r="H216" s="27" t="n">
        <v>0.01235596928803845</v>
      </c>
      <c r="I216" s="26" t="n">
        <v>248.8209149871879</v>
      </c>
      <c r="J216" s="27" t="n">
        <v>0.01211621675522096</v>
      </c>
      <c r="K216" s="26" t="n">
        <v>240.9911399270931</v>
      </c>
      <c r="L216" s="27" t="n">
        <v>0.01272848725908416</v>
      </c>
      <c r="M216" s="26" t="n">
        <v>223.2263734557365</v>
      </c>
      <c r="N216" s="27" t="n">
        <v>0.01489352879947796</v>
      </c>
      <c r="O216" s="26" t="n">
        <v>172.323004559569</v>
      </c>
      <c r="P216" s="27" t="n">
        <v>0.01769081295505424</v>
      </c>
      <c r="Q216" s="26" t="n">
        <v>207.3883226516513</v>
      </c>
      <c r="R216" s="27" t="n">
        <v>0.01870502897478062</v>
      </c>
      <c r="S216" s="26" t="n">
        <v>191.2332488226612</v>
      </c>
      <c r="T216" s="27" t="n">
        <v>0.02179023377174723</v>
      </c>
      <c r="U216" s="26" t="n">
        <v>214.7835861670652</v>
      </c>
      <c r="V216" s="27" t="n">
        <v>0.01701313475630602</v>
      </c>
      <c r="W216" s="26" t="n">
        <v>220.3438391568069</v>
      </c>
      <c r="X216" s="27" t="n">
        <v>0.01497149186721865</v>
      </c>
      <c r="Y216" s="26" t="n">
        <v>191.6428046560675</v>
      </c>
      <c r="Z216" s="27" t="n">
        <v>0.01435912717287497</v>
      </c>
      <c r="AA216" s="26" t="n">
        <v>210.4055383218259</v>
      </c>
      <c r="AB216" s="27" t="n">
        <v>0.01856087310227328</v>
      </c>
    </row>
    <row r="217">
      <c r="A217" s="26" t="n">
        <v>170.3115484122952</v>
      </c>
      <c r="B217" s="27" t="n">
        <v>0.02121485631978463</v>
      </c>
      <c r="C217" s="26" t="n">
        <v>180.2696337682797</v>
      </c>
      <c r="D217" s="27" t="n">
        <v>0.01980614621070723</v>
      </c>
      <c r="E217" s="26" t="n">
        <v>216.7080441549136</v>
      </c>
      <c r="F217" s="27" t="n">
        <v>0.01533265564907531</v>
      </c>
      <c r="G217" s="26" t="n">
        <v>242.7885617390796</v>
      </c>
      <c r="H217" s="27" t="n">
        <v>0.01241663139707878</v>
      </c>
      <c r="I217" s="26" t="n">
        <v>248.9012994156878</v>
      </c>
      <c r="J217" s="27" t="n">
        <v>0.01217642396193212</v>
      </c>
      <c r="K217" s="26" t="n">
        <v>241.0673824214495</v>
      </c>
      <c r="L217" s="27" t="n">
        <v>0.01279286871633749</v>
      </c>
      <c r="M217" s="26" t="n">
        <v>223.3176791578224</v>
      </c>
      <c r="N217" s="27" t="n">
        <v>0.0149730119996895</v>
      </c>
      <c r="O217" s="26" t="n">
        <v>172.4474092536576</v>
      </c>
      <c r="P217" s="27" t="n">
        <v>0.01777259116760388</v>
      </c>
      <c r="Q217" s="26" t="n">
        <v>207.4824094272843</v>
      </c>
      <c r="R217" s="27" t="n">
        <v>0.01881607741459685</v>
      </c>
      <c r="S217" s="26" t="n">
        <v>191.3396724306925</v>
      </c>
      <c r="T217" s="27" t="n">
        <v>0.02192317929667818</v>
      </c>
      <c r="U217" s="26" t="n">
        <v>214.8686314615175</v>
      </c>
      <c r="V217" s="27" t="n">
        <v>0.01711106382381819</v>
      </c>
      <c r="W217" s="26" t="n">
        <v>220.4220246488597</v>
      </c>
      <c r="X217" s="27" t="n">
        <v>0.01505168100158628</v>
      </c>
      <c r="Y217" s="26" t="n">
        <v>191.7482458226744</v>
      </c>
      <c r="Z217" s="27" t="n">
        <v>0.01442092921965712</v>
      </c>
      <c r="AA217" s="26" t="n">
        <v>210.4857259835325</v>
      </c>
      <c r="AB217" s="27" t="n">
        <v>0.01867289767829369</v>
      </c>
    </row>
    <row r="218">
      <c r="A218" s="26" t="n">
        <v>170.4773100755005</v>
      </c>
      <c r="B218" s="27" t="n">
        <v>0.02132315711080574</v>
      </c>
      <c r="C218" s="26" t="n">
        <v>180.4096832820945</v>
      </c>
      <c r="D218" s="27" t="n">
        <v>0.01991016762246605</v>
      </c>
      <c r="E218" s="26" t="n">
        <v>216.8211018092704</v>
      </c>
      <c r="F218" s="27" t="n">
        <v>0.01541231479487484</v>
      </c>
      <c r="G218" s="26" t="n">
        <v>242.8752841696851</v>
      </c>
      <c r="H218" s="27" t="n">
        <v>0.01247759274267407</v>
      </c>
      <c r="I218" s="26" t="n">
        <v>248.9816838441878</v>
      </c>
      <c r="J218" s="27" t="n">
        <v>0.01223693140012828</v>
      </c>
      <c r="K218" s="26" t="n">
        <v>241.1436249158058</v>
      </c>
      <c r="L218" s="27" t="n">
        <v>0.01285757663639461</v>
      </c>
      <c r="M218" s="26" t="n">
        <v>223.4089848599082</v>
      </c>
      <c r="N218" s="27" t="n">
        <v>0.01505291787614742</v>
      </c>
      <c r="O218" s="26" t="n">
        <v>172.5718139477461</v>
      </c>
      <c r="P218" s="27" t="n">
        <v>0.01785475617655381</v>
      </c>
      <c r="Q218" s="26" t="n">
        <v>207.5764962029172</v>
      </c>
      <c r="R218" s="27" t="n">
        <v>0.01892776079361895</v>
      </c>
      <c r="S218" s="26" t="n">
        <v>191.4460960387239</v>
      </c>
      <c r="T218" s="27" t="n">
        <v>0.02205689043477925</v>
      </c>
      <c r="U218" s="26" t="n">
        <v>214.9536767559698</v>
      </c>
      <c r="V218" s="27" t="n">
        <v>0.01720954380692726</v>
      </c>
      <c r="W218" s="26" t="n">
        <v>220.5002101409125</v>
      </c>
      <c r="X218" s="27" t="n">
        <v>0.01513229801958508</v>
      </c>
      <c r="Y218" s="26" t="n">
        <v>191.8536869892813</v>
      </c>
      <c r="Z218" s="27" t="n">
        <v>0.0144830016410123</v>
      </c>
      <c r="AA218" s="26" t="n">
        <v>210.5659136452391</v>
      </c>
      <c r="AB218" s="27" t="n">
        <v>0.01878557169235549</v>
      </c>
    </row>
    <row r="219">
      <c r="A219" s="26" t="n">
        <v>170.6430717387058</v>
      </c>
      <c r="B219" s="27" t="n">
        <v>0.02143201471575605</v>
      </c>
      <c r="C219" s="26" t="n">
        <v>180.5497327959093</v>
      </c>
      <c r="D219" s="27" t="n">
        <v>0.02001473404255173</v>
      </c>
      <c r="E219" s="26" t="n">
        <v>216.9341594636271</v>
      </c>
      <c r="F219" s="27" t="n">
        <v>0.01549238827215562</v>
      </c>
      <c r="G219" s="26" t="n">
        <v>242.9620066002907</v>
      </c>
      <c r="H219" s="27" t="n">
        <v>0.01253885480459476</v>
      </c>
      <c r="I219" s="26" t="n">
        <v>249.0620682726877</v>
      </c>
      <c r="J219" s="27" t="n">
        <v>0.01229774056881233</v>
      </c>
      <c r="K219" s="26" t="n">
        <v>241.2198674101622</v>
      </c>
      <c r="L219" s="27" t="n">
        <v>0.01292261267311081</v>
      </c>
      <c r="M219" s="26" t="n">
        <v>223.500290561994</v>
      </c>
      <c r="N219" s="27" t="n">
        <v>0.01513324863616438</v>
      </c>
      <c r="O219" s="26" t="n">
        <v>172.6962186418347</v>
      </c>
      <c r="P219" s="27" t="n">
        <v>0.01793730983196843</v>
      </c>
      <c r="Q219" s="26" t="n">
        <v>207.6705829785502</v>
      </c>
      <c r="R219" s="27" t="n">
        <v>0.0190400824526115</v>
      </c>
      <c r="S219" s="26" t="n">
        <v>191.5525196467553</v>
      </c>
      <c r="T219" s="27" t="n">
        <v>0.0221913710839045</v>
      </c>
      <c r="U219" s="26" t="n">
        <v>215.0387220504221</v>
      </c>
      <c r="V219" s="27" t="n">
        <v>0.01730857764001826</v>
      </c>
      <c r="W219" s="26" t="n">
        <v>220.5783956329653</v>
      </c>
      <c r="X219" s="27" t="n">
        <v>0.01521334516708666</v>
      </c>
      <c r="Y219" s="26" t="n">
        <v>191.9591281558882</v>
      </c>
      <c r="Z219" s="27" t="n">
        <v>0.01454534563349149</v>
      </c>
      <c r="AA219" s="26" t="n">
        <v>210.6461013069458</v>
      </c>
      <c r="AB219" s="27" t="n">
        <v>0.01889889860034394</v>
      </c>
    </row>
    <row r="220">
      <c r="A220" s="26" t="n">
        <v>170.8088334019111</v>
      </c>
      <c r="B220" s="27" t="n">
        <v>0.0215414318812145</v>
      </c>
      <c r="C220" s="26" t="n">
        <v>180.689782309724</v>
      </c>
      <c r="D220" s="27" t="n">
        <v>0.02011984821876744</v>
      </c>
      <c r="E220" s="26" t="n">
        <v>217.0472171179838</v>
      </c>
      <c r="F220" s="27" t="n">
        <v>0.01557287820528197</v>
      </c>
      <c r="G220" s="26" t="n">
        <v>243.0487290308963</v>
      </c>
      <c r="H220" s="27" t="n">
        <v>0.0126004190699084</v>
      </c>
      <c r="I220" s="26" t="n">
        <v>249.1424527011877</v>
      </c>
      <c r="J220" s="27" t="n">
        <v>0.01235885297443626</v>
      </c>
      <c r="K220" s="26" t="n">
        <v>241.2961099045185</v>
      </c>
      <c r="L220" s="27" t="n">
        <v>0.01298797848863333</v>
      </c>
      <c r="M220" s="26" t="n">
        <v>223.5915962640798</v>
      </c>
      <c r="N220" s="27" t="n">
        <v>0.015214006497963</v>
      </c>
      <c r="O220" s="26" t="n">
        <v>172.8206233359232</v>
      </c>
      <c r="P220" s="27" t="n">
        <v>0.01802025399274568</v>
      </c>
      <c r="Q220" s="26" t="n">
        <v>207.7646697541831</v>
      </c>
      <c r="R220" s="27" t="n">
        <v>0.0191530457465738</v>
      </c>
      <c r="S220" s="26" t="n">
        <v>191.6589432547867</v>
      </c>
      <c r="T220" s="27" t="n">
        <v>0.02232662515612227</v>
      </c>
      <c r="U220" s="26" t="n">
        <v>215.1237673448744</v>
      </c>
      <c r="V220" s="27" t="n">
        <v>0.01740816827109319</v>
      </c>
      <c r="W220" s="26" t="n">
        <v>220.6565811250181</v>
      </c>
      <c r="X220" s="27" t="n">
        <v>0.01529482470118554</v>
      </c>
      <c r="Y220" s="26" t="n">
        <v>192.0645693224951</v>
      </c>
      <c r="Z220" s="27" t="n">
        <v>0.01460796239898862</v>
      </c>
      <c r="AA220" s="26" t="n">
        <v>210.7262889686523</v>
      </c>
      <c r="AB220" s="27" t="n">
        <v>0.0190128818730001</v>
      </c>
    </row>
    <row r="221">
      <c r="A221" s="26" t="n">
        <v>170.9745950651164</v>
      </c>
      <c r="B221" s="27" t="n">
        <v>0.02165141136555592</v>
      </c>
      <c r="C221" s="26" t="n">
        <v>180.8298318235388</v>
      </c>
      <c r="D221" s="27" t="n">
        <v>0.02022551291119777</v>
      </c>
      <c r="E221" s="26" t="n">
        <v>217.1602747723405</v>
      </c>
      <c r="F221" s="27" t="n">
        <v>0.01565378672896373</v>
      </c>
      <c r="G221" s="26" t="n">
        <v>243.1354514615018</v>
      </c>
      <c r="H221" s="27" t="n">
        <v>0.01266228703301476</v>
      </c>
      <c r="I221" s="26" t="n">
        <v>249.2228371296876</v>
      </c>
      <c r="J221" s="27" t="n">
        <v>0.01242027013093728</v>
      </c>
      <c r="K221" s="26" t="n">
        <v>241.3723523988749</v>
      </c>
      <c r="L221" s="27" t="n">
        <v>0.0130536757534417</v>
      </c>
      <c r="M221" s="26" t="n">
        <v>223.6829019661657</v>
      </c>
      <c r="N221" s="27" t="n">
        <v>0.01529519369072137</v>
      </c>
      <c r="O221" s="26" t="n">
        <v>172.9450280300118</v>
      </c>
      <c r="P221" s="27" t="n">
        <v>0.01810359052665725</v>
      </c>
      <c r="Q221" s="26" t="n">
        <v>207.858756529816</v>
      </c>
      <c r="R221" s="27" t="n">
        <v>0.01926665404476093</v>
      </c>
      <c r="S221" s="26" t="n">
        <v>191.765366862818</v>
      </c>
      <c r="T221" s="27" t="n">
        <v>0.02246265657770147</v>
      </c>
      <c r="U221" s="26" t="n">
        <v>215.2088126393267</v>
      </c>
      <c r="V221" s="27" t="n">
        <v>0.01750831866180989</v>
      </c>
      <c r="W221" s="26" t="n">
        <v>220.7347666170709</v>
      </c>
      <c r="X221" s="27" t="n">
        <v>0.01537673889024764</v>
      </c>
      <c r="Y221" s="26" t="n">
        <v>192.170010489102</v>
      </c>
      <c r="Z221" s="27" t="n">
        <v>0.01467085314476445</v>
      </c>
      <c r="AA221" s="26" t="n">
        <v>210.8064766303589</v>
      </c>
      <c r="AB221" s="27" t="n">
        <v>0.01912752499594303</v>
      </c>
    </row>
    <row r="222">
      <c r="A222" s="26" t="n">
        <v>171.1403567283217</v>
      </c>
      <c r="B222" s="27" t="n">
        <v>0.02176195593897883</v>
      </c>
      <c r="C222" s="26" t="n">
        <v>180.9698813373536</v>
      </c>
      <c r="D222" s="27" t="n">
        <v>0.02033173089224373</v>
      </c>
      <c r="E222" s="26" t="n">
        <v>217.2733324266973</v>
      </c>
      <c r="F222" s="27" t="n">
        <v>0.01573511598829853</v>
      </c>
      <c r="G222" s="26" t="n">
        <v>243.2221738921074</v>
      </c>
      <c r="H222" s="27" t="n">
        <v>0.01272446019568162</v>
      </c>
      <c r="I222" s="26" t="n">
        <v>249.3032215581875</v>
      </c>
      <c r="J222" s="27" t="n">
        <v>0.01248199355977408</v>
      </c>
      <c r="K222" s="26" t="n">
        <v>241.4485948932312</v>
      </c>
      <c r="L222" s="27" t="n">
        <v>0.01311970614638774</v>
      </c>
      <c r="M222" s="26" t="n">
        <v>223.7742076682515</v>
      </c>
      <c r="N222" s="27" t="n">
        <v>0.01537681245461809</v>
      </c>
      <c r="O222" s="26" t="n">
        <v>173.0694327241003</v>
      </c>
      <c r="P222" s="27" t="n">
        <v>0.01818732131038964</v>
      </c>
      <c r="Q222" s="26" t="n">
        <v>207.952843305449</v>
      </c>
      <c r="R222" s="27" t="n">
        <v>0.01938091073070417</v>
      </c>
      <c r="S222" s="26" t="n">
        <v>191.8717904708494</v>
      </c>
      <c r="T222" s="27" t="n">
        <v>0.02259946928909713</v>
      </c>
      <c r="U222" s="26" t="n">
        <v>215.293857933779</v>
      </c>
      <c r="V222" s="27" t="n">
        <v>0.01760903178752012</v>
      </c>
      <c r="W222" s="26" t="n">
        <v>220.8129521091237</v>
      </c>
      <c r="X222" s="27" t="n">
        <v>0.01545909001395807</v>
      </c>
      <c r="Y222" s="26" t="n">
        <v>192.2754516557089</v>
      </c>
      <c r="Z222" s="27" t="n">
        <v>0.01473401908347092</v>
      </c>
      <c r="AA222" s="26" t="n">
        <v>210.8866642920655</v>
      </c>
      <c r="AB222" s="27" t="n">
        <v>0.01924283146969117</v>
      </c>
    </row>
    <row r="223">
      <c r="A223" s="26" t="n">
        <v>171.306118391527</v>
      </c>
      <c r="B223" s="27" t="n">
        <v>0.02187306838353318</v>
      </c>
      <c r="C223" s="26" t="n">
        <v>181.1099308511683</v>
      </c>
      <c r="D223" s="27" t="n">
        <v>0.02043850494665661</v>
      </c>
      <c r="E223" s="26" t="n">
        <v>217.386390081054</v>
      </c>
      <c r="F223" s="27" t="n">
        <v>0.01581686813881475</v>
      </c>
      <c r="G223" s="26" t="n">
        <v>243.308896322713</v>
      </c>
      <c r="H223" s="27" t="n">
        <v>0.01278694006708011</v>
      </c>
      <c r="I223" s="26" t="n">
        <v>249.3836059866875</v>
      </c>
      <c r="J223" s="27" t="n">
        <v>0.01254402478996333</v>
      </c>
      <c r="K223" s="26" t="n">
        <v>241.5248373875876</v>
      </c>
      <c r="L223" s="27" t="n">
        <v>0.01318607135473566</v>
      </c>
      <c r="M223" s="26" t="n">
        <v>223.8655133703373</v>
      </c>
      <c r="N223" s="27" t="n">
        <v>0.01545886504087814</v>
      </c>
      <c r="O223" s="26" t="n">
        <v>173.1938374181888</v>
      </c>
      <c r="P223" s="27" t="n">
        <v>0.01827144822958525</v>
      </c>
      <c r="Q223" s="26" t="n">
        <v>208.0469300810819</v>
      </c>
      <c r="R223" s="27" t="n">
        <v>0.01949581920223096</v>
      </c>
      <c r="S223" s="26" t="n">
        <v>191.9782140788808</v>
      </c>
      <c r="T223" s="27" t="n">
        <v>0.02273706724493547</v>
      </c>
      <c r="U223" s="26" t="n">
        <v>215.3789032282313</v>
      </c>
      <c r="V223" s="27" t="n">
        <v>0.01771031063730735</v>
      </c>
      <c r="W223" s="26" t="n">
        <v>220.8911376011765</v>
      </c>
      <c r="X223" s="27" t="n">
        <v>0.01554188036337007</v>
      </c>
      <c r="Y223" s="26" t="n">
        <v>192.3808928223158</v>
      </c>
      <c r="Z223" s="27" t="n">
        <v>0.01479746143317516</v>
      </c>
      <c r="AA223" s="26" t="n">
        <v>210.9668519537721</v>
      </c>
      <c r="AB223" s="27" t="n">
        <v>0.01935880480968325</v>
      </c>
    </row>
    <row r="224">
      <c r="A224" s="26" t="n">
        <v>171.4718800547323</v>
      </c>
      <c r="B224" s="27" t="n">
        <v>0.0219847514931477</v>
      </c>
      <c r="C224" s="26" t="n">
        <v>181.2499803649831</v>
      </c>
      <c r="D224" s="27" t="n">
        <v>0.02054583787157257</v>
      </c>
      <c r="E224" s="26" t="n">
        <v>217.4994477354107</v>
      </c>
      <c r="F224" s="27" t="n">
        <v>0.01589904534651404</v>
      </c>
      <c r="G224" s="26" t="n">
        <v>243.3956187533185</v>
      </c>
      <c r="H224" s="27" t="n">
        <v>0.01284972816382047</v>
      </c>
      <c r="I224" s="26" t="n">
        <v>249.4639904151874</v>
      </c>
      <c r="J224" s="27" t="n">
        <v>0.01260636535811637</v>
      </c>
      <c r="K224" s="26" t="n">
        <v>241.6010798819439</v>
      </c>
      <c r="L224" s="27" t="n">
        <v>0.01325277307420282</v>
      </c>
      <c r="M224" s="26" t="n">
        <v>223.9568190724232</v>
      </c>
      <c r="N224" s="27" t="n">
        <v>0.01554135371181819</v>
      </c>
      <c r="O224" s="26" t="n">
        <v>173.3182421122774</v>
      </c>
      <c r="P224" s="27" t="n">
        <v>0.01835597317888362</v>
      </c>
      <c r="Q224" s="26" t="n">
        <v>208.1410168567149</v>
      </c>
      <c r="R224" s="27" t="n">
        <v>0.01961138287148404</v>
      </c>
      <c r="S224" s="26" t="n">
        <v>192.0846376869122</v>
      </c>
      <c r="T224" s="27" t="n">
        <v>0.02287545441399702</v>
      </c>
      <c r="U224" s="26" t="n">
        <v>215.4639485226836</v>
      </c>
      <c r="V224" s="27" t="n">
        <v>0.01781215821402445</v>
      </c>
      <c r="W224" s="26" t="n">
        <v>220.9693230932293</v>
      </c>
      <c r="X224" s="27" t="n">
        <v>0.0156251122409528</v>
      </c>
      <c r="Y224" s="26" t="n">
        <v>192.4863339889227</v>
      </c>
      <c r="Z224" s="27" t="n">
        <v>0.0148611814173841</v>
      </c>
      <c r="AA224" s="26" t="n">
        <v>211.0470396154787</v>
      </c>
      <c r="AB224" s="27" t="n">
        <v>0.01947544854629858</v>
      </c>
    </row>
    <row r="225">
      <c r="A225" s="26" t="n">
        <v>171.6376417179376</v>
      </c>
      <c r="B225" s="27" t="n">
        <v>0.0220970080736574</v>
      </c>
      <c r="C225" s="26" t="n">
        <v>181.3900298787979</v>
      </c>
      <c r="D225" s="27" t="n">
        <v>0.02065373247654662</v>
      </c>
      <c r="E225" s="26" t="n">
        <v>217.6125053897674</v>
      </c>
      <c r="F225" s="27" t="n">
        <v>0.01598164978791388</v>
      </c>
      <c r="G225" s="26" t="n">
        <v>243.4823411839241</v>
      </c>
      <c r="H225" s="27" t="n">
        <v>0.01291282600998819</v>
      </c>
      <c r="I225" s="26" t="n">
        <v>249.5443748436874</v>
      </c>
      <c r="J225" s="27" t="n">
        <v>0.01266901680847591</v>
      </c>
      <c r="K225" s="26" t="n">
        <v>241.6773223763003</v>
      </c>
      <c r="L225" s="27" t="n">
        <v>0.01331981300900019</v>
      </c>
      <c r="M225" s="26" t="n">
        <v>224.048124774509</v>
      </c>
      <c r="N225" s="27" t="n">
        <v>0.01562428074089242</v>
      </c>
      <c r="O225" s="26" t="n">
        <v>173.4426468063659</v>
      </c>
      <c r="P225" s="27" t="n">
        <v>0.01844089806196251</v>
      </c>
      <c r="Q225" s="26" t="n">
        <v>208.2351036323479</v>
      </c>
      <c r="R225" s="27" t="n">
        <v>0.01972760516494035</v>
      </c>
      <c r="S225" s="26" t="n">
        <v>192.1910612949435</v>
      </c>
      <c r="T225" s="27" t="n">
        <v>0.02301463477919963</v>
      </c>
      <c r="U225" s="26" t="n">
        <v>215.5489938171359</v>
      </c>
      <c r="V225" s="27" t="n">
        <v>0.01791457753433145</v>
      </c>
      <c r="W225" s="26" t="n">
        <v>221.0475085852821</v>
      </c>
      <c r="X225" s="27" t="n">
        <v>0.01570878796064057</v>
      </c>
      <c r="Y225" s="26" t="n">
        <v>192.5917751555296</v>
      </c>
      <c r="Z225" s="27" t="n">
        <v>0.01492518026506858</v>
      </c>
      <c r="AA225" s="26" t="n">
        <v>211.1272272771853</v>
      </c>
      <c r="AB225" s="27" t="n">
        <v>0.01959276622487712</v>
      </c>
    </row>
    <row r="226">
      <c r="A226" s="26" t="n">
        <v>171.803403381143</v>
      </c>
      <c r="B226" s="27" t="n">
        <v>0.02220984094283023</v>
      </c>
      <c r="C226" s="26" t="n">
        <v>181.5300793926127</v>
      </c>
      <c r="D226" s="27" t="n">
        <v>0.02076219158358613</v>
      </c>
      <c r="E226" s="26" t="n">
        <v>217.7255630441242</v>
      </c>
      <c r="F226" s="27" t="n">
        <v>0.01606468365009063</v>
      </c>
      <c r="G226" s="26" t="n">
        <v>243.5690636145297</v>
      </c>
      <c r="H226" s="27" t="n">
        <v>0.01297623513717986</v>
      </c>
      <c r="I226" s="26" t="n">
        <v>249.6247592721873</v>
      </c>
      <c r="J226" s="27" t="n">
        <v>0.01273198069295297</v>
      </c>
      <c r="K226" s="26" t="n">
        <v>241.7535648706566</v>
      </c>
      <c r="L226" s="27" t="n">
        <v>0.01338719287187316</v>
      </c>
      <c r="M226" s="26" t="n">
        <v>224.1394304765948</v>
      </c>
      <c r="N226" s="27" t="n">
        <v>0.01570764841273806</v>
      </c>
      <c r="O226" s="26" t="n">
        <v>173.5670515004545</v>
      </c>
      <c r="P226" s="27" t="n">
        <v>0.01852622479157989</v>
      </c>
      <c r="Q226" s="26" t="n">
        <v>208.3291904079808</v>
      </c>
      <c r="R226" s="27" t="n">
        <v>0.01984448952342943</v>
      </c>
      <c r="S226" s="26" t="n">
        <v>192.2974849029749</v>
      </c>
      <c r="T226" s="27" t="n">
        <v>0.02315461233757977</v>
      </c>
      <c r="U226" s="26" t="n">
        <v>215.6340391115882</v>
      </c>
      <c r="V226" s="27" t="n">
        <v>0.01801757162873237</v>
      </c>
      <c r="W226" s="26" t="n">
        <v>221.1256940773349</v>
      </c>
      <c r="X226" s="27" t="n">
        <v>0.01579290984788093</v>
      </c>
      <c r="Y226" s="26" t="n">
        <v>192.6972163221365</v>
      </c>
      <c r="Z226" s="27" t="n">
        <v>0.01498945921068843</v>
      </c>
      <c r="AA226" s="26" t="n">
        <v>211.2074149388919</v>
      </c>
      <c r="AB226" s="27" t="n">
        <v>0.01971076140573812</v>
      </c>
    </row>
    <row r="227">
      <c r="A227" s="26" t="n">
        <v>171.9691650443482</v>
      </c>
      <c r="B227" s="27" t="n">
        <v>0.02232325293039398</v>
      </c>
      <c r="C227" s="26" t="n">
        <v>181.6701289064275</v>
      </c>
      <c r="D227" s="27" t="n">
        <v>0.02087121802718453</v>
      </c>
      <c r="E227" s="26" t="n">
        <v>217.8386206984809</v>
      </c>
      <c r="F227" s="27" t="n">
        <v>0.01614814913072198</v>
      </c>
      <c r="G227" s="26" t="n">
        <v>243.6557860451353</v>
      </c>
      <c r="H227" s="27" t="n">
        <v>0.01303995708453961</v>
      </c>
      <c r="I227" s="26" t="n">
        <v>249.7051437006872</v>
      </c>
      <c r="J227" s="27" t="n">
        <v>0.01279525857116423</v>
      </c>
      <c r="K227" s="26" t="n">
        <v>241.829807365013</v>
      </c>
      <c r="L227" s="27" t="n">
        <v>0.01345491438414241</v>
      </c>
      <c r="M227" s="26" t="n">
        <v>224.2307361786807</v>
      </c>
      <c r="N227" s="27" t="n">
        <v>0.01579145902322112</v>
      </c>
      <c r="O227" s="26" t="n">
        <v>173.691456194543</v>
      </c>
      <c r="P227" s="27" t="n">
        <v>0.01861195528961515</v>
      </c>
      <c r="Q227" s="26" t="n">
        <v>208.4232771836138</v>
      </c>
      <c r="R227" s="27" t="n">
        <v>0.01996203940215081</v>
      </c>
      <c r="S227" s="26" t="n">
        <v>192.4039085110063</v>
      </c>
      <c r="T227" s="27" t="n">
        <v>0.0232953911002734</v>
      </c>
      <c r="U227" s="26" t="n">
        <v>215.7190844060405</v>
      </c>
      <c r="V227" s="27" t="n">
        <v>0.01812114354161261</v>
      </c>
      <c r="W227" s="26" t="n">
        <v>221.2038795693877</v>
      </c>
      <c r="X227" s="27" t="n">
        <v>0.01587748023968377</v>
      </c>
      <c r="Y227" s="26" t="n">
        <v>192.8026574887434</v>
      </c>
      <c r="Z227" s="27" t="n">
        <v>0.01505401949421672</v>
      </c>
      <c r="AA227" s="26" t="n">
        <v>211.2876026005985</v>
      </c>
      <c r="AB227" s="27" t="n">
        <v>0.01982943766419927</v>
      </c>
    </row>
    <row r="228">
      <c r="A228" s="26" t="n">
        <v>172.1349267075536</v>
      </c>
      <c r="B228" s="27" t="n">
        <v>0.02243724687806261</v>
      </c>
      <c r="C228" s="26" t="n">
        <v>181.8101784202422</v>
      </c>
      <c r="D228" s="27" t="n">
        <v>0.02098081465435481</v>
      </c>
      <c r="E228" s="26" t="n">
        <v>217.9516783528376</v>
      </c>
      <c r="F228" s="27" t="n">
        <v>0.01623204843813023</v>
      </c>
      <c r="G228" s="26" t="n">
        <v>243.7425084757408</v>
      </c>
      <c r="H228" s="27" t="n">
        <v>0.01310399339879527</v>
      </c>
      <c r="I228" s="26" t="n">
        <v>249.7855281291872</v>
      </c>
      <c r="J228" s="27" t="n">
        <v>0.01285885201046895</v>
      </c>
      <c r="K228" s="26" t="n">
        <v>241.9060498593693</v>
      </c>
      <c r="L228" s="27" t="n">
        <v>0.01352297927574535</v>
      </c>
      <c r="M228" s="26" t="n">
        <v>224.3220418807665</v>
      </c>
      <c r="N228" s="27" t="n">
        <v>0.0158757148794823</v>
      </c>
      <c r="O228" s="26" t="n">
        <v>173.8158608886316</v>
      </c>
      <c r="P228" s="27" t="n">
        <v>0.01869809148711135</v>
      </c>
      <c r="Q228" s="26" t="n">
        <v>208.5173639592467</v>
      </c>
      <c r="R228" s="27" t="n">
        <v>0.02008025827069133</v>
      </c>
      <c r="S228" s="26" t="n">
        <v>192.5103321190377</v>
      </c>
      <c r="T228" s="27" t="n">
        <v>0.02343697509249527</v>
      </c>
      <c r="U228" s="26" t="n">
        <v>215.8041297004928</v>
      </c>
      <c r="V228" s="27" t="n">
        <v>0.01822529633127512</v>
      </c>
      <c r="W228" s="26" t="n">
        <v>221.2820650614405</v>
      </c>
      <c r="X228" s="27" t="n">
        <v>0.01596250148466985</v>
      </c>
      <c r="Y228" s="26" t="n">
        <v>192.9080986553504</v>
      </c>
      <c r="Z228" s="27" t="n">
        <v>0.0151188623611646</v>
      </c>
      <c r="AA228" s="26" t="n">
        <v>211.3677902623051</v>
      </c>
      <c r="AB228" s="27" t="n">
        <v>0.0199487985905942</v>
      </c>
    </row>
    <row r="229">
      <c r="A229" s="26" t="n">
        <v>172.3006883707588</v>
      </c>
      <c r="B229" s="27" t="n">
        <v>0.02255182563956237</v>
      </c>
      <c r="C229" s="26" t="n">
        <v>181.950227934057</v>
      </c>
      <c r="D229" s="27" t="n">
        <v>0.02109098432466257</v>
      </c>
      <c r="E229" s="26" t="n">
        <v>218.0647360071944</v>
      </c>
      <c r="F229" s="27" t="n">
        <v>0.01631638379132488</v>
      </c>
      <c r="G229" s="26" t="n">
        <v>243.8292309063464</v>
      </c>
      <c r="H229" s="27" t="n">
        <v>0.01316834563429531</v>
      </c>
      <c r="I229" s="26" t="n">
        <v>249.8659125576871</v>
      </c>
      <c r="J229" s="27" t="n">
        <v>0.01292276258600674</v>
      </c>
      <c r="K229" s="26" t="n">
        <v>241.9822923537257</v>
      </c>
      <c r="L229" s="27" t="n">
        <v>0.01359138928527691</v>
      </c>
      <c r="M229" s="26" t="n">
        <v>224.4133475828524</v>
      </c>
      <c r="N229" s="27" t="n">
        <v>0.01596041829998262</v>
      </c>
      <c r="O229" s="26" t="n">
        <v>173.9402655827201</v>
      </c>
      <c r="P229" s="27" t="n">
        <v>0.01878463532431689</v>
      </c>
      <c r="Q229" s="26" t="n">
        <v>208.6114507348797</v>
      </c>
      <c r="R229" s="27" t="n">
        <v>0.02019914961304146</v>
      </c>
      <c r="S229" s="26" t="n">
        <v>192.616755727069</v>
      </c>
      <c r="T229" s="27" t="n">
        <v>0.02357936835351733</v>
      </c>
      <c r="U229" s="26" t="n">
        <v>215.8891749949451</v>
      </c>
      <c r="V229" s="27" t="n">
        <v>0.01833003306997726</v>
      </c>
      <c r="W229" s="26" t="n">
        <v>221.3602505534933</v>
      </c>
      <c r="X229" s="27" t="n">
        <v>0.01604797594311987</v>
      </c>
      <c r="Y229" s="26" t="n">
        <v>193.0135398219573</v>
      </c>
      <c r="Z229" s="27" t="n">
        <v>0.01518398906260662</v>
      </c>
      <c r="AA229" s="26" t="n">
        <v>211.4479779240117</v>
      </c>
      <c r="AB229" s="27" t="n">
        <v>0.02006884779029035</v>
      </c>
    </row>
    <row r="230">
      <c r="A230" s="26" t="n">
        <v>172.4664500339642</v>
      </c>
      <c r="B230" s="27" t="n">
        <v>0.02266699208065753</v>
      </c>
      <c r="C230" s="26" t="n">
        <v>182.0902774478718</v>
      </c>
      <c r="D230" s="27" t="n">
        <v>0.0212017299102588</v>
      </c>
      <c r="E230" s="26" t="n">
        <v>218.1777936615511</v>
      </c>
      <c r="F230" s="27" t="n">
        <v>0.01640115742004588</v>
      </c>
      <c r="G230" s="26" t="n">
        <v>243.915953336952</v>
      </c>
      <c r="H230" s="27" t="n">
        <v>0.01323301535304516</v>
      </c>
      <c r="I230" s="26" t="n">
        <v>249.9462969861871</v>
      </c>
      <c r="J230" s="27" t="n">
        <v>0.01298699188073506</v>
      </c>
      <c r="K230" s="26" t="n">
        <v>242.058534848082</v>
      </c>
      <c r="L230" s="27" t="n">
        <v>0.01366014616003152</v>
      </c>
      <c r="M230" s="26" t="n">
        <v>224.5046532849382</v>
      </c>
      <c r="N230" s="27" t="n">
        <v>0.01604557161454968</v>
      </c>
      <c r="O230" s="26" t="n">
        <v>174.0646702768087</v>
      </c>
      <c r="P230" s="27" t="n">
        <v>0.01887158875072788</v>
      </c>
      <c r="Q230" s="26" t="n">
        <v>208.7055375105126</v>
      </c>
      <c r="R230" s="27" t="n">
        <v>0.02031871692761132</v>
      </c>
      <c r="S230" s="26" t="n">
        <v>192.7231793351004</v>
      </c>
      <c r="T230" s="27" t="n">
        <v>0.02372257493664635</v>
      </c>
      <c r="U230" s="26" t="n">
        <v>215.9742202893974</v>
      </c>
      <c r="V230" s="27" t="n">
        <v>0.01843535684396657</v>
      </c>
      <c r="W230" s="26" t="n">
        <v>221.4384360455461</v>
      </c>
      <c r="X230" s="27" t="n">
        <v>0.01613390598702345</v>
      </c>
      <c r="Y230" s="26" t="n">
        <v>193.1189809885642</v>
      </c>
      <c r="Z230" s="27" t="n">
        <v>0.01524940085520519</v>
      </c>
      <c r="AA230" s="26" t="n">
        <v>211.5281655857183</v>
      </c>
      <c r="AB230" s="27" t="n">
        <v>0.020189588883705</v>
      </c>
    </row>
    <row r="231">
      <c r="A231" s="26" t="n">
        <v>172.6322116971695</v>
      </c>
      <c r="B231" s="27" t="n">
        <v>0.02278274907917617</v>
      </c>
      <c r="C231" s="26" t="n">
        <v>182.2303269616866</v>
      </c>
      <c r="D231" s="27" t="n">
        <v>0.021313054295913</v>
      </c>
      <c r="E231" s="26" t="n">
        <v>218.2908513159078</v>
      </c>
      <c r="F231" s="27" t="n">
        <v>0.01648637156480649</v>
      </c>
      <c r="G231" s="26" t="n">
        <v>244.0026757675576</v>
      </c>
      <c r="H231" s="27" t="n">
        <v>0.01329800412474443</v>
      </c>
      <c r="I231" s="26" t="n">
        <v>250.026681414687</v>
      </c>
      <c r="J231" s="27" t="n">
        <v>0.01305154148546682</v>
      </c>
      <c r="K231" s="26" t="n">
        <v>242.1347773424384</v>
      </c>
      <c r="L231" s="27" t="n">
        <v>0.01372925165604442</v>
      </c>
      <c r="M231" s="26" t="n">
        <v>224.5959589870241</v>
      </c>
      <c r="N231" s="27" t="n">
        <v>0.01613117716442313</v>
      </c>
      <c r="O231" s="26" t="n">
        <v>174.1890749708972</v>
      </c>
      <c r="P231" s="27" t="n">
        <v>0.01895895372513059</v>
      </c>
      <c r="Q231" s="26" t="n">
        <v>208.7996242861455</v>
      </c>
      <c r="R231" s="27" t="n">
        <v>0.02043896372724605</v>
      </c>
      <c r="S231" s="26" t="n">
        <v>192.8296029431318</v>
      </c>
      <c r="T231" s="27" t="n">
        <v>0.02386659890920003</v>
      </c>
      <c r="U231" s="26" t="n">
        <v>216.0592655838497</v>
      </c>
      <c r="V231" s="27" t="n">
        <v>0.01854127075351704</v>
      </c>
      <c r="W231" s="26" t="n">
        <v>221.5166215375989</v>
      </c>
      <c r="X231" s="27" t="n">
        <v>0.01622029400012804</v>
      </c>
      <c r="Y231" s="26" t="n">
        <v>193.2244221551711</v>
      </c>
      <c r="Z231" s="27" t="n">
        <v>0.01531509900123621</v>
      </c>
      <c r="AA231" s="26" t="n">
        <v>211.6083532474249</v>
      </c>
      <c r="AB231" s="27" t="n">
        <v>0.02031102550632209</v>
      </c>
    </row>
    <row r="232">
      <c r="A232" s="26" t="n">
        <v>172.7979733603748</v>
      </c>
      <c r="B232" s="27" t="n">
        <v>0.02289909952503514</v>
      </c>
      <c r="C232" s="26" t="n">
        <v>182.3703764755014</v>
      </c>
      <c r="D232" s="27" t="n">
        <v>0.02142496037904527</v>
      </c>
      <c r="E232" s="26" t="n">
        <v>218.4039089702645</v>
      </c>
      <c r="F232" s="27" t="n">
        <v>0.01657202847693637</v>
      </c>
      <c r="G232" s="26" t="n">
        <v>244.0893981981632</v>
      </c>
      <c r="H232" s="27" t="n">
        <v>0.01336331352682368</v>
      </c>
      <c r="I232" s="26" t="n">
        <v>250.1070658431869</v>
      </c>
      <c r="J232" s="27" t="n">
        <v>0.0131164129989086</v>
      </c>
      <c r="K232" s="26" t="n">
        <v>242.2110198367947</v>
      </c>
      <c r="L232" s="27" t="n">
        <v>0.01379870753813349</v>
      </c>
      <c r="M232" s="26" t="n">
        <v>224.6872646891099</v>
      </c>
      <c r="N232" s="27" t="n">
        <v>0.01621723730230113</v>
      </c>
      <c r="O232" s="26" t="n">
        <v>174.3134796649858</v>
      </c>
      <c r="P232" s="27" t="n">
        <v>0.01904673221564362</v>
      </c>
      <c r="Q232" s="26" t="n">
        <v>208.8937110617784</v>
      </c>
      <c r="R232" s="27" t="n">
        <v>0.02055989353924035</v>
      </c>
      <c r="S232" s="26" t="n">
        <v>192.9360265511631</v>
      </c>
      <c r="T232" s="27" t="n">
        <v>0.02401144435248215</v>
      </c>
      <c r="U232" s="26" t="n">
        <v>216.144310878302</v>
      </c>
      <c r="V232" s="27" t="n">
        <v>0.01864777791296423</v>
      </c>
      <c r="W232" s="26" t="n">
        <v>221.5948070296517</v>
      </c>
      <c r="X232" s="27" t="n">
        <v>0.01630714237798811</v>
      </c>
      <c r="Y232" s="26" t="n">
        <v>193.329863321778</v>
      </c>
      <c r="Z232" s="27" t="n">
        <v>0.01538108476861396</v>
      </c>
      <c r="AA232" s="26" t="n">
        <v>211.6885409091315</v>
      </c>
      <c r="AB232" s="27" t="n">
        <v>0.02043316130870731</v>
      </c>
    </row>
    <row r="233">
      <c r="A233" s="26" t="n">
        <v>172.9637350235801</v>
      </c>
      <c r="B233" s="27" t="n">
        <v>0.02301604632026534</v>
      </c>
      <c r="C233" s="26" t="n">
        <v>182.5104259893161</v>
      </c>
      <c r="D233" s="27" t="n">
        <v>0.02153745106975877</v>
      </c>
      <c r="E233" s="26" t="n">
        <v>218.5169666246213</v>
      </c>
      <c r="F233" s="27" t="n">
        <v>0.01665813041862474</v>
      </c>
      <c r="G233" s="26" t="n">
        <v>244.1761206287687</v>
      </c>
      <c r="H233" s="27" t="n">
        <v>0.01342894514448186</v>
      </c>
      <c r="I233" s="26" t="n">
        <v>250.1874502716869</v>
      </c>
      <c r="J233" s="27" t="n">
        <v>0.01318160802769864</v>
      </c>
      <c r="K233" s="26" t="n">
        <v>242.2872623311511</v>
      </c>
      <c r="L233" s="27" t="n">
        <v>0.01386851557994133</v>
      </c>
      <c r="M233" s="26" t="n">
        <v>224.7785703911957</v>
      </c>
      <c r="N233" s="27" t="n">
        <v>0.01630375439238609</v>
      </c>
      <c r="O233" s="26" t="n">
        <v>174.4378843590743</v>
      </c>
      <c r="P233" s="27" t="n">
        <v>0.01913492619976075</v>
      </c>
      <c r="Q233" s="26" t="n">
        <v>208.9877978374114</v>
      </c>
      <c r="R233" s="27" t="n">
        <v>0.0206815099053526</v>
      </c>
      <c r="S233" s="26" t="n">
        <v>193.0424501591945</v>
      </c>
      <c r="T233" s="27" t="n">
        <v>0.02415711536175673</v>
      </c>
      <c r="U233" s="26" t="n">
        <v>216.2293561727543</v>
      </c>
      <c r="V233" s="27" t="n">
        <v>0.01875488145074083</v>
      </c>
      <c r="W233" s="26" t="n">
        <v>221.6729925217045</v>
      </c>
      <c r="X233" s="27" t="n">
        <v>0.0163944535280144</v>
      </c>
      <c r="Y233" s="26" t="n">
        <v>193.4353044883849</v>
      </c>
      <c r="Z233" s="27" t="n">
        <v>0.01544735943091674</v>
      </c>
      <c r="AA233" s="26" t="n">
        <v>211.7687285708381</v>
      </c>
      <c r="AB233" s="27" t="n">
        <v>0.02055599995652273</v>
      </c>
    </row>
    <row r="234">
      <c r="A234" s="26" t="n">
        <v>173.1294966867854</v>
      </c>
      <c r="B234" s="27" t="n">
        <v>0.02313359237903595</v>
      </c>
      <c r="C234" s="26" t="n">
        <v>182.6504755031309</v>
      </c>
      <c r="D234" s="27" t="n">
        <v>0.0216505292908717</v>
      </c>
      <c r="E234" s="26" t="n">
        <v>218.6300242789779</v>
      </c>
      <c r="F234" s="27" t="n">
        <v>0.01674467966296353</v>
      </c>
      <c r="G234" s="26" t="n">
        <v>244.2628430593743</v>
      </c>
      <c r="H234" s="27" t="n">
        <v>0.01349490057072362</v>
      </c>
      <c r="I234" s="26" t="n">
        <v>250.2678347001868</v>
      </c>
      <c r="J234" s="27" t="n">
        <v>0.013247128186445</v>
      </c>
      <c r="K234" s="26" t="n">
        <v>242.3635048255074</v>
      </c>
      <c r="L234" s="27" t="n">
        <v>0.01393867756397731</v>
      </c>
      <c r="M234" s="26" t="n">
        <v>224.8698760932816</v>
      </c>
      <c r="N234" s="27" t="n">
        <v>0.01639073081043085</v>
      </c>
      <c r="O234" s="26" t="n">
        <v>174.5622890531628</v>
      </c>
      <c r="P234" s="27" t="n">
        <v>0.01922353766439378</v>
      </c>
      <c r="Q234" s="26" t="n">
        <v>209.0818846130444</v>
      </c>
      <c r="R234" s="27" t="n">
        <v>0.02080381638181835</v>
      </c>
      <c r="S234" s="26" t="n">
        <v>193.1488737672259</v>
      </c>
      <c r="T234" s="27" t="n">
        <v>0.024303616046221</v>
      </c>
      <c r="U234" s="26" t="n">
        <v>216.3144014672066</v>
      </c>
      <c r="V234" s="27" t="n">
        <v>0.0188625845094115</v>
      </c>
      <c r="W234" s="26" t="n">
        <v>221.7511780137573</v>
      </c>
      <c r="X234" s="27" t="n">
        <v>0.01648222986952313</v>
      </c>
      <c r="Y234" s="26" t="n">
        <v>193.5407456549918</v>
      </c>
      <c r="Z234" s="27" t="n">
        <v>0.01551392426741202</v>
      </c>
      <c r="AA234" s="26" t="n">
        <v>211.8489162325447</v>
      </c>
      <c r="AB234" s="27" t="n">
        <v>0.02067954513054136</v>
      </c>
    </row>
    <row r="235">
      <c r="A235" s="26" t="n">
        <v>173.2952583499907</v>
      </c>
      <c r="B235" s="27" t="n">
        <v>0.02325174062767901</v>
      </c>
      <c r="C235" s="26" t="n">
        <v>182.7905250169457</v>
      </c>
      <c r="D235" s="27" t="n">
        <v>0.02176419797794892</v>
      </c>
      <c r="E235" s="26" t="n">
        <v>218.7430819333347</v>
      </c>
      <c r="F235" s="27" t="n">
        <v>0.01683167849399064</v>
      </c>
      <c r="G235" s="26" t="n">
        <v>244.3495654899799</v>
      </c>
      <c r="H235" s="27" t="n">
        <v>0.01356118140639678</v>
      </c>
      <c r="I235" s="26" t="n">
        <v>250.3482191286868</v>
      </c>
      <c r="J235" s="27" t="n">
        <v>0.01331297509776405</v>
      </c>
      <c r="K235" s="26" t="n">
        <v>242.4397473198638</v>
      </c>
      <c r="L235" s="27" t="n">
        <v>0.01400919528165992</v>
      </c>
      <c r="M235" s="26" t="n">
        <v>224.9611817953674</v>
      </c>
      <c r="N235" s="27" t="n">
        <v>0.0164781689437848</v>
      </c>
      <c r="O235" s="26" t="n">
        <v>174.6866937472514</v>
      </c>
      <c r="P235" s="27" t="n">
        <v>0.01931256860591542</v>
      </c>
      <c r="Q235" s="26" t="n">
        <v>209.1759713886773</v>
      </c>
      <c r="R235" s="27" t="n">
        <v>0.02092681653936291</v>
      </c>
      <c r="S235" s="26" t="n">
        <v>193.2552973752573</v>
      </c>
      <c r="T235" s="27" t="n">
        <v>0.02445095052897711</v>
      </c>
      <c r="U235" s="26" t="n">
        <v>216.3994467616589</v>
      </c>
      <c r="V235" s="27" t="n">
        <v>0.01897089024570741</v>
      </c>
      <c r="W235" s="26" t="n">
        <v>221.8293635058101</v>
      </c>
      <c r="X235" s="27" t="n">
        <v>0.01657047383378549</v>
      </c>
      <c r="Y235" s="26" t="n">
        <v>193.6461868215987</v>
      </c>
      <c r="Z235" s="27" t="n">
        <v>0.01558078056308252</v>
      </c>
      <c r="AA235" s="26" t="n">
        <v>211.9291038942513</v>
      </c>
      <c r="AB235" s="27" t="n">
        <v>0.02080380052666025</v>
      </c>
    </row>
    <row r="236">
      <c r="A236" s="26" t="n">
        <v>173.461020013196</v>
      </c>
      <c r="B236" s="27" t="n">
        <v>0.02337049400471331</v>
      </c>
      <c r="C236" s="26" t="n">
        <v>182.9305745307605</v>
      </c>
      <c r="D236" s="27" t="n">
        <v>0.02187846007933373</v>
      </c>
      <c r="E236" s="26" t="n">
        <v>218.8561395876914</v>
      </c>
      <c r="F236" s="27" t="n">
        <v>0.01691912920673286</v>
      </c>
      <c r="G236" s="26" t="n">
        <v>244.4362879205854</v>
      </c>
      <c r="H236" s="27" t="n">
        <v>0.0136277892602301</v>
      </c>
      <c r="I236" s="26" t="n">
        <v>250.4286035571867</v>
      </c>
      <c r="J236" s="27" t="n">
        <v>0.01337915039231926</v>
      </c>
      <c r="K236" s="26" t="n">
        <v>242.5159898142202</v>
      </c>
      <c r="L236" s="27" t="n">
        <v>0.01408007053335908</v>
      </c>
      <c r="M236" s="26" t="n">
        <v>225.0524874974532</v>
      </c>
      <c r="N236" s="27" t="n">
        <v>0.01656607119144014</v>
      </c>
      <c r="O236" s="26" t="n">
        <v>174.8110984413399</v>
      </c>
      <c r="P236" s="27" t="n">
        <v>0.01940202103020251</v>
      </c>
      <c r="Q236" s="26" t="n">
        <v>209.2700581643103</v>
      </c>
      <c r="R236" s="27" t="n">
        <v>0.02105051396321387</v>
      </c>
      <c r="S236" s="26" t="n">
        <v>193.3617209832886</v>
      </c>
      <c r="T236" s="27" t="n">
        <v>0.02459912294700289</v>
      </c>
      <c r="U236" s="26" t="n">
        <v>216.4844920561112</v>
      </c>
      <c r="V236" s="27" t="n">
        <v>0.01907980183056098</v>
      </c>
      <c r="W236" s="26" t="n">
        <v>221.907548997863</v>
      </c>
      <c r="X236" s="27" t="n">
        <v>0.01665918786407678</v>
      </c>
      <c r="Y236" s="26" t="n">
        <v>193.7516279882056</v>
      </c>
      <c r="Z236" s="27" t="n">
        <v>0.01564792960865138</v>
      </c>
      <c r="AA236" s="26" t="n">
        <v>212.0092915559579</v>
      </c>
      <c r="AB236" s="27" t="n">
        <v>0.02092876985591341</v>
      </c>
    </row>
    <row r="237">
      <c r="A237" s="26" t="n">
        <v>173.6267816764014</v>
      </c>
      <c r="B237" s="27" t="n">
        <v>0.02348985546086797</v>
      </c>
      <c r="C237" s="26" t="n">
        <v>183.0706240445752</v>
      </c>
      <c r="D237" s="27" t="n">
        <v>0.02199331855617873</v>
      </c>
      <c r="E237" s="26" t="n">
        <v>218.9691972420481</v>
      </c>
      <c r="F237" s="27" t="n">
        <v>0.01700703410724972</v>
      </c>
      <c r="G237" s="26" t="n">
        <v>244.523010351191</v>
      </c>
      <c r="H237" s="27" t="n">
        <v>0.01369472574887119</v>
      </c>
      <c r="I237" s="26" t="n">
        <v>250.5089879856866</v>
      </c>
      <c r="J237" s="27" t="n">
        <v>0.01344565570885964</v>
      </c>
      <c r="K237" s="26" t="n">
        <v>242.5922323085765</v>
      </c>
      <c r="L237" s="27" t="n">
        <v>0.01415130512843913</v>
      </c>
      <c r="M237" s="26" t="n">
        <v>225.1437931995391</v>
      </c>
      <c r="N237" s="27" t="n">
        <v>0.01665443996407773</v>
      </c>
      <c r="O237" s="26" t="n">
        <v>174.9355031354285</v>
      </c>
      <c r="P237" s="27" t="n">
        <v>0.01949189695267924</v>
      </c>
      <c r="Q237" s="26" t="n">
        <v>209.3641449399432</v>
      </c>
      <c r="R237" s="27" t="n">
        <v>0.02117491225311217</v>
      </c>
      <c r="S237" s="26" t="n">
        <v>193.46814459132</v>
      </c>
      <c r="T237" s="27" t="n">
        <v>0.02474813745112115</v>
      </c>
      <c r="U237" s="26" t="n">
        <v>216.5695373505635</v>
      </c>
      <c r="V237" s="27" t="n">
        <v>0.01918932244913919</v>
      </c>
      <c r="W237" s="26" t="n">
        <v>221.9857344899157</v>
      </c>
      <c r="X237" s="27" t="n">
        <v>0.0167483744157261</v>
      </c>
      <c r="Y237" s="26" t="n">
        <v>193.8570691548125</v>
      </c>
      <c r="Z237" s="27" t="n">
        <v>0.01571537270060849</v>
      </c>
      <c r="AA237" s="26" t="n">
        <v>212.0894792176645</v>
      </c>
      <c r="AB237" s="27" t="n">
        <v>0.0210544568444837</v>
      </c>
    </row>
    <row r="238">
      <c r="A238" s="26" t="n">
        <v>173.7925433396067</v>
      </c>
      <c r="B238" s="27" t="n">
        <v>0.02360982795910598</v>
      </c>
      <c r="C238" s="26" t="n">
        <v>183.21067355839</v>
      </c>
      <c r="D238" s="27" t="n">
        <v>0.02210877638247717</v>
      </c>
      <c r="E238" s="26" t="n">
        <v>219.0822548964049</v>
      </c>
      <c r="F238" s="27" t="n">
        <v>0.01709539551267627</v>
      </c>
      <c r="G238" s="26" t="n">
        <v>244.6097327817965</v>
      </c>
      <c r="H238" s="27" t="n">
        <v>0.01376199249692436</v>
      </c>
      <c r="I238" s="26" t="n">
        <v>250.5893724141866</v>
      </c>
      <c r="J238" s="27" t="n">
        <v>0.01351249269425887</v>
      </c>
      <c r="K238" s="26" t="n">
        <v>242.6684748029328</v>
      </c>
      <c r="L238" s="27" t="n">
        <v>0.01422290088530122</v>
      </c>
      <c r="M238" s="26" t="n">
        <v>225.2350989016249</v>
      </c>
      <c r="N238" s="27" t="n">
        <v>0.01674327768411392</v>
      </c>
      <c r="O238" s="26" t="n">
        <v>175.059907829517</v>
      </c>
      <c r="P238" s="27" t="n">
        <v>0.01958219839836084</v>
      </c>
      <c r="Q238" s="26" t="n">
        <v>209.4582317155762</v>
      </c>
      <c r="R238" s="27" t="n">
        <v>0.02130001502332304</v>
      </c>
      <c r="S238" s="26" t="n">
        <v>193.5745681993514</v>
      </c>
      <c r="T238" s="27" t="n">
        <v>0.02489799820596831</v>
      </c>
      <c r="U238" s="26" t="n">
        <v>216.6545826450158</v>
      </c>
      <c r="V238" s="27" t="n">
        <v>0.01929945530087782</v>
      </c>
      <c r="W238" s="26" t="n">
        <v>222.0639199819685</v>
      </c>
      <c r="X238" s="27" t="n">
        <v>0.01683803595616585</v>
      </c>
      <c r="Y238" s="26" t="n">
        <v>193.9625103214194</v>
      </c>
      <c r="Z238" s="27" t="n">
        <v>0.01578311114123601</v>
      </c>
      <c r="AA238" s="26" t="n">
        <v>212.1696668793711</v>
      </c>
      <c r="AB238" s="27" t="n">
        <v>0.02118086523371443</v>
      </c>
    </row>
    <row r="239">
      <c r="A239" s="26" t="n">
        <v>173.958305002812</v>
      </c>
      <c r="B239" s="27" t="n">
        <v>0.02373041447464694</v>
      </c>
      <c r="C239" s="26" t="n">
        <v>183.3507230722048</v>
      </c>
      <c r="D239" s="27" t="n">
        <v>0.02222483654509349</v>
      </c>
      <c r="E239" s="26" t="n">
        <v>219.1953125507616</v>
      </c>
      <c r="F239" s="27" t="n">
        <v>0.01718421575126659</v>
      </c>
      <c r="G239" s="26" t="n">
        <v>244.6964552124021</v>
      </c>
      <c r="H239" s="27" t="n">
        <v>0.01382959113698907</v>
      </c>
      <c r="I239" s="26" t="n">
        <v>250.6697568426865</v>
      </c>
      <c r="J239" s="27" t="n">
        <v>0.01357966300355445</v>
      </c>
      <c r="K239" s="26" t="n">
        <v>242.7447172972892</v>
      </c>
      <c r="L239" s="27" t="n">
        <v>0.01429485963142661</v>
      </c>
      <c r="M239" s="26" t="n">
        <v>225.3264046037108</v>
      </c>
      <c r="N239" s="27" t="n">
        <v>0.01683258678574616</v>
      </c>
      <c r="O239" s="26" t="n">
        <v>175.1843125236056</v>
      </c>
      <c r="P239" s="27" t="n">
        <v>0.01967292740189673</v>
      </c>
      <c r="Q239" s="26" t="n">
        <v>209.5523184912091</v>
      </c>
      <c r="R239" s="27" t="n">
        <v>0.0214258259026462</v>
      </c>
      <c r="S239" s="26" t="n">
        <v>193.6809918073828</v>
      </c>
      <c r="T239" s="27" t="n">
        <v>0.02504870938996109</v>
      </c>
      <c r="U239" s="26" t="n">
        <v>216.7396279394682</v>
      </c>
      <c r="V239" s="27" t="n">
        <v>0.01941020359951464</v>
      </c>
      <c r="W239" s="26" t="n">
        <v>222.1421054740213</v>
      </c>
      <c r="X239" s="27" t="n">
        <v>0.01692817496498144</v>
      </c>
      <c r="Y239" s="26" t="n">
        <v>194.0679514880264</v>
      </c>
      <c r="Z239" s="27" t="n">
        <v>0.01585114623863475</v>
      </c>
      <c r="AA239" s="26" t="n">
        <v>212.2498545410777</v>
      </c>
      <c r="AB239" s="27" t="n">
        <v>0.02130799878011994</v>
      </c>
    </row>
    <row r="240">
      <c r="A240" s="26" t="n">
        <v>174.1240666660173</v>
      </c>
      <c r="B240" s="27" t="n">
        <v>0.02385161799498971</v>
      </c>
      <c r="C240" s="26" t="n">
        <v>183.4907725860195</v>
      </c>
      <c r="D240" s="27" t="n">
        <v>0.02234150204379363</v>
      </c>
      <c r="E240" s="26" t="n">
        <v>219.3083702051183</v>
      </c>
      <c r="F240" s="27" t="n">
        <v>0.0172734971624372</v>
      </c>
      <c r="G240" s="26" t="n">
        <v>244.7831776430077</v>
      </c>
      <c r="H240" s="27" t="n">
        <v>0.01389752330969819</v>
      </c>
      <c r="I240" s="26" t="n">
        <v>250.7501412711865</v>
      </c>
      <c r="J240" s="27" t="n">
        <v>0.0136471682999867</v>
      </c>
      <c r="K240" s="26" t="n">
        <v>242.8209597916455</v>
      </c>
      <c r="L240" s="27" t="n">
        <v>0.01436718320341953</v>
      </c>
      <c r="M240" s="26" t="n">
        <v>225.4177103057966</v>
      </c>
      <c r="N240" s="27" t="n">
        <v>0.01692236971499965</v>
      </c>
      <c r="O240" s="26" t="n">
        <v>175.3087172176941</v>
      </c>
      <c r="P240" s="27" t="n">
        <v>0.01976408600761488</v>
      </c>
      <c r="Q240" s="26" t="n">
        <v>209.6464052668421</v>
      </c>
      <c r="R240" s="27" t="n">
        <v>0.02155234853442508</v>
      </c>
      <c r="S240" s="26" t="n">
        <v>193.7874154154142</v>
      </c>
      <c r="T240" s="27" t="n">
        <v>0.02520027519526279</v>
      </c>
      <c r="U240" s="26" t="n">
        <v>216.8246732339205</v>
      </c>
      <c r="V240" s="27" t="n">
        <v>0.0195215705731222</v>
      </c>
      <c r="W240" s="26" t="n">
        <v>222.2202909660742</v>
      </c>
      <c r="X240" s="27" t="n">
        <v>0.01701879393396056</v>
      </c>
      <c r="Y240" s="26" t="n">
        <v>194.1733926546333</v>
      </c>
      <c r="Z240" s="27" t="n">
        <v>0.01591947930675013</v>
      </c>
      <c r="AA240" s="26" t="n">
        <v>212.3300422027843</v>
      </c>
      <c r="AB240" s="27" t="n">
        <v>0.02143586125539506</v>
      </c>
    </row>
    <row r="241">
      <c r="A241" s="26" t="n">
        <v>174.2898283292226</v>
      </c>
      <c r="B241" s="27" t="n">
        <v>0.02397344151993478</v>
      </c>
      <c r="C241" s="26" t="n">
        <v>183.6308220998343</v>
      </c>
      <c r="D241" s="27" t="n">
        <v>0.02245877589127543</v>
      </c>
      <c r="E241" s="26" t="n">
        <v>219.421427859475</v>
      </c>
      <c r="F241" s="27" t="n">
        <v>0.01736324209681049</v>
      </c>
      <c r="G241" s="26" t="n">
        <v>244.8699000736133</v>
      </c>
      <c r="H241" s="27" t="n">
        <v>0.01396579066375642</v>
      </c>
      <c r="I241" s="26" t="n">
        <v>250.8305256996864</v>
      </c>
      <c r="J241" s="27" t="n">
        <v>0.01371501025503855</v>
      </c>
      <c r="K241" s="26" t="n">
        <v>242.8972022860019</v>
      </c>
      <c r="L241" s="27" t="n">
        <v>0.01443987344705083</v>
      </c>
      <c r="M241" s="26" t="n">
        <v>225.5090160078824</v>
      </c>
      <c r="N241" s="27" t="n">
        <v>0.01701262892977379</v>
      </c>
      <c r="O241" s="26" t="n">
        <v>175.4331219117827</v>
      </c>
      <c r="P241" s="27" t="n">
        <v>0.01985567626956531</v>
      </c>
      <c r="Q241" s="26" t="n">
        <v>209.740492042475</v>
      </c>
      <c r="R241" s="27" t="n">
        <v>0.02167958657655565</v>
      </c>
      <c r="S241" s="26" t="n">
        <v>193.8938390234455</v>
      </c>
      <c r="T241" s="27" t="n">
        <v>0.02535269982774775</v>
      </c>
      <c r="U241" s="26" t="n">
        <v>216.9097185283728</v>
      </c>
      <c r="V241" s="27" t="n">
        <v>0.01963355946414068</v>
      </c>
      <c r="W241" s="26" t="n">
        <v>222.298476458127</v>
      </c>
      <c r="X241" s="27" t="n">
        <v>0.01710989536714349</v>
      </c>
      <c r="Y241" s="26" t="n">
        <v>194.2788338212402</v>
      </c>
      <c r="Z241" s="27" t="n">
        <v>0.01598811166539867</v>
      </c>
      <c r="AA241" s="26" t="n">
        <v>212.4102298644908</v>
      </c>
      <c r="AB241" s="27" t="n">
        <v>0.02156445644642504</v>
      </c>
    </row>
    <row r="242">
      <c r="A242" s="26" t="n">
        <v>174.4555899924279</v>
      </c>
      <c r="B242" s="27" t="n">
        <v>0.02409588806160597</v>
      </c>
      <c r="C242" s="26" t="n">
        <v>183.7708716136491</v>
      </c>
      <c r="D242" s="27" t="n">
        <v>0.02257666111319835</v>
      </c>
      <c r="E242" s="26" t="n">
        <v>219.5344855138317</v>
      </c>
      <c r="F242" s="27" t="n">
        <v>0.01745345291625798</v>
      </c>
      <c r="G242" s="26" t="n">
        <v>244.9566225042188</v>
      </c>
      <c r="H242" s="27" t="n">
        <v>0.01403439485597907</v>
      </c>
      <c r="I242" s="26" t="n">
        <v>250.9109101281863</v>
      </c>
      <c r="J242" s="27" t="n">
        <v>0.01378319054847476</v>
      </c>
      <c r="K242" s="26" t="n">
        <v>242.9734447803582</v>
      </c>
      <c r="L242" s="27" t="n">
        <v>0.01451293221730124</v>
      </c>
      <c r="M242" s="26" t="n">
        <v>225.6003217099683</v>
      </c>
      <c r="N242" s="27" t="n">
        <v>0.0171033668998881</v>
      </c>
      <c r="O242" s="26" t="n">
        <v>175.5575266058712</v>
      </c>
      <c r="P242" s="27" t="n">
        <v>0.0199477002515646</v>
      </c>
      <c r="Q242" s="26" t="n">
        <v>209.834578818108</v>
      </c>
      <c r="R242" s="27" t="n">
        <v>0.02180754370149443</v>
      </c>
      <c r="S242" s="26" t="n">
        <v>194.0002626314769</v>
      </c>
      <c r="T242" s="27" t="n">
        <v>0.02550598750696492</v>
      </c>
      <c r="U242" s="26" t="n">
        <v>216.9947638228251</v>
      </c>
      <c r="V242" s="27" t="n">
        <v>0.01974617352940986</v>
      </c>
      <c r="W242" s="26" t="n">
        <v>222.3766619501798</v>
      </c>
      <c r="X242" s="27" t="n">
        <v>0.01720148178087251</v>
      </c>
      <c r="Y242" s="26" t="n">
        <v>194.3842749878471</v>
      </c>
      <c r="Z242" s="27" t="n">
        <v>0.0160570446402942</v>
      </c>
      <c r="AA242" s="26" t="n">
        <v>212.4904175261974</v>
      </c>
      <c r="AB242" s="27" t="n">
        <v>0.02169378815529322</v>
      </c>
    </row>
    <row r="243">
      <c r="A243" s="26" t="n">
        <v>174.6213516556332</v>
      </c>
      <c r="B243" s="27" t="n">
        <v>0.02421896064447216</v>
      </c>
      <c r="C243" s="26" t="n">
        <v>183.9109211274639</v>
      </c>
      <c r="D243" s="27" t="n">
        <v>0.02269516074821304</v>
      </c>
      <c r="E243" s="26" t="n">
        <v>219.6475431681885</v>
      </c>
      <c r="F243" s="27" t="n">
        <v>0.01754413199394381</v>
      </c>
      <c r="G243" s="26" t="n">
        <v>245.0433449348244</v>
      </c>
      <c r="H243" s="27" t="n">
        <v>0.0141033375513311</v>
      </c>
      <c r="I243" s="26" t="n">
        <v>250.9912945566863</v>
      </c>
      <c r="J243" s="27" t="n">
        <v>0.01385171086838208</v>
      </c>
      <c r="K243" s="26" t="n">
        <v>243.0496872747146</v>
      </c>
      <c r="L243" s="27" t="n">
        <v>0.01458636137840493</v>
      </c>
      <c r="M243" s="26" t="n">
        <v>225.6916274120541</v>
      </c>
      <c r="N243" s="27" t="n">
        <v>0.0171945861071289</v>
      </c>
      <c r="O243" s="26" t="n">
        <v>175.6819312999598</v>
      </c>
      <c r="P243" s="27" t="n">
        <v>0.02004016002723974</v>
      </c>
      <c r="Q243" s="26" t="n">
        <v>209.9286655937409</v>
      </c>
      <c r="R243" s="27" t="n">
        <v>0.02193622359626571</v>
      </c>
      <c r="S243" s="26" t="n">
        <v>194.1066862395082</v>
      </c>
      <c r="T243" s="27" t="n">
        <v>0.02566014246609982</v>
      </c>
      <c r="U243" s="26" t="n">
        <v>217.0798091172774</v>
      </c>
      <c r="V243" s="27" t="n">
        <v>0.0198594160402013</v>
      </c>
      <c r="W243" s="26" t="n">
        <v>222.4548474422326</v>
      </c>
      <c r="X243" s="27" t="n">
        <v>0.01729355570384156</v>
      </c>
      <c r="Y243" s="26" t="n">
        <v>194.489716154454</v>
      </c>
      <c r="Z243" s="27" t="n">
        <v>0.01612627956307465</v>
      </c>
      <c r="AA243" s="26" t="n">
        <v>212.5706051879041</v>
      </c>
      <c r="AB243" s="27" t="n">
        <v>0.02182386019928928</v>
      </c>
    </row>
    <row r="244">
      <c r="A244" s="26" t="n">
        <v>174.7871133188385</v>
      </c>
      <c r="B244" s="27" t="n">
        <v>0.02434266230536836</v>
      </c>
      <c r="C244" s="26" t="n">
        <v>184.0509706412786</v>
      </c>
      <c r="D244" s="27" t="n">
        <v>0.02281427784799058</v>
      </c>
      <c r="E244" s="26" t="n">
        <v>219.7606008225453</v>
      </c>
      <c r="F244" s="27" t="n">
        <v>0.01763528171436823</v>
      </c>
      <c r="G244" s="26" t="n">
        <v>245.13006736543</v>
      </c>
      <c r="H244" s="27" t="n">
        <v>0.0141726204229658</v>
      </c>
      <c r="I244" s="26" t="n">
        <v>251.0716789851862</v>
      </c>
      <c r="J244" s="27" t="n">
        <v>0.01392057291120882</v>
      </c>
      <c r="K244" s="26" t="n">
        <v>243.125929769071</v>
      </c>
      <c r="L244" s="27" t="n">
        <v>0.01466016280389363</v>
      </c>
      <c r="M244" s="26" t="n">
        <v>225.7829331141399</v>
      </c>
      <c r="N244" s="27" t="n">
        <v>0.01728628904529548</v>
      </c>
      <c r="O244" s="26" t="n">
        <v>175.8063359940483</v>
      </c>
      <c r="P244" s="27" t="n">
        <v>0.02013305768007285</v>
      </c>
      <c r="Q244" s="26" t="n">
        <v>210.0227523693738</v>
      </c>
      <c r="R244" s="27" t="n">
        <v>0.02206562996246794</v>
      </c>
      <c r="S244" s="26" t="n">
        <v>194.2131098475396</v>
      </c>
      <c r="T244" s="27" t="n">
        <v>0.02581516895193588</v>
      </c>
      <c r="U244" s="26" t="n">
        <v>217.1648544117297</v>
      </c>
      <c r="V244" s="27" t="n">
        <v>0.01997329028224984</v>
      </c>
      <c r="W244" s="26" t="n">
        <v>222.5330329342854</v>
      </c>
      <c r="X244" s="27" t="n">
        <v>0.01738611967714663</v>
      </c>
      <c r="Y244" s="26" t="n">
        <v>194.5951573210609</v>
      </c>
      <c r="Z244" s="27" t="n">
        <v>0.01619581777132847</v>
      </c>
      <c r="AA244" s="26" t="n">
        <v>212.6507928496106</v>
      </c>
      <c r="AB244" s="27" t="n">
        <v>0.02195467641091539</v>
      </c>
    </row>
    <row r="245">
      <c r="A245" s="26" t="n">
        <v>174.9528749820439</v>
      </c>
      <c r="B245" s="27" t="n">
        <v>0.0244669960935164</v>
      </c>
      <c r="C245" s="26" t="n">
        <v>184.1910201550934</v>
      </c>
      <c r="D245" s="27" t="n">
        <v>0.02293401547725133</v>
      </c>
      <c r="E245" s="26" t="n">
        <v>219.8736584769019</v>
      </c>
      <c r="F245" s="27" t="n">
        <v>0.01772690447341109</v>
      </c>
      <c r="G245" s="26" t="n">
        <v>245.2167897960356</v>
      </c>
      <c r="H245" s="27" t="n">
        <v>0.0142422451522642</v>
      </c>
      <c r="I245" s="26" t="n">
        <v>251.1520634136862</v>
      </c>
      <c r="J245" s="27" t="n">
        <v>0.01398977838180522</v>
      </c>
      <c r="K245" s="26" t="n">
        <v>243.2021722634273</v>
      </c>
      <c r="L245" s="27" t="n">
        <v>0.01473433837664044</v>
      </c>
      <c r="M245" s="26" t="n">
        <v>225.8742388162258</v>
      </c>
      <c r="N245" s="27" t="n">
        <v>0.01737847822024682</v>
      </c>
      <c r="O245" s="26" t="n">
        <v>175.9307406881368</v>
      </c>
      <c r="P245" s="27" t="n">
        <v>0.02022639530344579</v>
      </c>
      <c r="Q245" s="26" t="n">
        <v>210.1168391450068</v>
      </c>
      <c r="R245" s="27" t="n">
        <v>0.02219576651627971</v>
      </c>
      <c r="S245" s="26" t="n">
        <v>194.319533455571</v>
      </c>
      <c r="T245" s="27" t="n">
        <v>0.02597107122481362</v>
      </c>
      <c r="U245" s="26" t="n">
        <v>217.249899706182</v>
      </c>
      <c r="V245" s="27" t="n">
        <v>0.02008779955578432</v>
      </c>
      <c r="W245" s="26" t="n">
        <v>222.6112184263382</v>
      </c>
      <c r="X245" s="27" t="n">
        <v>0.01747917625433526</v>
      </c>
      <c r="Y245" s="26" t="n">
        <v>194.7005984876678</v>
      </c>
      <c r="Z245" s="27" t="n">
        <v>0.01626566060862154</v>
      </c>
      <c r="AA245" s="26" t="n">
        <v>212.7309805113172</v>
      </c>
      <c r="AB245" s="27" t="n">
        <v>0.02208624063789301</v>
      </c>
    </row>
    <row r="246">
      <c r="A246" s="26" t="n">
        <v>175.1186366452491</v>
      </c>
      <c r="B246" s="27" t="n">
        <v>0.02459196507054535</v>
      </c>
      <c r="C246" s="26" t="n">
        <v>184.3310696689082</v>
      </c>
      <c r="D246" s="27" t="n">
        <v>0.02305437671379389</v>
      </c>
      <c r="E246" s="26" t="n">
        <v>219.9867161312586</v>
      </c>
      <c r="F246" s="27" t="n">
        <v>0.01781900267837516</v>
      </c>
      <c r="G246" s="26" t="n">
        <v>245.3035122266411</v>
      </c>
      <c r="H246" s="27" t="n">
        <v>0.01431221342887461</v>
      </c>
      <c r="I246" s="26" t="n">
        <v>251.2324478421861</v>
      </c>
      <c r="J246" s="27" t="n">
        <v>0.01405932899346358</v>
      </c>
      <c r="K246" s="26" t="n">
        <v>243.2784147577837</v>
      </c>
      <c r="L246" s="27" t="n">
        <v>0.01480888998890392</v>
      </c>
      <c r="M246" s="26" t="n">
        <v>225.9655445183116</v>
      </c>
      <c r="N246" s="27" t="n">
        <v>0.01747115614994743</v>
      </c>
      <c r="O246" s="26" t="n">
        <v>176.0551453822254</v>
      </c>
      <c r="P246" s="27" t="n">
        <v>0.02032017500068464</v>
      </c>
      <c r="Q246" s="26" t="n">
        <v>210.2109259206398</v>
      </c>
      <c r="R246" s="27" t="n">
        <v>0.02232663698846453</v>
      </c>
      <c r="S246" s="26" t="n">
        <v>194.4259570636024</v>
      </c>
      <c r="T246" s="27" t="n">
        <v>0.02612785355858938</v>
      </c>
      <c r="U246" s="26" t="n">
        <v>217.3349450006343</v>
      </c>
      <c r="V246" s="27" t="n">
        <v>0.02020294717555882</v>
      </c>
      <c r="W246" s="26" t="n">
        <v>222.689403918391</v>
      </c>
      <c r="X246" s="27" t="n">
        <v>0.01757272800145678</v>
      </c>
      <c r="Y246" s="26" t="n">
        <v>194.8060396542747</v>
      </c>
      <c r="Z246" s="27" t="n">
        <v>0.01633580942452404</v>
      </c>
      <c r="AA246" s="26" t="n">
        <v>212.8111681730238</v>
      </c>
      <c r="AB246" s="27" t="n">
        <v>0.0222185567431678</v>
      </c>
    </row>
    <row r="247">
      <c r="A247" s="26" t="n">
        <v>175.2843983084545</v>
      </c>
      <c r="B247" s="27" t="n">
        <v>0.02471757231051152</v>
      </c>
      <c r="C247" s="26" t="n">
        <v>184.471119182723</v>
      </c>
      <c r="D247" s="27" t="n">
        <v>0.02317536464852292</v>
      </c>
      <c r="E247" s="26" t="n">
        <v>220.0997737856154</v>
      </c>
      <c r="F247" s="27" t="n">
        <v>0.01791157874802988</v>
      </c>
      <c r="G247" s="26" t="n">
        <v>245.3902346572467</v>
      </c>
      <c r="H247" s="27" t="n">
        <v>0.01438252695075168</v>
      </c>
      <c r="I247" s="26" t="n">
        <v>251.312832270686</v>
      </c>
      <c r="J247" s="27" t="n">
        <v>0.0141292264679587</v>
      </c>
      <c r="K247" s="26" t="n">
        <v>243.35465725214</v>
      </c>
      <c r="L247" s="27" t="n">
        <v>0.01488381954237257</v>
      </c>
      <c r="M247" s="26" t="n">
        <v>226.0568502203975</v>
      </c>
      <c r="N247" s="27" t="n">
        <v>0.01756432536451438</v>
      </c>
      <c r="O247" s="26" t="n">
        <v>176.1795500763139</v>
      </c>
      <c r="P247" s="27" t="n">
        <v>0.02041439888510508</v>
      </c>
      <c r="Q247" s="26" t="n">
        <v>210.3050126962727</v>
      </c>
      <c r="R247" s="27" t="n">
        <v>0.02245824512437541</v>
      </c>
      <c r="S247" s="26" t="n">
        <v>194.5323806716337</v>
      </c>
      <c r="T247" s="27" t="n">
        <v>0.02628552024059226</v>
      </c>
      <c r="U247" s="26" t="n">
        <v>217.4199902950866</v>
      </c>
      <c r="V247" s="27" t="n">
        <v>0.0203187364708826</v>
      </c>
      <c r="W247" s="26" t="n">
        <v>222.7675894104438</v>
      </c>
      <c r="X247" s="27" t="n">
        <v>0.01766677749711212</v>
      </c>
      <c r="Y247" s="26" t="n">
        <v>194.9114808208816</v>
      </c>
      <c r="Z247" s="27" t="n">
        <v>0.01640626557463753</v>
      </c>
      <c r="AA247" s="26" t="n">
        <v>212.8913558347305</v>
      </c>
      <c r="AB247" s="27" t="n">
        <v>0.02235162860491387</v>
      </c>
    </row>
    <row r="248">
      <c r="A248" s="26" t="n">
        <v>175.4501599716598</v>
      </c>
      <c r="B248" s="27" t="n">
        <v>0.02484382089991783</v>
      </c>
      <c r="C248" s="26" t="n">
        <v>184.6111686965378</v>
      </c>
      <c r="D248" s="27" t="n">
        <v>0.02329698238547769</v>
      </c>
      <c r="E248" s="26" t="n">
        <v>220.2128314399721</v>
      </c>
      <c r="F248" s="27" t="n">
        <v>0.01800463511265454</v>
      </c>
      <c r="G248" s="26" t="n">
        <v>245.4769570878523</v>
      </c>
      <c r="H248" s="27" t="n">
        <v>0.01445318742419657</v>
      </c>
      <c r="I248" s="26" t="n">
        <v>251.393216699186</v>
      </c>
      <c r="J248" s="27" t="n">
        <v>0.01419947253558871</v>
      </c>
      <c r="K248" s="26" t="n">
        <v>243.4308997464963</v>
      </c>
      <c r="L248" s="27" t="n">
        <v>0.01495912894820932</v>
      </c>
      <c r="M248" s="26" t="n">
        <v>226.1481559224833</v>
      </c>
      <c r="N248" s="27" t="n">
        <v>0.01765798840626324</v>
      </c>
      <c r="O248" s="26" t="n">
        <v>176.3039547704025</v>
      </c>
      <c r="P248" s="27" t="n">
        <v>0.02050906908005705</v>
      </c>
      <c r="Q248" s="26" t="n">
        <v>210.3990994719057</v>
      </c>
      <c r="R248" s="27" t="n">
        <v>0.02259059468395798</v>
      </c>
      <c r="S248" s="26" t="n">
        <v>194.6388042796651</v>
      </c>
      <c r="T248" s="27" t="n">
        <v>0.02644407557157987</v>
      </c>
      <c r="U248" s="26" t="n">
        <v>217.5050355895389</v>
      </c>
      <c r="V248" s="27" t="n">
        <v>0.02043517078565031</v>
      </c>
      <c r="W248" s="26" t="n">
        <v>222.8457749024966</v>
      </c>
      <c r="X248" s="27" t="n">
        <v>0.01776132733250401</v>
      </c>
      <c r="Y248" s="26" t="n">
        <v>195.0169219874886</v>
      </c>
      <c r="Z248" s="27" t="n">
        <v>0.01647703042062184</v>
      </c>
      <c r="AA248" s="26" t="n">
        <v>212.971543496437</v>
      </c>
      <c r="AB248" s="27" t="n">
        <v>0.02248546011653793</v>
      </c>
    </row>
    <row r="249">
      <c r="A249" s="26" t="n">
        <v>175.6159216348651</v>
      </c>
      <c r="B249" s="27" t="n">
        <v>0.02497071393773321</v>
      </c>
      <c r="C249" s="26" t="n">
        <v>184.7512182103526</v>
      </c>
      <c r="D249" s="27" t="n">
        <v>0.02341923304185919</v>
      </c>
      <c r="E249" s="26" t="n">
        <v>220.3258890943288</v>
      </c>
      <c r="F249" s="27" t="n">
        <v>0.01809817421408212</v>
      </c>
      <c r="G249" s="26" t="n">
        <v>245.5636795184578</v>
      </c>
      <c r="H249" s="27" t="n">
        <v>0.01452419656389656</v>
      </c>
      <c r="I249" s="26" t="n">
        <v>251.4736011276859</v>
      </c>
      <c r="J249" s="27" t="n">
        <v>0.0142700689352155</v>
      </c>
      <c r="K249" s="26" t="n">
        <v>243.5071422408527</v>
      </c>
      <c r="L249" s="27" t="n">
        <v>0.01503482012709602</v>
      </c>
      <c r="M249" s="26" t="n">
        <v>226.2394616245691</v>
      </c>
      <c r="N249" s="27" t="n">
        <v>0.01775214782975479</v>
      </c>
      <c r="O249" s="26" t="n">
        <v>176.4283594644911</v>
      </c>
      <c r="P249" s="27" t="n">
        <v>0.02060418771897016</v>
      </c>
      <c r="Q249" s="26" t="n">
        <v>210.4931862475386</v>
      </c>
      <c r="R249" s="27" t="n">
        <v>0.02272368944175324</v>
      </c>
      <c r="S249" s="26" t="n">
        <v>194.7452278876965</v>
      </c>
      <c r="T249" s="27" t="n">
        <v>0.02660352386569262</v>
      </c>
      <c r="U249" s="26" t="n">
        <v>217.5900808839912</v>
      </c>
      <c r="V249" s="27" t="n">
        <v>0.0205522534783711</v>
      </c>
      <c r="W249" s="26" t="n">
        <v>222.9239603945494</v>
      </c>
      <c r="X249" s="27" t="n">
        <v>0.01785638011148693</v>
      </c>
      <c r="Y249" s="26" t="n">
        <v>195.1223631540955</v>
      </c>
      <c r="Z249" s="27" t="n">
        <v>0.01654810533022279</v>
      </c>
      <c r="AA249" s="26" t="n">
        <v>213.0517311581436</v>
      </c>
      <c r="AB249" s="27" t="n">
        <v>0.0226200551866817</v>
      </c>
    </row>
    <row r="250">
      <c r="A250" s="26" t="n">
        <v>175.7816832980704</v>
      </c>
      <c r="B250" s="27" t="n">
        <v>0.02509825453541115</v>
      </c>
      <c r="C250" s="26" t="n">
        <v>184.8912677241673</v>
      </c>
      <c r="D250" s="27" t="n">
        <v>0.02354211974805768</v>
      </c>
      <c r="E250" s="26" t="n">
        <v>220.4389467486856</v>
      </c>
      <c r="F250" s="27" t="n">
        <v>0.01819219850574249</v>
      </c>
      <c r="G250" s="26" t="n">
        <v>245.6504019490634</v>
      </c>
      <c r="H250" s="27" t="n">
        <v>0.01459555609296514</v>
      </c>
      <c r="I250" s="26" t="n">
        <v>251.5539855561859</v>
      </c>
      <c r="J250" s="27" t="n">
        <v>0.01434101741430596</v>
      </c>
      <c r="K250" s="26" t="n">
        <v>243.5833847352091</v>
      </c>
      <c r="L250" s="27" t="n">
        <v>0.01511089500927851</v>
      </c>
      <c r="M250" s="26" t="n">
        <v>226.330767326655</v>
      </c>
      <c r="N250" s="27" t="n">
        <v>0.01784680620184125</v>
      </c>
      <c r="O250" s="26" t="n">
        <v>176.5527641585796</v>
      </c>
      <c r="P250" s="27" t="n">
        <v>0.02069975694539912</v>
      </c>
      <c r="Q250" s="26" t="n">
        <v>210.5872730231715</v>
      </c>
      <c r="R250" s="27" t="n">
        <v>0.02285753318689946</v>
      </c>
      <c r="S250" s="26" t="n">
        <v>194.8516514957279</v>
      </c>
      <c r="T250" s="27" t="n">
        <v>0.02676386945040679</v>
      </c>
      <c r="U250" s="26" t="n">
        <v>217.6751261784435</v>
      </c>
      <c r="V250" s="27" t="n">
        <v>0.02066998792219815</v>
      </c>
      <c r="W250" s="26" t="n">
        <v>223.0021458866022</v>
      </c>
      <c r="X250" s="27" t="n">
        <v>0.01795193845061741</v>
      </c>
      <c r="Y250" s="26" t="n">
        <v>195.2278043207024</v>
      </c>
      <c r="Z250" s="27" t="n">
        <v>0.01661949167729918</v>
      </c>
      <c r="AA250" s="26" t="n">
        <v>213.1319188198502</v>
      </c>
      <c r="AB250" s="27" t="n">
        <v>0.02275541773922399</v>
      </c>
    </row>
    <row r="251">
      <c r="A251" s="26" t="n">
        <v>175.9474449612757</v>
      </c>
      <c r="B251" s="27" t="n">
        <v>0.02522644581690807</v>
      </c>
      <c r="C251" s="26" t="n">
        <v>185.0313172379821</v>
      </c>
      <c r="D251" s="27" t="n">
        <v>0.0236656456476796</v>
      </c>
      <c r="E251" s="26" t="n">
        <v>220.5520044030423</v>
      </c>
      <c r="F251" s="27" t="n">
        <v>0.01828671045270611</v>
      </c>
      <c r="G251" s="26" t="n">
        <v>245.737124379669</v>
      </c>
      <c r="H251" s="27" t="n">
        <v>0.01466726774298228</v>
      </c>
      <c r="I251" s="26" t="n">
        <v>251.6343699846858</v>
      </c>
      <c r="J251" s="27" t="n">
        <v>0.01441231972897298</v>
      </c>
      <c r="K251" s="26" t="n">
        <v>243.6596272295654</v>
      </c>
      <c r="L251" s="27" t="n">
        <v>0.01518735553461141</v>
      </c>
      <c r="M251" s="26" t="n">
        <v>226.4220730287408</v>
      </c>
      <c r="N251" s="27" t="n">
        <v>0.01794196610171278</v>
      </c>
      <c r="O251" s="26" t="n">
        <v>176.6771688526681</v>
      </c>
      <c r="P251" s="27" t="n">
        <v>0.02079577891306921</v>
      </c>
      <c r="Q251" s="26" t="n">
        <v>210.6813597988045</v>
      </c>
      <c r="R251" s="27" t="n">
        <v>0.02299212972313327</v>
      </c>
      <c r="S251" s="26" t="n">
        <v>194.9580751037593</v>
      </c>
      <c r="T251" s="27" t="n">
        <v>0.0269251166664865</v>
      </c>
      <c r="U251" s="26" t="n">
        <v>217.7601714728958</v>
      </c>
      <c r="V251" s="27" t="n">
        <v>0.02078837750495689</v>
      </c>
      <c r="W251" s="26" t="n">
        <v>223.080331378655</v>
      </c>
      <c r="X251" s="27" t="n">
        <v>0.018048004979204</v>
      </c>
      <c r="Y251" s="26" t="n">
        <v>195.3332454873093</v>
      </c>
      <c r="Z251" s="27" t="n">
        <v>0.01669119084185042</v>
      </c>
      <c r="AA251" s="26" t="n">
        <v>213.2121064815568</v>
      </c>
      <c r="AB251" s="27" t="n">
        <v>0.02289155171328178</v>
      </c>
    </row>
    <row r="252">
      <c r="A252" s="26" t="n">
        <v>176.113206624481</v>
      </c>
      <c r="B252" s="27" t="n">
        <v>0.02535529091870114</v>
      </c>
      <c r="C252" s="26" t="n">
        <v>185.1713667517969</v>
      </c>
      <c r="D252" s="27" t="n">
        <v>0.02378981389757427</v>
      </c>
      <c r="E252" s="26" t="n">
        <v>220.665062057399</v>
      </c>
      <c r="F252" s="27" t="n">
        <v>0.01838171253172743</v>
      </c>
      <c r="G252" s="26" t="n">
        <v>245.8238468102746</v>
      </c>
      <c r="H252" s="27" t="n">
        <v>0.01473933325403482</v>
      </c>
      <c r="I252" s="26" t="n">
        <v>251.7147544131857</v>
      </c>
      <c r="J252" s="27" t="n">
        <v>0.0144839776440168</v>
      </c>
      <c r="K252" s="26" t="n">
        <v>243.7358697239218</v>
      </c>
      <c r="L252" s="27" t="n">
        <v>0.01526420365260355</v>
      </c>
      <c r="M252" s="26" t="n">
        <v>226.5133787308266</v>
      </c>
      <c r="N252" s="27" t="n">
        <v>0.01803763012094385</v>
      </c>
      <c r="O252" s="26" t="n">
        <v>176.8015735467567</v>
      </c>
      <c r="P252" s="27" t="n">
        <v>0.02089225578592225</v>
      </c>
      <c r="Q252" s="26" t="n">
        <v>210.7754465744375</v>
      </c>
      <c r="R252" s="27" t="n">
        <v>0.02312748286878962</v>
      </c>
      <c r="S252" s="26" t="n">
        <v>195.0644987117906</v>
      </c>
      <c r="T252" s="27" t="n">
        <v>0.02708726986793364</v>
      </c>
      <c r="U252" s="26" t="n">
        <v>217.8452167673481</v>
      </c>
      <c r="V252" s="27" t="n">
        <v>0.02090742562917347</v>
      </c>
      <c r="W252" s="26" t="n">
        <v>223.1585168707078</v>
      </c>
      <c r="X252" s="27" t="n">
        <v>0.01814458233935766</v>
      </c>
      <c r="Y252" s="26" t="n">
        <v>195.4386866539162</v>
      </c>
      <c r="Z252" s="27" t="n">
        <v>0.01676320421004443</v>
      </c>
      <c r="AA252" s="26" t="n">
        <v>213.2922941432634</v>
      </c>
      <c r="AB252" s="27" t="n">
        <v>0.02302846106321035</v>
      </c>
    </row>
    <row r="253">
      <c r="A253" s="26" t="n">
        <v>176.2789682876863</v>
      </c>
      <c r="B253" s="27" t="n">
        <v>0.02548479298980561</v>
      </c>
      <c r="C253" s="26" t="n">
        <v>185.3114162656117</v>
      </c>
      <c r="D253" s="27" t="n">
        <v>0.02391462766785989</v>
      </c>
      <c r="E253" s="26" t="n">
        <v>220.7781197117557</v>
      </c>
      <c r="F253" s="27" t="n">
        <v>0.01847720723128838</v>
      </c>
      <c r="G253" s="26" t="n">
        <v>245.9105692408801</v>
      </c>
      <c r="H253" s="27" t="n">
        <v>0.0148117543747569</v>
      </c>
      <c r="I253" s="26" t="n">
        <v>251.7951388416857</v>
      </c>
      <c r="J253" s="27" t="n">
        <v>0.01455599293296631</v>
      </c>
      <c r="K253" s="26" t="n">
        <v>243.8121122182781</v>
      </c>
      <c r="L253" s="27" t="n">
        <v>0.01534144132246307</v>
      </c>
      <c r="M253" s="26" t="n">
        <v>226.6046844329124</v>
      </c>
      <c r="N253" s="27" t="n">
        <v>0.01813380086353977</v>
      </c>
      <c r="O253" s="26" t="n">
        <v>176.9259782408452</v>
      </c>
      <c r="P253" s="27" t="n">
        <v>0.02098918973816215</v>
      </c>
      <c r="Q253" s="26" t="n">
        <v>210.8695333500704</v>
      </c>
      <c r="R253" s="27" t="n">
        <v>0.02326359645680137</v>
      </c>
      <c r="S253" s="26" t="n">
        <v>195.170922319822</v>
      </c>
      <c r="T253" s="27" t="n">
        <v>0.02725033342193697</v>
      </c>
      <c r="U253" s="26" t="n">
        <v>217.9302620618004</v>
      </c>
      <c r="V253" s="27" t="n">
        <v>0.02102713571210235</v>
      </c>
      <c r="W253" s="26" t="n">
        <v>223.2367023627606</v>
      </c>
      <c r="X253" s="27" t="n">
        <v>0.01824167318604179</v>
      </c>
      <c r="Y253" s="26" t="n">
        <v>195.5441278205231</v>
      </c>
      <c r="Z253" s="27" t="n">
        <v>0.01683553317424479</v>
      </c>
      <c r="AA253" s="26" t="n">
        <v>213.37248180497</v>
      </c>
      <c r="AB253" s="27" t="n">
        <v>0.02316614975860299</v>
      </c>
    </row>
    <row r="254">
      <c r="A254" s="26" t="n">
        <v>176.4447299508916</v>
      </c>
      <c r="B254" s="27" t="n">
        <v>0.02561495519179189</v>
      </c>
      <c r="C254" s="26" t="n">
        <v>185.4514657794264</v>
      </c>
      <c r="D254" s="27" t="n">
        <v>0.02404009014194947</v>
      </c>
      <c r="E254" s="26" t="n">
        <v>220.8911773661125</v>
      </c>
      <c r="F254" s="27" t="n">
        <v>0.01857319705164204</v>
      </c>
      <c r="G254" s="26" t="n">
        <v>245.9972916714857</v>
      </c>
      <c r="H254" s="27" t="n">
        <v>0.01488453286237076</v>
      </c>
      <c r="I254" s="26" t="n">
        <v>251.8755232701856</v>
      </c>
      <c r="J254" s="27" t="n">
        <v>0.01462836737812108</v>
      </c>
      <c r="K254" s="26" t="n">
        <v>243.8883547126345</v>
      </c>
      <c r="L254" s="27" t="n">
        <v>0.01541907051314295</v>
      </c>
      <c r="M254" s="26" t="n">
        <v>226.6959901349983</v>
      </c>
      <c r="N254" s="27" t="n">
        <v>0.01823048094598276</v>
      </c>
      <c r="O254" s="26" t="n">
        <v>177.0503829349338</v>
      </c>
      <c r="P254" s="27" t="n">
        <v>0.02108658295430106</v>
      </c>
      <c r="Q254" s="26" t="n">
        <v>210.9636201257034</v>
      </c>
      <c r="R254" s="27" t="n">
        <v>0.02340047433469787</v>
      </c>
      <c r="S254" s="26" t="n">
        <v>195.2773459278534</v>
      </c>
      <c r="T254" s="27" t="n">
        <v>0.02741431170881965</v>
      </c>
      <c r="U254" s="26" t="n">
        <v>218.0153073562527</v>
      </c>
      <c r="V254" s="27" t="n">
        <v>0.02114751118575361</v>
      </c>
      <c r="W254" s="26" t="n">
        <v>223.3148878548134</v>
      </c>
      <c r="X254" s="27" t="n">
        <v>0.01833928018712253</v>
      </c>
      <c r="Y254" s="26" t="n">
        <v>195.64956898713</v>
      </c>
      <c r="Z254" s="27" t="n">
        <v>0.01690817913303931</v>
      </c>
      <c r="AA254" s="26" t="n">
        <v>213.4526694666766</v>
      </c>
      <c r="AB254" s="27" t="n">
        <v>0.02330462178428881</v>
      </c>
    </row>
    <row r="255">
      <c r="A255" s="26" t="n">
        <v>176.6104916140969</v>
      </c>
      <c r="B255" s="27" t="n">
        <v>0.02574578069880203</v>
      </c>
      <c r="C255" s="26" t="n">
        <v>185.5915152932412</v>
      </c>
      <c r="D255" s="27" t="n">
        <v>0.02416620451657655</v>
      </c>
      <c r="E255" s="26" t="n">
        <v>221.0042350204692</v>
      </c>
      <c r="F255" s="27" t="n">
        <v>0.01866968450485569</v>
      </c>
      <c r="G255" s="26" t="n">
        <v>246.0840141020913</v>
      </c>
      <c r="H255" s="27" t="n">
        <v>0.01495767048272771</v>
      </c>
      <c r="I255" s="26" t="n">
        <v>251.9559076986856</v>
      </c>
      <c r="J255" s="27" t="n">
        <v>0.01470110277059269</v>
      </c>
      <c r="K255" s="26" t="n">
        <v>243.9645972069908</v>
      </c>
      <c r="L255" s="27" t="n">
        <v>0.01549709320338699</v>
      </c>
      <c r="M255" s="26" t="n">
        <v>226.7872958370841</v>
      </c>
      <c r="N255" s="27" t="n">
        <v>0.01832767299727856</v>
      </c>
      <c r="O255" s="26" t="n">
        <v>177.1747876290223</v>
      </c>
      <c r="P255" s="27" t="n">
        <v>0.02118443762920582</v>
      </c>
      <c r="Q255" s="26" t="n">
        <v>211.0577069013363</v>
      </c>
      <c r="R255" s="27" t="n">
        <v>0.02353812036460225</v>
      </c>
      <c r="S255" s="26" t="n">
        <v>195.3837695358848</v>
      </c>
      <c r="T255" s="27" t="n">
        <v>0.02757920912198523</v>
      </c>
      <c r="U255" s="26" t="n">
        <v>218.100352650705</v>
      </c>
      <c r="V255" s="27" t="n">
        <v>0.02126855549691964</v>
      </c>
      <c r="W255" s="26" t="n">
        <v>223.3930733468662</v>
      </c>
      <c r="X255" s="27" t="n">
        <v>0.01843740602341908</v>
      </c>
      <c r="Y255" s="26" t="n">
        <v>195.7550101537369</v>
      </c>
      <c r="Z255" s="27" t="n">
        <v>0.01698114349126769</v>
      </c>
      <c r="AA255" s="26" t="n">
        <v>213.5328571283832</v>
      </c>
      <c r="AB255" s="27" t="n">
        <v>0.02344388114033076</v>
      </c>
    </row>
    <row r="256">
      <c r="A256" s="26" t="n">
        <v>176.7762532773023</v>
      </c>
      <c r="B256" s="27" t="n">
        <v>0.02587727269756544</v>
      </c>
      <c r="C256" s="26" t="n">
        <v>185.731564807056</v>
      </c>
      <c r="D256" s="27" t="n">
        <v>0.02429297400181978</v>
      </c>
      <c r="E256" s="26" t="n">
        <v>221.1172926748259</v>
      </c>
      <c r="F256" s="27" t="n">
        <v>0.01876667211485481</v>
      </c>
      <c r="G256" s="26" t="n">
        <v>246.1707365326968</v>
      </c>
      <c r="H256" s="27" t="n">
        <v>0.01503116901034903</v>
      </c>
      <c r="I256" s="26" t="n">
        <v>252.0362921271855</v>
      </c>
      <c r="J256" s="27" t="n">
        <v>0.01477420091034701</v>
      </c>
      <c r="K256" s="26" t="n">
        <v>244.0408397013471</v>
      </c>
      <c r="L256" s="27" t="n">
        <v>0.01557551138177524</v>
      </c>
      <c r="M256" s="26" t="n">
        <v>226.8786015391699</v>
      </c>
      <c r="N256" s="27" t="n">
        <v>0.01842537965900286</v>
      </c>
      <c r="O256" s="26" t="n">
        <v>177.2991923231108</v>
      </c>
      <c r="P256" s="27" t="n">
        <v>0.02128275596814407</v>
      </c>
      <c r="Q256" s="26" t="n">
        <v>211.1517936769692</v>
      </c>
      <c r="R256" s="27" t="n">
        <v>0.02367653842322863</v>
      </c>
      <c r="S256" s="26" t="n">
        <v>195.4901931439161</v>
      </c>
      <c r="T256" s="27" t="n">
        <v>0.02774503006786234</v>
      </c>
      <c r="U256" s="26" t="n">
        <v>218.1853979451573</v>
      </c>
      <c r="V256" s="27" t="n">
        <v>0.02139027210720171</v>
      </c>
      <c r="W256" s="26" t="n">
        <v>223.471258838919</v>
      </c>
      <c r="X256" s="27" t="n">
        <v>0.01853605338875374</v>
      </c>
      <c r="Y256" s="26" t="n">
        <v>195.8604513203438</v>
      </c>
      <c r="Z256" s="27" t="n">
        <v>0.01705442766004973</v>
      </c>
      <c r="AA256" s="26" t="n">
        <v>213.6130447900898</v>
      </c>
      <c r="AB256" s="27" t="n">
        <v>0.02358393184202224</v>
      </c>
    </row>
    <row r="257">
      <c r="A257" s="26" t="n">
        <v>176.9420149405075</v>
      </c>
      <c r="B257" s="27" t="n">
        <v>0.026009434387415</v>
      </c>
      <c r="C257" s="26" t="n">
        <v>185.8716143208707</v>
      </c>
      <c r="D257" s="27" t="n">
        <v>0.02442040182112812</v>
      </c>
      <c r="E257" s="26" t="n">
        <v>221.2303503291826</v>
      </c>
      <c r="F257" s="27" t="n">
        <v>0.01886416241746607</v>
      </c>
      <c r="G257" s="26" t="n">
        <v>246.2574589633024</v>
      </c>
      <c r="H257" s="27" t="n">
        <v>0.01510503022846742</v>
      </c>
      <c r="I257" s="26" t="n">
        <v>252.1166765556854</v>
      </c>
      <c r="J257" s="27" t="n">
        <v>0.01484766360624632</v>
      </c>
      <c r="K257" s="26" t="n">
        <v>244.1170821957035</v>
      </c>
      <c r="L257" s="27" t="n">
        <v>0.01565432704677031</v>
      </c>
      <c r="M257" s="26" t="n">
        <v>226.9699072412558</v>
      </c>
      <c r="N257" s="27" t="n">
        <v>0.01852360358534738</v>
      </c>
      <c r="O257" s="26" t="n">
        <v>177.4235970171994</v>
      </c>
      <c r="P257" s="27" t="n">
        <v>0.02138154018683072</v>
      </c>
      <c r="Q257" s="26" t="n">
        <v>211.2458804526022</v>
      </c>
      <c r="R257" s="27" t="n">
        <v>0.02381573240187753</v>
      </c>
      <c r="S257" s="26" t="n">
        <v>195.5966167519475</v>
      </c>
      <c r="T257" s="27" t="n">
        <v>0.02791177896584799</v>
      </c>
      <c r="U257" s="26" t="n">
        <v>218.2704432396096</v>
      </c>
      <c r="V257" s="27" t="n">
        <v>0.02151266449303558</v>
      </c>
      <c r="W257" s="26" t="n">
        <v>223.5494443309719</v>
      </c>
      <c r="X257" s="27" t="n">
        <v>0.01863522499000255</v>
      </c>
      <c r="Y257" s="26" t="n">
        <v>195.9658924869507</v>
      </c>
      <c r="Z257" s="27" t="n">
        <v>0.01712803305681346</v>
      </c>
      <c r="AA257" s="26" t="n">
        <v>213.6932324517964</v>
      </c>
      <c r="AB257" s="27" t="n">
        <v>0.02372477791988241</v>
      </c>
    </row>
    <row r="258">
      <c r="A258" s="26" t="n">
        <v>177.1077766037129</v>
      </c>
      <c r="B258" s="27" t="n">
        <v>0.02614226898030179</v>
      </c>
      <c r="C258" s="26" t="n">
        <v>186.0116638346855</v>
      </c>
      <c r="D258" s="27" t="n">
        <v>0.0245484912113447</v>
      </c>
      <c r="E258" s="26" t="n">
        <v>221.3434079835393</v>
      </c>
      <c r="F258" s="27" t="n">
        <v>0.0189621579604609</v>
      </c>
      <c r="G258" s="26" t="n">
        <v>246.344181393908</v>
      </c>
      <c r="H258" s="27" t="n">
        <v>0.01517925592906813</v>
      </c>
      <c r="I258" s="26" t="n">
        <v>252.1970609841854</v>
      </c>
      <c r="J258" s="27" t="n">
        <v>0.01492149267609158</v>
      </c>
      <c r="K258" s="26" t="n">
        <v>244.1933246900599</v>
      </c>
      <c r="L258" s="27" t="n">
        <v>0.01573354220676337</v>
      </c>
      <c r="M258" s="26" t="n">
        <v>227.0612129433417</v>
      </c>
      <c r="N258" s="27" t="n">
        <v>0.01862234744316617</v>
      </c>
      <c r="O258" s="26" t="n">
        <v>177.548001711288</v>
      </c>
      <c r="P258" s="27" t="n">
        <v>0.02148079251147495</v>
      </c>
      <c r="Q258" s="26" t="n">
        <v>211.3399672282351</v>
      </c>
      <c r="R258" s="27" t="n">
        <v>0.02395570620643122</v>
      </c>
      <c r="S258" s="26" t="n">
        <v>195.7030403599789</v>
      </c>
      <c r="T258" s="27" t="n">
        <v>0.02807946024824909</v>
      </c>
      <c r="U258" s="26" t="n">
        <v>218.3554885340619</v>
      </c>
      <c r="V258" s="27" t="n">
        <v>0.021635736145717</v>
      </c>
      <c r="W258" s="26" t="n">
        <v>223.6276298230246</v>
      </c>
      <c r="X258" s="27" t="n">
        <v>0.01873492354714521</v>
      </c>
      <c r="Y258" s="26" t="n">
        <v>196.0713336535576</v>
      </c>
      <c r="Z258" s="27" t="n">
        <v>0.0172019611053238</v>
      </c>
      <c r="AA258" s="26" t="n">
        <v>213.773420113503</v>
      </c>
      <c r="AB258" s="27" t="n">
        <v>0.02386642341965127</v>
      </c>
    </row>
    <row r="259">
      <c r="A259" s="26" t="n">
        <v>177.2735382669182</v>
      </c>
      <c r="B259" s="27" t="n">
        <v>0.02627577970080935</v>
      </c>
      <c r="C259" s="26" t="n">
        <v>186.1517133485003</v>
      </c>
      <c r="D259" s="27" t="n">
        <v>0.02467724542273109</v>
      </c>
      <c r="E259" s="26" t="n">
        <v>221.4564656378961</v>
      </c>
      <c r="F259" s="27" t="n">
        <v>0.01906066130359885</v>
      </c>
      <c r="G259" s="26" t="n">
        <v>246.4309038245136</v>
      </c>
      <c r="H259" s="27" t="n">
        <v>0.01525384791293074</v>
      </c>
      <c r="I259" s="26" t="n">
        <v>252.2774454126853</v>
      </c>
      <c r="J259" s="27" t="n">
        <v>0.01499568994666486</v>
      </c>
      <c r="K259" s="26" t="n">
        <v>244.2695671844162</v>
      </c>
      <c r="L259" s="27" t="n">
        <v>0.01581315888012071</v>
      </c>
      <c r="M259" s="26" t="n">
        <v>227.1525186454275</v>
      </c>
      <c r="N259" s="27" t="n">
        <v>0.01872161391202213</v>
      </c>
      <c r="O259" s="26" t="n">
        <v>177.6724064053765</v>
      </c>
      <c r="P259" s="27" t="n">
        <v>0.02158051517882675</v>
      </c>
      <c r="Q259" s="26" t="n">
        <v>211.4340540038681</v>
      </c>
      <c r="R259" s="27" t="n">
        <v>0.02409646375734772</v>
      </c>
      <c r="S259" s="26" t="n">
        <v>195.8094639680103</v>
      </c>
      <c r="T259" s="27" t="n">
        <v>0.02824807836022274</v>
      </c>
      <c r="U259" s="26" t="n">
        <v>218.4405338285142</v>
      </c>
      <c r="V259" s="27" t="n">
        <v>0.02175949057142638</v>
      </c>
      <c r="W259" s="26" t="n">
        <v>223.7058153150774</v>
      </c>
      <c r="X259" s="27" t="n">
        <v>0.01883515179331563</v>
      </c>
      <c r="Y259" s="26" t="n">
        <v>196.1767748201646</v>
      </c>
      <c r="Z259" s="27" t="n">
        <v>0.01727621323571097</v>
      </c>
      <c r="AA259" s="26" t="n">
        <v>213.8536077752096</v>
      </c>
      <c r="AB259" s="27" t="n">
        <v>0.0240088724022832</v>
      </c>
    </row>
    <row r="260">
      <c r="A260" s="26" t="n">
        <v>177.4392999301235</v>
      </c>
      <c r="B260" s="27" t="n">
        <v>0.02640996978616833</v>
      </c>
      <c r="C260" s="26" t="n">
        <v>186.2917628623151</v>
      </c>
      <c r="D260" s="27" t="n">
        <v>0.02480666771899045</v>
      </c>
      <c r="E260" s="26" t="n">
        <v>221.5695232922528</v>
      </c>
      <c r="F260" s="27" t="n">
        <v>0.01915967501867112</v>
      </c>
      <c r="G260" s="26" t="n">
        <v>246.5176262551191</v>
      </c>
      <c r="H260" s="27" t="n">
        <v>0.01532880798967094</v>
      </c>
      <c r="I260" s="26" t="n">
        <v>252.3578298411852</v>
      </c>
      <c r="J260" s="27" t="n">
        <v>0.01507025725377225</v>
      </c>
      <c r="K260" s="26" t="n">
        <v>244.3458096787726</v>
      </c>
      <c r="L260" s="27" t="n">
        <v>0.01589317909523007</v>
      </c>
      <c r="M260" s="26" t="n">
        <v>227.2438243475133</v>
      </c>
      <c r="N260" s="27" t="n">
        <v>0.01882140568423299</v>
      </c>
      <c r="O260" s="26" t="n">
        <v>177.7968110994651</v>
      </c>
      <c r="P260" s="27" t="n">
        <v>0.02168071043622411</v>
      </c>
      <c r="Q260" s="26" t="n">
        <v>211.528140779501</v>
      </c>
      <c r="R260" s="27" t="n">
        <v>0.02423800898965366</v>
      </c>
      <c r="S260" s="26" t="n">
        <v>195.9158875760416</v>
      </c>
      <c r="T260" s="27" t="n">
        <v>0.02841763775971512</v>
      </c>
      <c r="U260" s="26" t="n">
        <v>218.5255791229665</v>
      </c>
      <c r="V260" s="27" t="n">
        <v>0.02188393129125314</v>
      </c>
      <c r="W260" s="26" t="n">
        <v>223.7840008071302</v>
      </c>
      <c r="X260" s="27" t="n">
        <v>0.01893591247485211</v>
      </c>
      <c r="Y260" s="26" t="n">
        <v>196.2822159867715</v>
      </c>
      <c r="Z260" s="27" t="n">
        <v>0.01735079088449913</v>
      </c>
      <c r="AA260" s="26" t="n">
        <v>213.9337954369162</v>
      </c>
      <c r="AB260" s="27" t="n">
        <v>0.02415212894393996</v>
      </c>
    </row>
    <row r="261">
      <c r="A261" s="26" t="n">
        <v>177.6050615933288</v>
      </c>
      <c r="B261" s="27" t="n">
        <v>0.02654484248626979</v>
      </c>
      <c r="C261" s="26" t="n">
        <v>186.4318123761299</v>
      </c>
      <c r="D261" s="27" t="n">
        <v>0.02493676137729067</v>
      </c>
      <c r="E261" s="26" t="n">
        <v>221.6825809466096</v>
      </c>
      <c r="F261" s="27" t="n">
        <v>0.01925920168954364</v>
      </c>
      <c r="G261" s="26" t="n">
        <v>246.6043486857247</v>
      </c>
      <c r="H261" s="27" t="n">
        <v>0.01540413797778238</v>
      </c>
      <c r="I261" s="26" t="n">
        <v>252.4382142696852</v>
      </c>
      <c r="J261" s="27" t="n">
        <v>0.01514519644228643</v>
      </c>
      <c r="K261" s="26" t="n">
        <v>244.4220521731289</v>
      </c>
      <c r="L261" s="27" t="n">
        <v>0.01597360489054747</v>
      </c>
      <c r="M261" s="26" t="n">
        <v>227.3351300495992</v>
      </c>
      <c r="N261" s="27" t="n">
        <v>0.01892172546491751</v>
      </c>
      <c r="O261" s="26" t="n">
        <v>177.9212157935536</v>
      </c>
      <c r="P261" s="27" t="n">
        <v>0.02178138054163998</v>
      </c>
      <c r="Q261" s="26" t="n">
        <v>211.622227555134</v>
      </c>
      <c r="R261" s="27" t="n">
        <v>0.02438034585293676</v>
      </c>
      <c r="S261" s="26" t="n">
        <v>196.022311184073</v>
      </c>
      <c r="T261" s="27" t="n">
        <v>0.02858814291739842</v>
      </c>
      <c r="U261" s="26" t="n">
        <v>218.6106244174189</v>
      </c>
      <c r="V261" s="27" t="n">
        <v>0.02200906184121975</v>
      </c>
      <c r="W261" s="26" t="n">
        <v>223.862186299183</v>
      </c>
      <c r="X261" s="27" t="n">
        <v>0.01903720835134764</v>
      </c>
      <c r="Y261" s="26" t="n">
        <v>196.3876571533784</v>
      </c>
      <c r="Z261" s="27" t="n">
        <v>0.01742569549463503</v>
      </c>
      <c r="AA261" s="26" t="n">
        <v>214.0139830986228</v>
      </c>
      <c r="AB261" s="27" t="n">
        <v>0.02429619713598224</v>
      </c>
    </row>
    <row r="262">
      <c r="A262" s="26" t="n">
        <v>177.7708232565341</v>
      </c>
      <c r="B262" s="27" t="n">
        <v>0.02668040106367808</v>
      </c>
      <c r="C262" s="26" t="n">
        <v>186.5718618899447</v>
      </c>
      <c r="D262" s="27" t="n">
        <v>0.025067529688287</v>
      </c>
      <c r="E262" s="26" t="n">
        <v>221.7956386009662</v>
      </c>
      <c r="F262" s="27" t="n">
        <v>0.01935924391220034</v>
      </c>
      <c r="G262" s="26" t="n">
        <v>246.6910711163302</v>
      </c>
      <c r="H262" s="27" t="n">
        <v>0.01547983970467869</v>
      </c>
      <c r="I262" s="26" t="n">
        <v>252.5185986981851</v>
      </c>
      <c r="J262" s="27" t="n">
        <v>0.01522050936618988</v>
      </c>
      <c r="K262" s="26" t="n">
        <v>244.4982946674853</v>
      </c>
      <c r="L262" s="27" t="n">
        <v>0.01605443831464391</v>
      </c>
      <c r="M262" s="26" t="n">
        <v>227.426435751685</v>
      </c>
      <c r="N262" s="27" t="n">
        <v>0.01902257597204177</v>
      </c>
      <c r="O262" s="26" t="n">
        <v>178.0456204876421</v>
      </c>
      <c r="P262" s="27" t="n">
        <v>0.02188252776372989</v>
      </c>
      <c r="Q262" s="26" t="n">
        <v>211.7163143307669</v>
      </c>
      <c r="R262" s="27" t="n">
        <v>0.02452347831133701</v>
      </c>
      <c r="S262" s="26" t="n">
        <v>196.1287347921044</v>
      </c>
      <c r="T262" s="27" t="n">
        <v>0.0287595983166069</v>
      </c>
      <c r="U262" s="26" t="n">
        <v>218.6956697118712</v>
      </c>
      <c r="V262" s="27" t="n">
        <v>0.02213488577230451</v>
      </c>
      <c r="W262" s="26" t="n">
        <v>223.9403717912358</v>
      </c>
      <c r="X262" s="27" t="n">
        <v>0.01913904219570038</v>
      </c>
      <c r="Y262" s="26" t="n">
        <v>196.4930983199853</v>
      </c>
      <c r="Z262" s="27" t="n">
        <v>0.01750092851551727</v>
      </c>
      <c r="AA262" s="26" t="n">
        <v>214.0941707603294</v>
      </c>
      <c r="AB262" s="27" t="n">
        <v>0.02444108108496068</v>
      </c>
    </row>
    <row r="263">
      <c r="A263" s="26" t="n">
        <v>177.9365849197394</v>
      </c>
      <c r="B263" s="27" t="n">
        <v>0.02681664879364363</v>
      </c>
      <c r="C263" s="26" t="n">
        <v>186.7119114037594</v>
      </c>
      <c r="D263" s="27" t="n">
        <v>0.02519897595614418</v>
      </c>
      <c r="E263" s="26" t="n">
        <v>221.908696255323</v>
      </c>
      <c r="F263" s="27" t="n">
        <v>0.01945980429478672</v>
      </c>
      <c r="G263" s="26" t="n">
        <v>246.7777935469358</v>
      </c>
      <c r="H263" s="27" t="n">
        <v>0.01555591500673581</v>
      </c>
      <c r="I263" s="26" t="n">
        <v>252.5989831266851</v>
      </c>
      <c r="J263" s="27" t="n">
        <v>0.01529619788861795</v>
      </c>
      <c r="K263" s="26" t="n">
        <v>244.5745371618416</v>
      </c>
      <c r="L263" s="27" t="n">
        <v>0.01613568142625258</v>
      </c>
      <c r="M263" s="26" t="n">
        <v>227.5177414537708</v>
      </c>
      <c r="N263" s="27" t="n">
        <v>0.01912395993646519</v>
      </c>
      <c r="O263" s="26" t="n">
        <v>178.1700251817307</v>
      </c>
      <c r="P263" s="27" t="n">
        <v>0.0219841543818791</v>
      </c>
      <c r="Q263" s="26" t="n">
        <v>211.8104011063999</v>
      </c>
      <c r="R263" s="27" t="n">
        <v>0.02466741034353686</v>
      </c>
      <c r="S263" s="26" t="n">
        <v>196.2351584001358</v>
      </c>
      <c r="T263" s="27" t="n">
        <v>0.02893200845327071</v>
      </c>
      <c r="U263" s="26" t="n">
        <v>218.7807150063235</v>
      </c>
      <c r="V263" s="27" t="n">
        <v>0.02226140665046471</v>
      </c>
      <c r="W263" s="26" t="n">
        <v>224.0185572832886</v>
      </c>
      <c r="X263" s="27" t="n">
        <v>0.01924141679416354</v>
      </c>
      <c r="Y263" s="26" t="n">
        <v>196.5985394865922</v>
      </c>
      <c r="Z263" s="27" t="n">
        <v>0.01757649140302498</v>
      </c>
      <c r="AA263" s="26" t="n">
        <v>214.174358422036</v>
      </c>
      <c r="AB263" s="27" t="n">
        <v>0.02458678491260555</v>
      </c>
    </row>
    <row r="264">
      <c r="A264" s="26" t="n">
        <v>178.1023465829447</v>
      </c>
      <c r="B264" s="27" t="n">
        <v>0.02695358896411458</v>
      </c>
      <c r="C264" s="26" t="n">
        <v>186.8519609175742</v>
      </c>
      <c r="D264" s="27" t="n">
        <v>0.02533110349855806</v>
      </c>
      <c r="E264" s="26" t="n">
        <v>222.0217539096797</v>
      </c>
      <c r="F264" s="27" t="n">
        <v>0.01956088545765265</v>
      </c>
      <c r="G264" s="26" t="n">
        <v>246.8645159775414</v>
      </c>
      <c r="H264" s="27" t="n">
        <v>0.01563236572933462</v>
      </c>
      <c r="I264" s="26" t="n">
        <v>252.679367555185</v>
      </c>
      <c r="J264" s="27" t="n">
        <v>0.01537226388190232</v>
      </c>
      <c r="K264" s="26" t="n">
        <v>244.650779656198</v>
      </c>
      <c r="L264" s="27" t="n">
        <v>0.01621733629431591</v>
      </c>
      <c r="M264" s="26" t="n">
        <v>227.6090471558567</v>
      </c>
      <c r="N264" s="27" t="n">
        <v>0.0192258801019866</v>
      </c>
      <c r="O264" s="26" t="n">
        <v>178.2944298758192</v>
      </c>
      <c r="P264" s="27" t="n">
        <v>0.02208626268625054</v>
      </c>
      <c r="Q264" s="26" t="n">
        <v>211.9044878820329</v>
      </c>
      <c r="R264" s="27" t="n">
        <v>0.02481214594275051</v>
      </c>
      <c r="S264" s="26" t="n">
        <v>196.3415820081671</v>
      </c>
      <c r="T264" s="27" t="n">
        <v>0.0291053778358487</v>
      </c>
      <c r="U264" s="26" t="n">
        <v>218.8657603007758</v>
      </c>
      <c r="V264" s="27" t="n">
        <v>0.02238862805665857</v>
      </c>
      <c r="W264" s="26" t="n">
        <v>224.0967427753415</v>
      </c>
      <c r="X264" s="27" t="n">
        <v>0.01934433494639612</v>
      </c>
      <c r="Y264" s="26" t="n">
        <v>196.7039806531991</v>
      </c>
      <c r="Z264" s="27" t="n">
        <v>0.01765238561954734</v>
      </c>
      <c r="AA264" s="26" t="n">
        <v>214.2545460837426</v>
      </c>
      <c r="AB264" s="27" t="n">
        <v>0.02473331275581557</v>
      </c>
    </row>
    <row r="265">
      <c r="A265" s="26" t="n">
        <v>178.26810824615</v>
      </c>
      <c r="B265" s="27" t="n">
        <v>0.02709122487574854</v>
      </c>
      <c r="C265" s="26" t="n">
        <v>186.992010431389</v>
      </c>
      <c r="D265" s="27" t="n">
        <v>0.025463915646777</v>
      </c>
      <c r="E265" s="26" t="n">
        <v>222.1348115640365</v>
      </c>
      <c r="F265" s="27" t="n">
        <v>0.01966249003339587</v>
      </c>
      <c r="G265" s="26" t="n">
        <v>246.951238408147</v>
      </c>
      <c r="H265" s="27" t="n">
        <v>0.01570919372690322</v>
      </c>
      <c r="I265" s="26" t="n">
        <v>252.7597519836849</v>
      </c>
      <c r="J265" s="27" t="n">
        <v>0.01544870922761451</v>
      </c>
      <c r="K265" s="26" t="n">
        <v>244.7270221505543</v>
      </c>
      <c r="L265" s="27" t="n">
        <v>0.01629940499803302</v>
      </c>
      <c r="M265" s="26" t="n">
        <v>227.7003528579425</v>
      </c>
      <c r="N265" s="27" t="n">
        <v>0.01932833922539018</v>
      </c>
      <c r="O265" s="26" t="n">
        <v>178.4188345699077</v>
      </c>
      <c r="P265" s="27" t="n">
        <v>0.02218885497783235</v>
      </c>
      <c r="Q265" s="26" t="n">
        <v>211.9985746576658</v>
      </c>
      <c r="R265" s="27" t="n">
        <v>0.02495768911671237</v>
      </c>
      <c r="S265" s="26" t="n">
        <v>196.4480056161985</v>
      </c>
      <c r="T265" s="27" t="n">
        <v>0.0292797109852592</v>
      </c>
      <c r="U265" s="26" t="n">
        <v>218.9508055952281</v>
      </c>
      <c r="V265" s="27" t="n">
        <v>0.02251655358686684</v>
      </c>
      <c r="W265" s="26" t="n">
        <v>224.1749282673943</v>
      </c>
      <c r="X265" s="27" t="n">
        <v>0.0194477994655129</v>
      </c>
      <c r="Y265" s="26" t="n">
        <v>196.809421819806</v>
      </c>
      <c r="Z265" s="27" t="n">
        <v>0.01772861263401248</v>
      </c>
      <c r="AA265" s="26" t="n">
        <v>214.3347337454492</v>
      </c>
      <c r="AB265" s="27" t="n">
        <v>0.02488066876664548</v>
      </c>
    </row>
    <row r="266">
      <c r="A266" s="26" t="n">
        <v>178.4338699093553</v>
      </c>
      <c r="B266" s="27" t="n">
        <v>0.0272295598419234</v>
      </c>
      <c r="C266" s="26" t="n">
        <v>187.1320599452038</v>
      </c>
      <c r="D266" s="27" t="n">
        <v>0.02559741574562257</v>
      </c>
      <c r="E266" s="26" t="n">
        <v>222.2478692183932</v>
      </c>
      <c r="F266" s="27" t="n">
        <v>0.01976462066690483</v>
      </c>
      <c r="G266" s="26" t="n">
        <v>247.0379608387526</v>
      </c>
      <c r="H266" s="27" t="n">
        <v>0.01578640086296006</v>
      </c>
      <c r="I266" s="26" t="n">
        <v>252.8401364121849</v>
      </c>
      <c r="J266" s="27" t="n">
        <v>0.01552553581660952</v>
      </c>
      <c r="K266" s="26" t="n">
        <v>244.8032646449107</v>
      </c>
      <c r="L266" s="27" t="n">
        <v>0.01638188962690702</v>
      </c>
      <c r="M266" s="26" t="n">
        <v>227.7916585600283</v>
      </c>
      <c r="N266" s="27" t="n">
        <v>0.0194313400764914</v>
      </c>
      <c r="O266" s="26" t="n">
        <v>178.5432392639963</v>
      </c>
      <c r="P266" s="27" t="n">
        <v>0.02229193356848593</v>
      </c>
      <c r="Q266" s="26" t="n">
        <v>212.0926614332987</v>
      </c>
      <c r="R266" s="27" t="n">
        <v>0.02510404388766413</v>
      </c>
      <c r="S266" s="26" t="n">
        <v>196.5544292242299</v>
      </c>
      <c r="T266" s="27" t="n">
        <v>0.02945501243480968</v>
      </c>
      <c r="U266" s="26" t="n">
        <v>219.0358508896804</v>
      </c>
      <c r="V266" s="27" t="n">
        <v>0.02264518685211393</v>
      </c>
      <c r="W266" s="26" t="n">
        <v>224.253113759447</v>
      </c>
      <c r="X266" s="27" t="n">
        <v>0.01955181317813472</v>
      </c>
      <c r="Y266" s="26" t="n">
        <v>196.9148629864129</v>
      </c>
      <c r="Z266" s="27" t="n">
        <v>0.0178051739219174</v>
      </c>
      <c r="AA266" s="26" t="n">
        <v>214.4149214071558</v>
      </c>
      <c r="AB266" s="27" t="n">
        <v>0.02502885711229292</v>
      </c>
    </row>
    <row r="267">
      <c r="A267" s="26" t="n">
        <v>178.5996315725607</v>
      </c>
      <c r="B267" s="27" t="n">
        <v>0.0273685971887472</v>
      </c>
      <c r="C267" s="26" t="n">
        <v>187.2721094590186</v>
      </c>
      <c r="D267" s="27" t="n">
        <v>0.02573160715350968</v>
      </c>
      <c r="E267" s="26" t="n">
        <v>222.3609268727499</v>
      </c>
      <c r="F267" s="27" t="n">
        <v>0.0198672800154019</v>
      </c>
      <c r="G267" s="26" t="n">
        <v>247.1246832693581</v>
      </c>
      <c r="H267" s="27" t="n">
        <v>0.01586398901015669</v>
      </c>
      <c r="I267" s="26" t="n">
        <v>252.9205208406848</v>
      </c>
      <c r="J267" s="27" t="n">
        <v>0.01560274554906981</v>
      </c>
      <c r="K267" s="26" t="n">
        <v>244.879507139267</v>
      </c>
      <c r="L267" s="27" t="n">
        <v>0.01646479228079316</v>
      </c>
      <c r="M267" s="26" t="n">
        <v>227.8829642621142</v>
      </c>
      <c r="N267" s="27" t="n">
        <v>0.019534885438183</v>
      </c>
      <c r="O267" s="26" t="n">
        <v>178.6676439580849</v>
      </c>
      <c r="P267" s="27" t="n">
        <v>0.02239550078099402</v>
      </c>
      <c r="Q267" s="26" t="n">
        <v>212.1867482089316</v>
      </c>
      <c r="R267" s="27" t="n">
        <v>0.02525121429234134</v>
      </c>
      <c r="S267" s="26" t="n">
        <v>196.6608528322612</v>
      </c>
      <c r="T267" s="27" t="n">
        <v>0.02963128673012422</v>
      </c>
      <c r="U267" s="26" t="n">
        <v>219.1208961841327</v>
      </c>
      <c r="V267" s="27" t="n">
        <v>0.02277453147848813</v>
      </c>
      <c r="W267" s="26" t="n">
        <v>224.3312992514999</v>
      </c>
      <c r="X267" s="27" t="n">
        <v>0.01965637892443872</v>
      </c>
      <c r="Y267" s="26" t="n">
        <v>197.0203041530199</v>
      </c>
      <c r="Z267" s="27" t="n">
        <v>0.01788207096535711</v>
      </c>
      <c r="AA267" s="26" t="n">
        <v>214.4951090688623</v>
      </c>
      <c r="AB267" s="27" t="n">
        <v>0.02517788197508395</v>
      </c>
    </row>
    <row r="268">
      <c r="A268" s="26" t="n">
        <v>178.7653932357659</v>
      </c>
      <c r="B268" s="27" t="n">
        <v>0.0275083402550685</v>
      </c>
      <c r="C268" s="26" t="n">
        <v>187.4121589728333</v>
      </c>
      <c r="D268" s="27" t="n">
        <v>0.02586649324246687</v>
      </c>
      <c r="E268" s="26" t="n">
        <v>222.4739845271066</v>
      </c>
      <c r="F268" s="27" t="n">
        <v>0.01997047074848631</v>
      </c>
      <c r="G268" s="26" t="n">
        <v>247.2114056999637</v>
      </c>
      <c r="H268" s="27" t="n">
        <v>0.01594196005032084</v>
      </c>
      <c r="I268" s="26" t="n">
        <v>253.0009052691848</v>
      </c>
      <c r="J268" s="27" t="n">
        <v>0.0156803403345494</v>
      </c>
      <c r="K268" s="26" t="n">
        <v>244.9557496336234</v>
      </c>
      <c r="L268" s="27" t="n">
        <v>0.01654811506994617</v>
      </c>
      <c r="M268" s="26" t="n">
        <v>227.9742699642</v>
      </c>
      <c r="N268" s="27" t="n">
        <v>0.01963897810648068</v>
      </c>
      <c r="O268" s="26" t="n">
        <v>178.7920486521734</v>
      </c>
      <c r="P268" s="27" t="n">
        <v>0.02249955894910908</v>
      </c>
      <c r="Q268" s="26" t="n">
        <v>212.2808349845646</v>
      </c>
      <c r="R268" s="27" t="n">
        <v>0.02539920438195825</v>
      </c>
      <c r="S268" s="26" t="n">
        <v>196.7672764402926</v>
      </c>
      <c r="T268" s="27" t="n">
        <v>0.02980853842907013</v>
      </c>
      <c r="U268" s="26" t="n">
        <v>219.205941478585</v>
      </c>
      <c r="V268" s="27" t="n">
        <v>0.02290459110716163</v>
      </c>
      <c r="W268" s="26" t="n">
        <v>224.4094847435527</v>
      </c>
      <c r="X268" s="27" t="n">
        <v>0.01976149955820857</v>
      </c>
      <c r="Y268" s="26" t="n">
        <v>197.1257453196268</v>
      </c>
      <c r="Z268" s="27" t="n">
        <v>0.01795930525305469</v>
      </c>
      <c r="AA268" s="26" t="n">
        <v>214.5752967305689</v>
      </c>
      <c r="AB268" s="27" t="n">
        <v>0.02532774755245735</v>
      </c>
    </row>
    <row r="269">
      <c r="A269" s="26" t="n">
        <v>178.9311548989713</v>
      </c>
      <c r="B269" s="27" t="n">
        <v>0.02764879239248523</v>
      </c>
      <c r="C269" s="26" t="n">
        <v>187.5522084866481</v>
      </c>
      <c r="D269" s="27" t="n">
        <v>0.026002077398155</v>
      </c>
      <c r="E269" s="26" t="n">
        <v>222.5870421814633</v>
      </c>
      <c r="F269" s="27" t="n">
        <v>0.02007419554817711</v>
      </c>
      <c r="G269" s="26" t="n">
        <v>247.2981281305693</v>
      </c>
      <c r="H269" s="27" t="n">
        <v>0.01602031587450005</v>
      </c>
      <c r="I269" s="26" t="n">
        <v>253.0812896976847</v>
      </c>
      <c r="J269" s="27" t="n">
        <v>0.01575832209201782</v>
      </c>
      <c r="K269" s="26" t="n">
        <v>245.0319921279798</v>
      </c>
      <c r="L269" s="27" t="n">
        <v>0.01663186011506861</v>
      </c>
      <c r="M269" s="26" t="n">
        <v>228.0655756662858</v>
      </c>
      <c r="N269" s="27" t="n">
        <v>0.0197436208905689</v>
      </c>
      <c r="O269" s="26" t="n">
        <v>178.916453346262</v>
      </c>
      <c r="P269" s="27" t="n">
        <v>0.02260411041760153</v>
      </c>
      <c r="Q269" s="26" t="n">
        <v>212.3749217601976</v>
      </c>
      <c r="R269" s="27" t="n">
        <v>0.02554801822219239</v>
      </c>
      <c r="S269" s="26" t="n">
        <v>196.873700048324</v>
      </c>
      <c r="T269" s="27" t="n">
        <v>0.02998677210168195</v>
      </c>
      <c r="U269" s="26" t="n">
        <v>219.2909867730373</v>
      </c>
      <c r="V269" s="27" t="n">
        <v>0.02303536939440985</v>
      </c>
      <c r="W269" s="26" t="n">
        <v>224.4876702356055</v>
      </c>
      <c r="X269" s="27" t="n">
        <v>0.01986717794688468</v>
      </c>
      <c r="Y269" s="26" t="n">
        <v>197.2311864862337</v>
      </c>
      <c r="Z269" s="27" t="n">
        <v>0.0180368782803909</v>
      </c>
      <c r="AA269" s="26" t="n">
        <v>214.6554843922755</v>
      </c>
      <c r="AB269" s="27" t="n">
        <v>0.02547845805694839</v>
      </c>
    </row>
    <row r="270">
      <c r="A270" s="26" t="n">
        <v>179.0969165621766</v>
      </c>
      <c r="B270" s="27" t="n">
        <v>0.02778995696535314</v>
      </c>
      <c r="C270" s="26" t="n">
        <v>187.6922580004629</v>
      </c>
      <c r="D270" s="27" t="n">
        <v>0.02613836301988661</v>
      </c>
      <c r="E270" s="26" t="n">
        <v>222.70009983582</v>
      </c>
      <c r="F270" s="27" t="n">
        <v>0.02017845710895604</v>
      </c>
      <c r="G270" s="26" t="n">
        <v>247.3848505611749</v>
      </c>
      <c r="H270" s="27" t="n">
        <v>0.01609905838300488</v>
      </c>
      <c r="I270" s="26" t="n">
        <v>253.1616741261847</v>
      </c>
      <c r="J270" s="27" t="n">
        <v>0.01583669274990498</v>
      </c>
      <c r="K270" s="26" t="n">
        <v>245.1082346223361</v>
      </c>
      <c r="L270" s="27" t="n">
        <v>0.01671602954735898</v>
      </c>
      <c r="M270" s="26" t="n">
        <v>228.1568813683717</v>
      </c>
      <c r="N270" s="27" t="n">
        <v>0.01984881661284659</v>
      </c>
      <c r="O270" s="26" t="n">
        <v>179.0408580403505</v>
      </c>
      <c r="P270" s="27" t="n">
        <v>0.02270915754230839</v>
      </c>
      <c r="Q270" s="26" t="n">
        <v>212.4690085358305</v>
      </c>
      <c r="R270" s="27" t="n">
        <v>0.02569765989316753</v>
      </c>
      <c r="S270" s="26" t="n">
        <v>196.9801236563554</v>
      </c>
      <c r="T270" s="27" t="n">
        <v>0.03016599233008481</v>
      </c>
      <c r="U270" s="26" t="n">
        <v>219.3760320674896</v>
      </c>
      <c r="V270" s="27" t="n">
        <v>0.02316687001162971</v>
      </c>
      <c r="W270" s="26" t="n">
        <v>224.5658557276583</v>
      </c>
      <c r="X270" s="27" t="n">
        <v>0.01997341697161421</v>
      </c>
      <c r="Y270" s="26" t="n">
        <v>197.3366276528406</v>
      </c>
      <c r="Z270" s="27" t="n">
        <v>0.01811479154943422</v>
      </c>
      <c r="AA270" s="26" t="n">
        <v>214.7356720539821</v>
      </c>
      <c r="AB270" s="27" t="n">
        <v>0.02563001771617078</v>
      </c>
    </row>
    <row r="271">
      <c r="A271" s="26" t="n">
        <v>179.2626782253819</v>
      </c>
      <c r="B271" s="27" t="n">
        <v>0.02793183735079393</v>
      </c>
      <c r="C271" s="26" t="n">
        <v>187.8323075142776</v>
      </c>
      <c r="D271" s="27" t="n">
        <v>0.026275353520644</v>
      </c>
      <c r="E271" s="26" t="n">
        <v>222.8131574901768</v>
      </c>
      <c r="F271" s="27" t="n">
        <v>0.02028325813781015</v>
      </c>
      <c r="G271" s="26" t="n">
        <v>247.4715729917804</v>
      </c>
      <c r="H271" s="27" t="n">
        <v>0.01617818948545266</v>
      </c>
      <c r="I271" s="26" t="n">
        <v>253.2420585546845</v>
      </c>
      <c r="J271" s="27" t="n">
        <v>0.01591545424614527</v>
      </c>
      <c r="K271" s="26" t="n">
        <v>245.1844771166924</v>
      </c>
      <c r="L271" s="27" t="n">
        <v>0.01680062550855988</v>
      </c>
      <c r="M271" s="26" t="n">
        <v>228.2481870704576</v>
      </c>
      <c r="N271" s="27" t="n">
        <v>0.01995456810897261</v>
      </c>
      <c r="O271" s="26" t="n">
        <v>179.165262734439</v>
      </c>
      <c r="P271" s="27" t="n">
        <v>0.02281470269018195</v>
      </c>
      <c r="Q271" s="26" t="n">
        <v>212.5630953114635</v>
      </c>
      <c r="R271" s="27" t="n">
        <v>0.02584813348943576</v>
      </c>
      <c r="S271" s="26" t="n">
        <v>197.0865472643868</v>
      </c>
      <c r="T271" s="27" t="n">
        <v>0.03034620370841523</v>
      </c>
      <c r="U271" s="26" t="n">
        <v>219.4610773619419</v>
      </c>
      <c r="V271" s="27" t="n">
        <v>0.02329909664535799</v>
      </c>
      <c r="W271" s="26" t="n">
        <v>224.6440412197111</v>
      </c>
      <c r="X271" s="27" t="n">
        <v>0.02008021952730109</v>
      </c>
      <c r="Y271" s="26" t="n">
        <v>197.4420688194475</v>
      </c>
      <c r="Z271" s="27" t="n">
        <v>0.01819304656897101</v>
      </c>
      <c r="AA271" s="26" t="n">
        <v>214.8158597156888</v>
      </c>
      <c r="AB271" s="27" t="n">
        <v>0.02578243077279817</v>
      </c>
    </row>
    <row r="272">
      <c r="A272" s="26" t="n">
        <v>179.4284398885872</v>
      </c>
      <c r="B272" s="27" t="n">
        <v>0.0280744369387025</v>
      </c>
      <c r="C272" s="26" t="n">
        <v>187.9723570280924</v>
      </c>
      <c r="D272" s="27" t="n">
        <v>0.02641305232709689</v>
      </c>
      <c r="E272" s="26" t="n">
        <v>222.9262151445335</v>
      </c>
      <c r="F272" s="27" t="n">
        <v>0.02038860135427491</v>
      </c>
      <c r="G272" s="26" t="n">
        <v>247.558295422386</v>
      </c>
      <c r="H272" s="27" t="n">
        <v>0.01625771110081142</v>
      </c>
      <c r="I272" s="26" t="n">
        <v>253.3224429831845</v>
      </c>
      <c r="J272" s="27" t="n">
        <v>0.01599460852822281</v>
      </c>
      <c r="K272" s="26" t="n">
        <v>245.2607196110488</v>
      </c>
      <c r="L272" s="27" t="n">
        <v>0.01688565015100695</v>
      </c>
      <c r="M272" s="26" t="n">
        <v>228.3394927725434</v>
      </c>
      <c r="N272" s="27" t="n">
        <v>0.02006087822791128</v>
      </c>
      <c r="O272" s="26" t="n">
        <v>179.2896674285276</v>
      </c>
      <c r="P272" s="27" t="n">
        <v>0.0229207482393388</v>
      </c>
      <c r="Q272" s="26" t="n">
        <v>212.6571820870964</v>
      </c>
      <c r="R272" s="27" t="n">
        <v>0.02599944311995847</v>
      </c>
      <c r="S272" s="26" t="n">
        <v>197.1929708724181</v>
      </c>
      <c r="T272" s="27" t="n">
        <v>0.03052741084274081</v>
      </c>
      <c r="U272" s="26" t="n">
        <v>219.5461226563942</v>
      </c>
      <c r="V272" s="27" t="n">
        <v>0.0234320529972885</v>
      </c>
      <c r="W272" s="26" t="n">
        <v>224.7222267117639</v>
      </c>
      <c r="X272" s="27" t="n">
        <v>0.02018758852265642</v>
      </c>
      <c r="Y272" s="26" t="n">
        <v>197.5475099860544</v>
      </c>
      <c r="Z272" s="27" t="n">
        <v>0.01827164485453582</v>
      </c>
      <c r="AA272" s="26" t="n">
        <v>214.8960473773953</v>
      </c>
      <c r="AB272" s="27" t="n">
        <v>0.02593570148454389</v>
      </c>
    </row>
    <row r="273">
      <c r="A273" s="26" t="n">
        <v>179.5942015517925</v>
      </c>
      <c r="B273" s="27" t="n">
        <v>0.02821775913175369</v>
      </c>
      <c r="C273" s="26" t="n">
        <v>188.1124065419072</v>
      </c>
      <c r="D273" s="27" t="n">
        <v>0.02655146287961997</v>
      </c>
      <c r="E273" s="26" t="n">
        <v>223.0392727988902</v>
      </c>
      <c r="F273" s="27" t="n">
        <v>0.02049448949047645</v>
      </c>
      <c r="G273" s="26" t="n">
        <v>247.6450178529916</v>
      </c>
      <c r="H273" s="27" t="n">
        <v>0.01633762515744363</v>
      </c>
      <c r="I273" s="26" t="n">
        <v>253.4028274116845</v>
      </c>
      <c r="J273" s="27" t="n">
        <v>0.01607415755321582</v>
      </c>
      <c r="K273" s="26" t="n">
        <v>245.3369621054051</v>
      </c>
      <c r="L273" s="27" t="n">
        <v>0.01697110563767704</v>
      </c>
      <c r="M273" s="26" t="n">
        <v>228.4307984746292</v>
      </c>
      <c r="N273" s="27" t="n">
        <v>0.02016774983197803</v>
      </c>
      <c r="O273" s="26" t="n">
        <v>179.4140721226161</v>
      </c>
      <c r="P273" s="27" t="n">
        <v>0.02302729657910873</v>
      </c>
      <c r="Q273" s="26" t="n">
        <v>212.7512688627294</v>
      </c>
      <c r="R273" s="27" t="n">
        <v>0.02615159290808626</v>
      </c>
      <c r="S273" s="26" t="n">
        <v>197.2993944804495</v>
      </c>
      <c r="T273" s="27" t="n">
        <v>0.03070961835097826</v>
      </c>
      <c r="U273" s="26" t="n">
        <v>219.6311679508465</v>
      </c>
      <c r="V273" s="27" t="n">
        <v>0.02356574278428884</v>
      </c>
      <c r="W273" s="26" t="n">
        <v>224.8004122038167</v>
      </c>
      <c r="X273" s="27" t="n">
        <v>0.02029552688024821</v>
      </c>
      <c r="Y273" s="26" t="n">
        <v>197.6529511526613</v>
      </c>
      <c r="Z273" s="27" t="n">
        <v>0.01835058792844163</v>
      </c>
      <c r="AA273" s="26" t="n">
        <v>214.9762350391019</v>
      </c>
      <c r="AB273" s="27" t="n">
        <v>0.02608983412413997</v>
      </c>
    </row>
    <row r="274">
      <c r="A274" s="26" t="n">
        <v>179.7599632149978</v>
      </c>
      <c r="B274" s="27" t="n">
        <v>0.02836180734540861</v>
      </c>
      <c r="C274" s="26" t="n">
        <v>188.252456055722</v>
      </c>
      <c r="D274" s="27" t="n">
        <v>0.0266905886323094</v>
      </c>
      <c r="E274" s="26" t="n">
        <v>223.1523304532469</v>
      </c>
      <c r="F274" s="27" t="n">
        <v>0.02060092529117431</v>
      </c>
      <c r="G274" s="26" t="n">
        <v>247.7317402835971</v>
      </c>
      <c r="H274" s="27" t="n">
        <v>0.01641793359315085</v>
      </c>
      <c r="I274" s="26" t="n">
        <v>253.4832118401844</v>
      </c>
      <c r="J274" s="27" t="n">
        <v>0.01615410328784226</v>
      </c>
      <c r="K274" s="26" t="n">
        <v>245.4132045997615</v>
      </c>
      <c r="L274" s="27" t="n">
        <v>0.01705699414223747</v>
      </c>
      <c r="M274" s="26" t="n">
        <v>228.522104176715</v>
      </c>
      <c r="N274" s="27" t="n">
        <v>0.02027518579688426</v>
      </c>
      <c r="O274" s="26" t="n">
        <v>179.5384768167047</v>
      </c>
      <c r="P274" s="27" t="n">
        <v>0.02313435011008374</v>
      </c>
      <c r="Q274" s="26" t="n">
        <v>212.8453556383623</v>
      </c>
      <c r="R274" s="27" t="n">
        <v>0.02630458699153767</v>
      </c>
      <c r="S274" s="26" t="n">
        <v>197.4058180884809</v>
      </c>
      <c r="T274" s="27" t="n">
        <v>0.03089283086280884</v>
      </c>
      <c r="U274" s="26" t="n">
        <v>219.7162132452988</v>
      </c>
      <c r="V274" s="27" t="n">
        <v>0.0237001697384163</v>
      </c>
      <c r="W274" s="26" t="n">
        <v>224.8785976958695</v>
      </c>
      <c r="X274" s="27" t="n">
        <v>0.02040403753655126</v>
      </c>
      <c r="Y274" s="26" t="n">
        <v>197.7583923192682</v>
      </c>
      <c r="Z274" s="27" t="n">
        <v>0.01842987731981035</v>
      </c>
      <c r="AA274" s="26" t="n">
        <v>215.0564227008085</v>
      </c>
      <c r="AB274" s="27" t="n">
        <v>0.02624483297931489</v>
      </c>
    </row>
    <row r="275">
      <c r="A275" s="26" t="n">
        <v>179.9257248782031</v>
      </c>
      <c r="B275" s="27" t="n">
        <v>0.0285065850079196</v>
      </c>
      <c r="C275" s="26" t="n">
        <v>188.3925055695367</v>
      </c>
      <c r="D275" s="27" t="n">
        <v>0.0268304330529992</v>
      </c>
      <c r="E275" s="26" t="n">
        <v>223.2653881076037</v>
      </c>
      <c r="F275" s="27" t="n">
        <v>0.02070791151380389</v>
      </c>
      <c r="G275" s="26" t="n">
        <v>247.8184627142027</v>
      </c>
      <c r="H275" s="27" t="n">
        <v>0.0164986383552176</v>
      </c>
      <c r="I275" s="26" t="n">
        <v>253.5635962686844</v>
      </c>
      <c r="J275" s="27" t="n">
        <v>0.01623444770850481</v>
      </c>
      <c r="K275" s="26" t="n">
        <v>245.4894470941178</v>
      </c>
      <c r="L275" s="27" t="n">
        <v>0.01714331784909466</v>
      </c>
      <c r="M275" s="26" t="n">
        <v>228.6134098788009</v>
      </c>
      <c r="N275" s="27" t="n">
        <v>0.02038318901178303</v>
      </c>
      <c r="O275" s="26" t="n">
        <v>179.6628815107932</v>
      </c>
      <c r="P275" s="27" t="n">
        <v>0.02324191124416784</v>
      </c>
      <c r="Q275" s="26" t="n">
        <v>212.9394424139953</v>
      </c>
      <c r="R275" s="27" t="n">
        <v>0.02645842952237698</v>
      </c>
      <c r="S275" s="26" t="n">
        <v>197.5122416965122</v>
      </c>
      <c r="T275" s="27" t="n">
        <v>0.03107705301959324</v>
      </c>
      <c r="U275" s="26" t="n">
        <v>219.8012585397511</v>
      </c>
      <c r="V275" s="27" t="n">
        <v>0.0238353376069336</v>
      </c>
      <c r="W275" s="26" t="n">
        <v>224.9567831879223</v>
      </c>
      <c r="X275" s="27" t="n">
        <v>0.02051312344199735</v>
      </c>
      <c r="Y275" s="26" t="n">
        <v>197.8638334858751</v>
      </c>
      <c r="Z275" s="27" t="n">
        <v>0.01850951456460382</v>
      </c>
      <c r="AA275" s="26" t="n">
        <v>215.1366103625151</v>
      </c>
      <c r="AB275" s="27" t="n">
        <v>0.02640070235276992</v>
      </c>
    </row>
    <row r="276">
      <c r="A276" s="26" t="n">
        <v>180.0914865414084</v>
      </c>
      <c r="B276" s="27" t="n">
        <v>0.02865209556033551</v>
      </c>
      <c r="C276" s="26" t="n">
        <v>188.5325550833515</v>
      </c>
      <c r="D276" s="27" t="n">
        <v>0.02697099962327645</v>
      </c>
      <c r="E276" s="26" t="n">
        <v>223.3784457619604</v>
      </c>
      <c r="F276" s="27" t="n">
        <v>0.02081545092851883</v>
      </c>
      <c r="G276" s="26" t="n">
        <v>247.9051851448083</v>
      </c>
      <c r="H276" s="27" t="n">
        <v>0.01657974140045634</v>
      </c>
      <c r="I276" s="26" t="n">
        <v>253.6439806971843</v>
      </c>
      <c r="J276" s="27" t="n">
        <v>0.01631519280133632</v>
      </c>
      <c r="K276" s="26" t="n">
        <v>245.5656895884742</v>
      </c>
      <c r="L276" s="27" t="n">
        <v>0.01723007895344369</v>
      </c>
      <c r="M276" s="26" t="n">
        <v>228.7047155808867</v>
      </c>
      <c r="N276" s="27" t="n">
        <v>0.02049176237931386</v>
      </c>
      <c r="O276" s="26" t="n">
        <v>179.7872862048818</v>
      </c>
      <c r="P276" s="27" t="n">
        <v>0.02334998240462601</v>
      </c>
      <c r="Q276" s="26" t="n">
        <v>213.0335291896282</v>
      </c>
      <c r="R276" s="27" t="n">
        <v>0.02661312466699035</v>
      </c>
      <c r="S276" s="26" t="n">
        <v>197.6186653045436</v>
      </c>
      <c r="T276" s="27" t="n">
        <v>0.03126228947428393</v>
      </c>
      <c r="U276" s="26" t="n">
        <v>219.8863038342034</v>
      </c>
      <c r="V276" s="27" t="n">
        <v>0.02397125015232328</v>
      </c>
      <c r="W276" s="26" t="n">
        <v>225.0349686799751</v>
      </c>
      <c r="X276" s="27" t="n">
        <v>0.02062278756102478</v>
      </c>
      <c r="Y276" s="26" t="n">
        <v>197.969274652482</v>
      </c>
      <c r="Z276" s="27" t="n">
        <v>0.01858950120565413</v>
      </c>
      <c r="AA276" s="26" t="n">
        <v>215.2167980242218</v>
      </c>
      <c r="AB276" s="27" t="n">
        <v>0.02655744656215456</v>
      </c>
    </row>
    <row r="277">
      <c r="A277" s="26" t="n">
        <v>180.2572482046137</v>
      </c>
      <c r="B277" s="27" t="n">
        <v>0.02879834245650566</v>
      </c>
      <c r="C277" s="26" t="n">
        <v>188.6726045971663</v>
      </c>
      <c r="D277" s="27" t="n">
        <v>0.02711229183849691</v>
      </c>
      <c r="E277" s="26" t="n">
        <v>223.4915034163171</v>
      </c>
      <c r="F277" s="27" t="n">
        <v>0.02092354631823339</v>
      </c>
      <c r="G277" s="26" t="n">
        <v>247.9919075754138</v>
      </c>
      <c r="H277" s="27" t="n">
        <v>0.01666124469525183</v>
      </c>
      <c r="I277" s="26" t="n">
        <v>253.7243651256842</v>
      </c>
      <c r="J277" s="27" t="n">
        <v>0.01639634056224559</v>
      </c>
      <c r="K277" s="26" t="n">
        <v>245.6419320828306</v>
      </c>
      <c r="L277" s="27" t="n">
        <v>0.01731727966131734</v>
      </c>
      <c r="M277" s="26" t="n">
        <v>228.7960212829726</v>
      </c>
      <c r="N277" s="27" t="n">
        <v>0.02060090881564788</v>
      </c>
      <c r="O277" s="26" t="n">
        <v>179.9116908989703</v>
      </c>
      <c r="P277" s="27" t="n">
        <v>0.0234585660261343</v>
      </c>
      <c r="Q277" s="26" t="n">
        <v>213.1276159652612</v>
      </c>
      <c r="R277" s="27" t="n">
        <v>0.02676867660606146</v>
      </c>
      <c r="S277" s="26" t="n">
        <v>197.725088912575</v>
      </c>
      <c r="T277" s="27" t="n">
        <v>0.03144854489133599</v>
      </c>
      <c r="U277" s="26" t="n">
        <v>219.9713491286557</v>
      </c>
      <c r="V277" s="27" t="n">
        <v>0.02410791115230189</v>
      </c>
      <c r="W277" s="26" t="n">
        <v>225.1131541720279</v>
      </c>
      <c r="X277" s="27" t="n">
        <v>0.02073303287212845</v>
      </c>
      <c r="Y277" s="26" t="n">
        <v>198.0747158190889</v>
      </c>
      <c r="Z277" s="27" t="n">
        <v>0.01866983879269502</v>
      </c>
      <c r="AA277" s="26" t="n">
        <v>215.2969856859283</v>
      </c>
      <c r="AB277" s="27" t="n">
        <v>0.02671506994004076</v>
      </c>
    </row>
    <row r="278">
      <c r="A278" s="26" t="n">
        <v>180.4230098678191</v>
      </c>
      <c r="B278" s="27" t="n">
        <v>0.0289453291630832</v>
      </c>
      <c r="C278" s="26" t="n">
        <v>188.8126541109811</v>
      </c>
      <c r="D278" s="27" t="n">
        <v>0.02725431320779905</v>
      </c>
      <c r="E278" s="26" t="n">
        <v>223.6045610706739</v>
      </c>
      <c r="F278" s="27" t="n">
        <v>0.02103220047866441</v>
      </c>
      <c r="G278" s="26" t="n">
        <v>248.0786300060194</v>
      </c>
      <c r="H278" s="27" t="n">
        <v>0.01674315021560627</v>
      </c>
      <c r="I278" s="26" t="n">
        <v>253.8047495541841</v>
      </c>
      <c r="J278" s="27" t="n">
        <v>0.01647789299696308</v>
      </c>
      <c r="K278" s="26" t="n">
        <v>245.7181745771869</v>
      </c>
      <c r="L278" s="27" t="n">
        <v>0.01740492218963559</v>
      </c>
      <c r="M278" s="26" t="n">
        <v>228.8873269850584</v>
      </c>
      <c r="N278" s="27" t="n">
        <v>0.02071063125053278</v>
      </c>
      <c r="O278" s="26" t="n">
        <v>180.0360955930589</v>
      </c>
      <c r="P278" s="27" t="n">
        <v>0.02356766455482916</v>
      </c>
      <c r="Q278" s="26" t="n">
        <v>213.2217027408941</v>
      </c>
      <c r="R278" s="27" t="n">
        <v>0.02692508953454566</v>
      </c>
      <c r="S278" s="26" t="n">
        <v>197.8315125206064</v>
      </c>
      <c r="T278" s="27" t="n">
        <v>0.03163582394661608</v>
      </c>
      <c r="U278" s="26" t="n">
        <v>220.056394423108</v>
      </c>
      <c r="V278" s="27" t="n">
        <v>0.02424532439983308</v>
      </c>
      <c r="W278" s="26" t="n">
        <v>225.1913396640807</v>
      </c>
      <c r="X278" s="27" t="n">
        <v>0.02084386236790939</v>
      </c>
      <c r="Y278" s="26" t="n">
        <v>198.1801569856958</v>
      </c>
      <c r="Z278" s="27" t="n">
        <v>0.01875052888239261</v>
      </c>
      <c r="AA278" s="26" t="n">
        <v>215.3771733476349</v>
      </c>
      <c r="AB278" s="27" t="n">
        <v>0.0268735768338955</v>
      </c>
    </row>
    <row r="279">
      <c r="A279" s="26" t="n">
        <v>180.5887715310243</v>
      </c>
      <c r="B279" s="27" t="n">
        <v>0.0290930591595282</v>
      </c>
      <c r="C279" s="26" t="n">
        <v>188.9527036247958</v>
      </c>
      <c r="D279" s="27" t="n">
        <v>0.02739706725411804</v>
      </c>
      <c r="E279" s="26" t="n">
        <v>223.7176187250305</v>
      </c>
      <c r="F279" s="27" t="n">
        <v>0.02114141621837357</v>
      </c>
      <c r="G279" s="26" t="n">
        <v>248.165352436625</v>
      </c>
      <c r="H279" s="27" t="n">
        <v>0.01682545994718427</v>
      </c>
      <c r="I279" s="26" t="n">
        <v>253.8851339826841</v>
      </c>
      <c r="J279" s="27" t="n">
        <v>0.01655985212108689</v>
      </c>
      <c r="K279" s="26" t="n">
        <v>245.7944170715433</v>
      </c>
      <c r="L279" s="27" t="n">
        <v>0.01749300876625548</v>
      </c>
      <c r="M279" s="26" t="n">
        <v>228.9786326871442</v>
      </c>
      <c r="N279" s="27" t="n">
        <v>0.02082093262733745</v>
      </c>
      <c r="O279" s="26" t="n">
        <v>180.1605002871474</v>
      </c>
      <c r="P279" s="27" t="n">
        <v>0.02367728044835764</v>
      </c>
      <c r="Q279" s="26" t="n">
        <v>213.315789516527</v>
      </c>
      <c r="R279" s="27" t="n">
        <v>0.02708236766164271</v>
      </c>
      <c r="S279" s="26" t="n">
        <v>197.9379361286378</v>
      </c>
      <c r="T279" s="27" t="n">
        <v>0.03182413132730972</v>
      </c>
      <c r="U279" s="26" t="n">
        <v>220.1414397175603</v>
      </c>
      <c r="V279" s="27" t="n">
        <v>0.02438349370314056</v>
      </c>
      <c r="W279" s="26" t="n">
        <v>225.2695251561335</v>
      </c>
      <c r="X279" s="27" t="n">
        <v>0.02095527905512428</v>
      </c>
      <c r="Y279" s="26" t="n">
        <v>198.2855981523028</v>
      </c>
      <c r="Z279" s="27" t="n">
        <v>0.01883157303837682</v>
      </c>
      <c r="AA279" s="26" t="n">
        <v>215.4573610093415</v>
      </c>
      <c r="AB279" s="27" t="n">
        <v>0.02703297160605261</v>
      </c>
    </row>
    <row r="280">
      <c r="A280" s="26" t="n">
        <v>180.7545331942297</v>
      </c>
      <c r="B280" s="27" t="n">
        <v>0.02924153593810943</v>
      </c>
      <c r="C280" s="26" t="n">
        <v>189.0927531386106</v>
      </c>
      <c r="D280" s="27" t="n">
        <v>0.02754055751419929</v>
      </c>
      <c r="E280" s="26" t="n">
        <v>223.8306763793873</v>
      </c>
      <c r="F280" s="27" t="n">
        <v>0.02125119635880926</v>
      </c>
      <c r="G280" s="26" t="n">
        <v>248.2520748672305</v>
      </c>
      <c r="H280" s="27" t="n">
        <v>0.01690817588535805</v>
      </c>
      <c r="I280" s="26" t="n">
        <v>253.9655184111841</v>
      </c>
      <c r="J280" s="27" t="n">
        <v>0.01664221996012893</v>
      </c>
      <c r="K280" s="26" t="n">
        <v>245.8706595658996</v>
      </c>
      <c r="L280" s="27" t="n">
        <v>0.01758154163002057</v>
      </c>
      <c r="M280" s="26" t="n">
        <v>229.0699383892301</v>
      </c>
      <c r="N280" s="27" t="n">
        <v>0.02093181590309684</v>
      </c>
      <c r="O280" s="26" t="n">
        <v>180.284904981236</v>
      </c>
      <c r="P280" s="27" t="n">
        <v>0.02378741617592752</v>
      </c>
      <c r="Q280" s="26" t="n">
        <v>213.40987629216</v>
      </c>
      <c r="R280" s="27" t="n">
        <v>0.02724051521076874</v>
      </c>
      <c r="S280" s="26" t="n">
        <v>198.0443597366691</v>
      </c>
      <c r="T280" s="27" t="n">
        <v>0.03201347173182639</v>
      </c>
      <c r="U280" s="26" t="n">
        <v>220.2264850120127</v>
      </c>
      <c r="V280" s="27" t="n">
        <v>0.02452242288571958</v>
      </c>
      <c r="W280" s="26" t="n">
        <v>225.3477106481863</v>
      </c>
      <c r="X280" s="27" t="n">
        <v>0.02106728595473528</v>
      </c>
      <c r="Y280" s="26" t="n">
        <v>198.3910393189097</v>
      </c>
      <c r="Z280" s="27" t="n">
        <v>0.0189129728312727</v>
      </c>
      <c r="AA280" s="26" t="n">
        <v>215.5375486710481</v>
      </c>
      <c r="AB280" s="27" t="n">
        <v>0.0271932586336831</v>
      </c>
    </row>
    <row r="281">
      <c r="A281" s="26" t="n">
        <v>180.920294857435</v>
      </c>
      <c r="B281" s="27" t="n">
        <v>0.02939076300390609</v>
      </c>
      <c r="C281" s="26" t="n">
        <v>189.2328026524254</v>
      </c>
      <c r="D281" s="27" t="n">
        <v>0.0276847875386107</v>
      </c>
      <c r="E281" s="26" t="n">
        <v>223.943734033744</v>
      </c>
      <c r="F281" s="27" t="n">
        <v>0.02136154373434866</v>
      </c>
      <c r="G281" s="26" t="n">
        <v>248.3387972978361</v>
      </c>
      <c r="H281" s="27" t="n">
        <v>0.01699130003525303</v>
      </c>
      <c r="I281" s="26" t="n">
        <v>254.045902839684</v>
      </c>
      <c r="J281" s="27" t="n">
        <v>0.01672499854956126</v>
      </c>
      <c r="K281" s="26" t="n">
        <v>245.9469020602559</v>
      </c>
      <c r="L281" s="27" t="n">
        <v>0.01767052303081131</v>
      </c>
      <c r="M281" s="26" t="n">
        <v>229.1612440913159</v>
      </c>
      <c r="N281" s="27" t="n">
        <v>0.02104328404855618</v>
      </c>
      <c r="O281" s="26" t="n">
        <v>180.4093096753245</v>
      </c>
      <c r="P281" s="27" t="n">
        <v>0.02389807421835724</v>
      </c>
      <c r="Q281" s="26" t="n">
        <v>213.5039630677929</v>
      </c>
      <c r="R281" s="27" t="n">
        <v>0.02739953641952673</v>
      </c>
      <c r="S281" s="26" t="n">
        <v>198.1507833447005</v>
      </c>
      <c r="T281" s="27" t="n">
        <v>0.03220384986970352</v>
      </c>
      <c r="U281" s="26" t="n">
        <v>220.311530306465</v>
      </c>
      <c r="V281" s="27" t="n">
        <v>0.02466211578634833</v>
      </c>
      <c r="W281" s="26" t="n">
        <v>225.4258961402391</v>
      </c>
      <c r="X281" s="27" t="n">
        <v>0.02117988610195946</v>
      </c>
      <c r="Y281" s="26" t="n">
        <v>198.4964804855166</v>
      </c>
      <c r="Z281" s="27" t="n">
        <v>0.01899472983873192</v>
      </c>
      <c r="AA281" s="26" t="n">
        <v>215.6177363327547</v>
      </c>
      <c r="AB281" s="27" t="n">
        <v>0.02735444230876413</v>
      </c>
    </row>
    <row r="282">
      <c r="A282" s="26" t="n">
        <v>181.0860565206403</v>
      </c>
      <c r="B282" s="27" t="n">
        <v>0.02954074387480814</v>
      </c>
      <c r="C282" s="26" t="n">
        <v>189.3728521662402</v>
      </c>
      <c r="D282" s="27" t="n">
        <v>0.02782976089175516</v>
      </c>
      <c r="E282" s="26" t="n">
        <v>224.0567916881008</v>
      </c>
      <c r="F282" s="27" t="n">
        <v>0.02147246119233908</v>
      </c>
      <c r="G282" s="26" t="n">
        <v>248.4255197284417</v>
      </c>
      <c r="H282" s="27" t="n">
        <v>0.01707483441179326</v>
      </c>
      <c r="I282" s="26" t="n">
        <v>254.1262872681839</v>
      </c>
      <c r="J282" s="27" t="n">
        <v>0.01680818993486253</v>
      </c>
      <c r="K282" s="26" t="n">
        <v>246.0231445546123</v>
      </c>
      <c r="L282" s="27" t="n">
        <v>0.01775995522959478</v>
      </c>
      <c r="M282" s="26" t="n">
        <v>229.2525497934017</v>
      </c>
      <c r="N282" s="27" t="n">
        <v>0.02115534004821575</v>
      </c>
      <c r="O282" s="26" t="n">
        <v>180.5337143694131</v>
      </c>
      <c r="P282" s="27" t="n">
        <v>0.02400925706812673</v>
      </c>
      <c r="Q282" s="26" t="n">
        <v>213.5980498434259</v>
      </c>
      <c r="R282" s="27" t="n">
        <v>0.02755943553967603</v>
      </c>
      <c r="S282" s="26" t="n">
        <v>198.2572069527318</v>
      </c>
      <c r="T282" s="27" t="n">
        <v>0.03239527046150777</v>
      </c>
      <c r="U282" s="26" t="n">
        <v>220.3965756009173</v>
      </c>
      <c r="V282" s="27" t="n">
        <v>0.02480257625909826</v>
      </c>
      <c r="W282" s="26" t="n">
        <v>225.504081632292</v>
      </c>
      <c r="X282" s="27" t="n">
        <v>0.02129308254631801</v>
      </c>
      <c r="Y282" s="26" t="n">
        <v>198.6019216521235</v>
      </c>
      <c r="Z282" s="27" t="n">
        <v>0.01907684564546439</v>
      </c>
      <c r="AA282" s="26" t="n">
        <v>215.6979239944613</v>
      </c>
      <c r="AB282" s="27" t="n">
        <v>0.02751652703804702</v>
      </c>
    </row>
    <row r="283">
      <c r="A283" s="26" t="n">
        <v>181.2518181838456</v>
      </c>
      <c r="B283" s="27" t="n">
        <v>0.02969148208151667</v>
      </c>
      <c r="C283" s="26" t="n">
        <v>189.512901680055</v>
      </c>
      <c r="D283" s="27" t="n">
        <v>0.02797548115188156</v>
      </c>
      <c r="E283" s="26" t="n">
        <v>224.1698493424575</v>
      </c>
      <c r="F283" s="27" t="n">
        <v>0.02158395159314008</v>
      </c>
      <c r="G283" s="26" t="n">
        <v>248.5122421590473</v>
      </c>
      <c r="H283" s="27" t="n">
        <v>0.01715878103974727</v>
      </c>
      <c r="I283" s="26" t="n">
        <v>254.2066716966839</v>
      </c>
      <c r="J283" s="27" t="n">
        <v>0.0168917961715648</v>
      </c>
      <c r="K283" s="26" t="n">
        <v>246.0993870489687</v>
      </c>
      <c r="L283" s="27" t="n">
        <v>0.01784984049847537</v>
      </c>
      <c r="M283" s="26" t="n">
        <v>229.3438554954876</v>
      </c>
      <c r="N283" s="27" t="n">
        <v>0.02126798690037491</v>
      </c>
      <c r="O283" s="26" t="n">
        <v>180.6581190635016</v>
      </c>
      <c r="P283" s="27" t="n">
        <v>0.02412096722942738</v>
      </c>
      <c r="Q283" s="26" t="n">
        <v>213.6921366190589</v>
      </c>
      <c r="R283" s="27" t="n">
        <v>0.02772021683709989</v>
      </c>
      <c r="S283" s="26" t="n">
        <v>198.3636305607632</v>
      </c>
      <c r="T283" s="27" t="n">
        <v>0.03258773823873475</v>
      </c>
      <c r="U283" s="26" t="n">
        <v>220.4816208953696</v>
      </c>
      <c r="V283" s="27" t="n">
        <v>0.02494380817334366</v>
      </c>
      <c r="W283" s="26" t="n">
        <v>225.5822671243448</v>
      </c>
      <c r="X283" s="27" t="n">
        <v>0.02140687835168567</v>
      </c>
      <c r="Y283" s="26" t="n">
        <v>198.7073628187304</v>
      </c>
      <c r="Z283" s="27" t="n">
        <v>0.01915932184327013</v>
      </c>
      <c r="AA283" s="26" t="n">
        <v>215.7781116561679</v>
      </c>
      <c r="AB283" s="27" t="n">
        <v>0.02767951724302349</v>
      </c>
    </row>
    <row r="284">
      <c r="A284" s="26" t="n">
        <v>181.4175798470509</v>
      </c>
      <c r="B284" s="27" t="n">
        <v>0.0298429811675428</v>
      </c>
      <c r="C284" s="26" t="n">
        <v>189.6529511938698</v>
      </c>
      <c r="D284" s="27" t="n">
        <v>0.02812195191109601</v>
      </c>
      <c r="E284" s="26" t="n">
        <v>224.2829069968142</v>
      </c>
      <c r="F284" s="27" t="n">
        <v>0.02169601781016437</v>
      </c>
      <c r="G284" s="26" t="n">
        <v>248.5989645896529</v>
      </c>
      <c r="H284" s="27" t="n">
        <v>0.01724314195377403</v>
      </c>
      <c r="I284" s="26" t="n">
        <v>254.2870561251838</v>
      </c>
      <c r="J284" s="27" t="n">
        <v>0.01697581932530015</v>
      </c>
      <c r="K284" s="26" t="n">
        <v>246.175629543325</v>
      </c>
      <c r="L284" s="27" t="n">
        <v>0.01794018112074475</v>
      </c>
      <c r="M284" s="26" t="n">
        <v>229.4351611975734</v>
      </c>
      <c r="N284" s="27" t="n">
        <v>0.02138122761717632</v>
      </c>
      <c r="O284" s="26" t="n">
        <v>180.7825237575901</v>
      </c>
      <c r="P284" s="27" t="n">
        <v>0.02423320721821306</v>
      </c>
      <c r="Q284" s="26" t="n">
        <v>213.7862233946918</v>
      </c>
      <c r="R284" s="27" t="n">
        <v>0.02788188459177299</v>
      </c>
      <c r="S284" s="26" t="n">
        <v>198.4700541687946</v>
      </c>
      <c r="T284" s="27" t="n">
        <v>0.03278125794370728</v>
      </c>
      <c r="U284" s="26" t="n">
        <v>220.5666661898219</v>
      </c>
      <c r="V284" s="27" t="n">
        <v>0.02508581541377052</v>
      </c>
      <c r="W284" s="26" t="n">
        <v>225.6604526163975</v>
      </c>
      <c r="X284" s="27" t="n">
        <v>0.02152127659633999</v>
      </c>
      <c r="Y284" s="26" t="n">
        <v>198.8128039853373</v>
      </c>
      <c r="Z284" s="27" t="n">
        <v>0.01924216003107122</v>
      </c>
      <c r="AA284" s="26" t="n">
        <v>215.8582993178745</v>
      </c>
      <c r="AB284" s="27" t="n">
        <v>0.02784341735989096</v>
      </c>
    </row>
    <row r="285">
      <c r="A285" s="26" t="n">
        <v>181.5833415102562</v>
      </c>
      <c r="B285" s="27" t="n">
        <v>0.02999524468920644</v>
      </c>
      <c r="C285" s="26" t="n">
        <v>189.7930007076845</v>
      </c>
      <c r="D285" s="27" t="n">
        <v>0.02826917677537177</v>
      </c>
      <c r="E285" s="26" t="n">
        <v>224.3959646511709</v>
      </c>
      <c r="F285" s="27" t="n">
        <v>0.0218086627299197</v>
      </c>
      <c r="G285" s="26" t="n">
        <v>248.6856870202584</v>
      </c>
      <c r="H285" s="27" t="n">
        <v>0.01732791919846899</v>
      </c>
      <c r="I285" s="26" t="n">
        <v>254.3674405536837</v>
      </c>
      <c r="J285" s="27" t="n">
        <v>0.01706026147184794</v>
      </c>
      <c r="K285" s="26" t="n">
        <v>246.2518720376814</v>
      </c>
      <c r="L285" s="27" t="n">
        <v>0.01803097939093292</v>
      </c>
      <c r="M285" s="26" t="n">
        <v>229.5264668996593</v>
      </c>
      <c r="N285" s="27" t="n">
        <v>0.02149506522464981</v>
      </c>
      <c r="O285" s="26" t="n">
        <v>180.9069284516787</v>
      </c>
      <c r="P285" s="27" t="n">
        <v>0.02434597956225086</v>
      </c>
      <c r="Q285" s="26" t="n">
        <v>213.8803101703247</v>
      </c>
      <c r="R285" s="27" t="n">
        <v>0.02804444309772632</v>
      </c>
      <c r="S285" s="26" t="n">
        <v>198.576477776826</v>
      </c>
      <c r="T285" s="27" t="n">
        <v>0.03297583432947106</v>
      </c>
      <c r="U285" s="26" t="n">
        <v>220.6517114842742</v>
      </c>
      <c r="V285" s="27" t="n">
        <v>0.02522860188038465</v>
      </c>
      <c r="W285" s="26" t="n">
        <v>225.7386381084503</v>
      </c>
      <c r="X285" s="27" t="n">
        <v>0.02163628037301036</v>
      </c>
      <c r="Y285" s="26" t="n">
        <v>198.9182451519442</v>
      </c>
      <c r="Z285" s="27" t="n">
        <v>0.01932536181494362</v>
      </c>
      <c r="AA285" s="26" t="n">
        <v>215.9384869795811</v>
      </c>
      <c r="AB285" s="27" t="n">
        <v>0.02800823183951638</v>
      </c>
    </row>
    <row r="286">
      <c r="A286" s="26" t="n">
        <v>181.7491031734615</v>
      </c>
      <c r="B286" s="27" t="n">
        <v>0.03014827621563368</v>
      </c>
      <c r="C286" s="26" t="n">
        <v>189.9330502214993</v>
      </c>
      <c r="D286" s="27" t="n">
        <v>0.02841715936455871</v>
      </c>
      <c r="E286" s="26" t="n">
        <v>224.5090223055277</v>
      </c>
      <c r="F286" s="27" t="n">
        <v>0.02192188925204986</v>
      </c>
      <c r="G286" s="26" t="n">
        <v>248.772409450864</v>
      </c>
      <c r="H286" s="27" t="n">
        <v>0.01741311482841052</v>
      </c>
      <c r="I286" s="26" t="n">
        <v>254.4478249821837</v>
      </c>
      <c r="J286" s="27" t="n">
        <v>0.01714512469718191</v>
      </c>
      <c r="K286" s="26" t="n">
        <v>246.3281145320377</v>
      </c>
      <c r="L286" s="27" t="n">
        <v>0.01812223761485852</v>
      </c>
      <c r="M286" s="26" t="n">
        <v>229.6177726017451</v>
      </c>
      <c r="N286" s="27" t="n">
        <v>0.02160950276275635</v>
      </c>
      <c r="O286" s="26" t="n">
        <v>181.0313331457672</v>
      </c>
      <c r="P286" s="27" t="n">
        <v>0.02445928680117201</v>
      </c>
      <c r="Q286" s="26" t="n">
        <v>213.9743969459577</v>
      </c>
      <c r="R286" s="27" t="n">
        <v>0.02820789666301186</v>
      </c>
      <c r="S286" s="26" t="n">
        <v>198.6829013848574</v>
      </c>
      <c r="T286" s="27" t="n">
        <v>0.03317147215968883</v>
      </c>
      <c r="U286" s="26" t="n">
        <v>220.7367567787265</v>
      </c>
      <c r="V286" s="27" t="n">
        <v>0.02537217148851893</v>
      </c>
      <c r="W286" s="26" t="n">
        <v>225.8168236005031</v>
      </c>
      <c r="X286" s="27" t="n">
        <v>0.02175189278892697</v>
      </c>
      <c r="Y286" s="26" t="n">
        <v>199.0236863185511</v>
      </c>
      <c r="Z286" s="27" t="n">
        <v>0.01940892880814992</v>
      </c>
      <c r="AA286" s="26" t="n">
        <v>216.0186746412877</v>
      </c>
      <c r="AB286" s="27" t="n">
        <v>0.02817396514739839</v>
      </c>
    </row>
    <row r="287">
      <c r="A287" s="26" t="n">
        <v>181.9148648366668</v>
      </c>
      <c r="B287" s="27" t="n">
        <v>0.03030207932875418</v>
      </c>
      <c r="C287" s="26" t="n">
        <v>190.0730997353141</v>
      </c>
      <c r="D287" s="27" t="n">
        <v>0.0285659033123922</v>
      </c>
      <c r="E287" s="26" t="n">
        <v>224.6220799598844</v>
      </c>
      <c r="F287" s="27" t="n">
        <v>0.02203570028937548</v>
      </c>
      <c r="G287" s="26" t="n">
        <v>248.8591318814696</v>
      </c>
      <c r="H287" s="27" t="n">
        <v>0.01749873090820639</v>
      </c>
      <c r="I287" s="26" t="n">
        <v>254.5282094106836</v>
      </c>
      <c r="J287" s="27" t="n">
        <v>0.01723041109751751</v>
      </c>
      <c r="K287" s="26" t="n">
        <v>246.4043570263941</v>
      </c>
      <c r="L287" s="27" t="n">
        <v>0.01821395810968025</v>
      </c>
      <c r="M287" s="26" t="n">
        <v>229.7090783038309</v>
      </c>
      <c r="N287" s="27" t="n">
        <v>0.02172454328543157</v>
      </c>
      <c r="O287" s="26" t="n">
        <v>181.1557378398558</v>
      </c>
      <c r="P287" s="27" t="n">
        <v>0.02457313148652287</v>
      </c>
      <c r="Q287" s="26" t="n">
        <v>214.0684837215906</v>
      </c>
      <c r="R287" s="27" t="n">
        <v>0.02837224960966527</v>
      </c>
      <c r="S287" s="26" t="n">
        <v>198.7893249928887</v>
      </c>
      <c r="T287" s="27" t="n">
        <v>0.03336817620853253</v>
      </c>
      <c r="U287" s="26" t="n">
        <v>220.8218020731788</v>
      </c>
      <c r="V287" s="27" t="n">
        <v>0.02551652816883961</v>
      </c>
      <c r="W287" s="26" t="n">
        <v>225.895009092556</v>
      </c>
      <c r="X287" s="27" t="n">
        <v>0.02186811696586976</v>
      </c>
      <c r="Y287" s="26" t="n">
        <v>199.129127485158</v>
      </c>
      <c r="Z287" s="27" t="n">
        <v>0.01949286263117114</v>
      </c>
      <c r="AA287" s="26" t="n">
        <v>216.0988623029943</v>
      </c>
      <c r="AB287" s="27" t="n">
        <v>0.02834062176362883</v>
      </c>
    </row>
    <row r="288">
      <c r="A288" s="26" t="n">
        <v>182.0806264998722</v>
      </c>
      <c r="B288" s="27" t="n">
        <v>0.03045665762329716</v>
      </c>
      <c r="C288" s="26" t="n">
        <v>190.2131492491288</v>
      </c>
      <c r="D288" s="27" t="n">
        <v>0.02871541226650143</v>
      </c>
      <c r="E288" s="26" t="n">
        <v>224.7351376142411</v>
      </c>
      <c r="F288" s="27" t="n">
        <v>0.02215009876793557</v>
      </c>
      <c r="G288" s="26" t="n">
        <v>248.9458543120751</v>
      </c>
      <c r="H288" s="27" t="n">
        <v>0.01758476951254025</v>
      </c>
      <c r="I288" s="26" t="n">
        <v>254.6085938391836</v>
      </c>
      <c r="J288" s="27" t="n">
        <v>0.01731612277935952</v>
      </c>
      <c r="K288" s="26" t="n">
        <v>246.4805995207504</v>
      </c>
      <c r="L288" s="27" t="n">
        <v>0.01830614320394735</v>
      </c>
      <c r="M288" s="26" t="n">
        <v>229.8003840059168</v>
      </c>
      <c r="N288" s="27" t="n">
        <v>0.02184018986062944</v>
      </c>
      <c r="O288" s="26" t="n">
        <v>181.2801425339443</v>
      </c>
      <c r="P288" s="27" t="n">
        <v>0.02468751618181637</v>
      </c>
      <c r="Q288" s="26" t="n">
        <v>214.1625704972236</v>
      </c>
      <c r="R288" s="27" t="n">
        <v>0.02853750627366757</v>
      </c>
      <c r="S288" s="26" t="n">
        <v>198.8957486009201</v>
      </c>
      <c r="T288" s="27" t="n">
        <v>0.03356595126057323</v>
      </c>
      <c r="U288" s="26" t="n">
        <v>220.9068473676311</v>
      </c>
      <c r="V288" s="27" t="n">
        <v>0.02566167586735223</v>
      </c>
      <c r="W288" s="26" t="n">
        <v>225.9731945846088</v>
      </c>
      <c r="X288" s="27" t="n">
        <v>0.0219849560402171</v>
      </c>
      <c r="Y288" s="26" t="n">
        <v>199.234568651765</v>
      </c>
      <c r="Z288" s="27" t="n">
        <v>0.01957716491173964</v>
      </c>
      <c r="AA288" s="26" t="n">
        <v>216.1790499647009</v>
      </c>
      <c r="AB288" s="27" t="n">
        <v>0.02850820618285226</v>
      </c>
    </row>
    <row r="289">
      <c r="A289" s="26" t="n">
        <v>182.2463881630774</v>
      </c>
      <c r="B289" s="27" t="n">
        <v>0.03061201470678667</v>
      </c>
      <c r="C289" s="26" t="n">
        <v>190.3531987629436</v>
      </c>
      <c r="D289" s="27" t="n">
        <v>0.02886568988841661</v>
      </c>
      <c r="E289" s="26" t="n">
        <v>224.8481952685979</v>
      </c>
      <c r="F289" s="27" t="n">
        <v>0.02226508762702763</v>
      </c>
      <c r="G289" s="26" t="n">
        <v>249.0325767426807</v>
      </c>
      <c r="H289" s="27" t="n">
        <v>0.01767123272621856</v>
      </c>
      <c r="I289" s="26" t="n">
        <v>254.6889782676835</v>
      </c>
      <c r="J289" s="27" t="n">
        <v>0.01740226185954968</v>
      </c>
      <c r="K289" s="26" t="n">
        <v>246.5568420151067</v>
      </c>
      <c r="L289" s="27" t="n">
        <v>0.01839879523765136</v>
      </c>
      <c r="M289" s="26" t="n">
        <v>229.8916897080026</v>
      </c>
      <c r="N289" s="27" t="n">
        <v>0.02195644557036537</v>
      </c>
      <c r="O289" s="26" t="n">
        <v>181.4045472280329</v>
      </c>
      <c r="P289" s="27" t="n">
        <v>0.02480244346258317</v>
      </c>
      <c r="Q289" s="26" t="n">
        <v>214.2566572728566</v>
      </c>
      <c r="R289" s="27" t="n">
        <v>0.02870367100490537</v>
      </c>
      <c r="S289" s="26" t="n">
        <v>199.0021722089515</v>
      </c>
      <c r="T289" s="27" t="n">
        <v>0.03376480211066949</v>
      </c>
      <c r="U289" s="26" t="n">
        <v>220.9918926620834</v>
      </c>
      <c r="V289" s="27" t="n">
        <v>0.02580761854540618</v>
      </c>
      <c r="W289" s="26" t="n">
        <v>226.0513800766616</v>
      </c>
      <c r="X289" s="27" t="n">
        <v>0.02210241316299467</v>
      </c>
      <c r="Y289" s="26" t="n">
        <v>199.3400098183719</v>
      </c>
      <c r="Z289" s="27" t="n">
        <v>0.01966183728487165</v>
      </c>
      <c r="AA289" s="26" t="n">
        <v>216.2592376264075</v>
      </c>
      <c r="AB289" s="27" t="n">
        <v>0.02867672291422385</v>
      </c>
    </row>
    <row r="290">
      <c r="A290" s="26" t="n">
        <v>182.4121498262828</v>
      </c>
      <c r="B290" s="27" t="n">
        <v>0.03076815419953644</v>
      </c>
      <c r="C290" s="26" t="n">
        <v>190.4932482767584</v>
      </c>
      <c r="D290" s="27" t="n">
        <v>0.02901673985357561</v>
      </c>
      <c r="E290" s="26" t="n">
        <v>224.9612529229545</v>
      </c>
      <c r="F290" s="27" t="n">
        <v>0.02238066981924865</v>
      </c>
      <c r="G290" s="26" t="n">
        <v>249.1192991732863</v>
      </c>
      <c r="H290" s="27" t="n">
        <v>0.01775812264421767</v>
      </c>
      <c r="I290" s="26" t="n">
        <v>254.7693626961835</v>
      </c>
      <c r="J290" s="27" t="n">
        <v>0.01748883046531471</v>
      </c>
      <c r="K290" s="26" t="n">
        <v>246.6330845094631</v>
      </c>
      <c r="L290" s="27" t="n">
        <v>0.01849191656227703</v>
      </c>
      <c r="M290" s="26" t="n">
        <v>229.9829954100884</v>
      </c>
      <c r="N290" s="27" t="n">
        <v>0.02207331351075948</v>
      </c>
      <c r="O290" s="26" t="n">
        <v>181.5289519221214</v>
      </c>
      <c r="P290" s="27" t="n">
        <v>0.0249179159164234</v>
      </c>
      <c r="Q290" s="26" t="n">
        <v>214.3507440484895</v>
      </c>
      <c r="R290" s="27" t="n">
        <v>0.02887074816712969</v>
      </c>
      <c r="S290" s="26" t="n">
        <v>199.1085958169828</v>
      </c>
      <c r="T290" s="27" t="n">
        <v>0.03396473356385343</v>
      </c>
      <c r="U290" s="26" t="n">
        <v>221.0769379565357</v>
      </c>
      <c r="V290" s="27" t="n">
        <v>0.02595436017969878</v>
      </c>
      <c r="W290" s="26" t="n">
        <v>226.1295655687144</v>
      </c>
      <c r="X290" s="27" t="n">
        <v>0.02222049149992373</v>
      </c>
      <c r="Y290" s="26" t="n">
        <v>199.4454509849788</v>
      </c>
      <c r="Z290" s="27" t="n">
        <v>0.01974688139290008</v>
      </c>
      <c r="AA290" s="26" t="n">
        <v>216.3394252881141</v>
      </c>
      <c r="AB290" s="27" t="n">
        <v>0.02884617648136692</v>
      </c>
    </row>
    <row r="291">
      <c r="A291" s="26" t="n">
        <v>182.5779114894881</v>
      </c>
      <c r="B291" s="27" t="n">
        <v>0.03092507973464351</v>
      </c>
      <c r="C291" s="26" t="n">
        <v>190.6332977905732</v>
      </c>
      <c r="D291" s="27" t="n">
        <v>0.02916856585133067</v>
      </c>
      <c r="E291" s="26" t="n">
        <v>225.0743105773113</v>
      </c>
      <c r="F291" s="27" t="n">
        <v>0.02249684831053554</v>
      </c>
      <c r="G291" s="26" t="n">
        <v>249.2060216038919</v>
      </c>
      <c r="H291" s="27" t="n">
        <v>0.01784544137173094</v>
      </c>
      <c r="I291" s="26" t="n">
        <v>254.8497471246833</v>
      </c>
      <c r="J291" s="27" t="n">
        <v>0.01757583073431426</v>
      </c>
      <c r="K291" s="26" t="n">
        <v>246.7093270038195</v>
      </c>
      <c r="L291" s="27" t="n">
        <v>0.01858550954085406</v>
      </c>
      <c r="M291" s="26" t="n">
        <v>230.0743011121743</v>
      </c>
      <c r="N291" s="27" t="n">
        <v>0.02219079679207957</v>
      </c>
      <c r="O291" s="26" t="n">
        <v>181.65335661621</v>
      </c>
      <c r="P291" s="27" t="n">
        <v>0.02503393614305785</v>
      </c>
      <c r="Q291" s="26" t="n">
        <v>214.4448308241224</v>
      </c>
      <c r="R291" s="27" t="n">
        <v>0.02903874213791359</v>
      </c>
      <c r="S291" s="26" t="n">
        <v>199.2150194250142</v>
      </c>
      <c r="T291" s="27" t="n">
        <v>0.0341657504352148</v>
      </c>
      <c r="U291" s="26" t="n">
        <v>221.161983250988</v>
      </c>
      <c r="V291" s="27" t="n">
        <v>0.02610190476227828</v>
      </c>
      <c r="W291" s="26" t="n">
        <v>226.2077510607672</v>
      </c>
      <c r="X291" s="27" t="n">
        <v>0.0223391942314694</v>
      </c>
      <c r="Y291" s="26" t="n">
        <v>199.5508921515857</v>
      </c>
      <c r="Z291" s="27" t="n">
        <v>0.01983229888550753</v>
      </c>
      <c r="AA291" s="26" t="n">
        <v>216.4196129498207</v>
      </c>
      <c r="AB291" s="27" t="n">
        <v>0.02901657142232784</v>
      </c>
    </row>
    <row r="292">
      <c r="A292" s="26" t="n">
        <v>182.7436731526934</v>
      </c>
      <c r="B292" s="27" t="n">
        <v>0.03108279495798128</v>
      </c>
      <c r="C292" s="26" t="n">
        <v>190.773347304388</v>
      </c>
      <c r="D292" s="27" t="n">
        <v>0.02932117158495286</v>
      </c>
      <c r="E292" s="26" t="n">
        <v>225.187368231668</v>
      </c>
      <c r="F292" s="27" t="n">
        <v>0.02261362608020514</v>
      </c>
      <c r="G292" s="26" t="n">
        <v>249.2927440344974</v>
      </c>
      <c r="H292" s="27" t="n">
        <v>0.01793319102421615</v>
      </c>
      <c r="I292" s="26" t="n">
        <v>254.9301315531833</v>
      </c>
      <c r="J292" s="27" t="n">
        <v>0.01766326481468917</v>
      </c>
      <c r="K292" s="26" t="n">
        <v>246.7855694981758</v>
      </c>
      <c r="L292" s="27" t="n">
        <v>0.01867957654800892</v>
      </c>
      <c r="M292" s="26" t="n">
        <v>230.1656068142601</v>
      </c>
      <c r="N292" s="27" t="n">
        <v>0.0223088985387839</v>
      </c>
      <c r="O292" s="26" t="n">
        <v>181.7777613102985</v>
      </c>
      <c r="P292" s="27" t="n">
        <v>0.02515050675438031</v>
      </c>
      <c r="Q292" s="26" t="n">
        <v>214.5389175997554</v>
      </c>
      <c r="R292" s="27" t="n">
        <v>0.0292076573086083</v>
      </c>
      <c r="S292" s="26" t="n">
        <v>199.3214430330456</v>
      </c>
      <c r="T292" s="27" t="n">
        <v>0.03436785754978312</v>
      </c>
      <c r="U292" s="26" t="n">
        <v>221.2470285454403</v>
      </c>
      <c r="V292" s="27" t="n">
        <v>0.02625025630054613</v>
      </c>
      <c r="W292" s="26" t="n">
        <v>226.28593655282</v>
      </c>
      <c r="X292" s="27" t="n">
        <v>0.02245852455288929</v>
      </c>
      <c r="Y292" s="26" t="n">
        <v>199.6563333181926</v>
      </c>
      <c r="Z292" s="27" t="n">
        <v>0.01991809141975927</v>
      </c>
      <c r="AA292" s="26" t="n">
        <v>216.4998006115273</v>
      </c>
      <c r="AB292" s="27" t="n">
        <v>0.02918791228953023</v>
      </c>
    </row>
    <row r="293">
      <c r="A293" s="26" t="n">
        <v>182.9094348158987</v>
      </c>
      <c r="B293" s="27" t="n">
        <v>0.03124130352819157</v>
      </c>
      <c r="C293" s="26" t="n">
        <v>190.9133968182027</v>
      </c>
      <c r="D293" s="27" t="n">
        <v>0.02947456077163725</v>
      </c>
      <c r="E293" s="26" t="n">
        <v>225.3004258860248</v>
      </c>
      <c r="F293" s="27" t="n">
        <v>0.02273100612099468</v>
      </c>
      <c r="G293" s="26" t="n">
        <v>249.379466465103</v>
      </c>
      <c r="H293" s="27" t="n">
        <v>0.01802137372744289</v>
      </c>
      <c r="I293" s="26" t="n">
        <v>255.0105159816833</v>
      </c>
      <c r="J293" s="27" t="n">
        <v>0.01775113486510993</v>
      </c>
      <c r="K293" s="26" t="n">
        <v>246.8618119925322</v>
      </c>
      <c r="L293" s="27" t="n">
        <v>0.01877411997001611</v>
      </c>
      <c r="M293" s="26" t="n">
        <v>230.2569125163459</v>
      </c>
      <c r="N293" s="27" t="n">
        <v>0.02242762188956367</v>
      </c>
      <c r="O293" s="26" t="n">
        <v>181.902166004387</v>
      </c>
      <c r="P293" s="27" t="n">
        <v>0.02526763037450917</v>
      </c>
      <c r="Q293" s="26" t="n">
        <v>214.6330043753883</v>
      </c>
      <c r="R293" s="27" t="n">
        <v>0.0293774980842979</v>
      </c>
      <c r="S293" s="26" t="n">
        <v>199.4278666410769</v>
      </c>
      <c r="T293" s="27" t="n">
        <v>0.03457105974240783</v>
      </c>
      <c r="U293" s="26" t="n">
        <v>221.3320738398926</v>
      </c>
      <c r="V293" s="27" t="n">
        <v>0.02639941881725827</v>
      </c>
      <c r="W293" s="26" t="n">
        <v>226.3641220448728</v>
      </c>
      <c r="X293" s="27" t="n">
        <v>0.02257848567428148</v>
      </c>
      <c r="Y293" s="26" t="n">
        <v>199.7617744847995</v>
      </c>
      <c r="Z293" s="27" t="n">
        <v>0.0200042606601368</v>
      </c>
      <c r="AA293" s="26" t="n">
        <v>216.5799882732339</v>
      </c>
      <c r="AB293" s="27" t="n">
        <v>0.02936020364972707</v>
      </c>
    </row>
    <row r="294">
      <c r="A294" s="26" t="n">
        <v>183.075196479104</v>
      </c>
      <c r="B294" s="27" t="n">
        <v>0.03140060911667599</v>
      </c>
      <c r="C294" s="26" t="n">
        <v>191.0534463320175</v>
      </c>
      <c r="D294" s="27" t="n">
        <v>0.02962873714250657</v>
      </c>
      <c r="E294" s="26" t="n">
        <v>225.4134835403814</v>
      </c>
      <c r="F294" s="27" t="n">
        <v>0.02284899143910122</v>
      </c>
      <c r="G294" s="26" t="n">
        <v>249.4661888957086</v>
      </c>
      <c r="H294" s="27" t="n">
        <v>0.01810999161754039</v>
      </c>
      <c r="I294" s="26" t="n">
        <v>255.0909004101832</v>
      </c>
      <c r="J294" s="27" t="n">
        <v>0.01783944305482516</v>
      </c>
      <c r="K294" s="26" t="n">
        <v>246.9380544868885</v>
      </c>
      <c r="L294" s="27" t="n">
        <v>0.0188691422048509</v>
      </c>
      <c r="M294" s="26" t="n">
        <v>230.3482182184318</v>
      </c>
      <c r="N294" s="27" t="n">
        <v>0.02254696999738555</v>
      </c>
      <c r="O294" s="26" t="n">
        <v>182.0265706984756</v>
      </c>
      <c r="P294" s="27" t="n">
        <v>0.0253853096398396</v>
      </c>
      <c r="Q294" s="26" t="n">
        <v>214.7270911510213</v>
      </c>
      <c r="R294" s="27" t="n">
        <v>0.02954826888375249</v>
      </c>
      <c r="S294" s="26" t="n">
        <v>199.5342902491083</v>
      </c>
      <c r="T294" s="27" t="n">
        <v>0.03477536185763606</v>
      </c>
      <c r="U294" s="26" t="n">
        <v>221.4171191343449</v>
      </c>
      <c r="V294" s="27" t="n">
        <v>0.0265493963505256</v>
      </c>
      <c r="W294" s="26" t="n">
        <v>226.4423075369256</v>
      </c>
      <c r="X294" s="27" t="n">
        <v>0.02269908082063202</v>
      </c>
      <c r="Y294" s="26" t="n">
        <v>199.8672156514064</v>
      </c>
      <c r="Z294" s="27" t="n">
        <v>0.02009080827857092</v>
      </c>
      <c r="AA294" s="26" t="n">
        <v>216.6601759349405</v>
      </c>
      <c r="AB294" s="27" t="n">
        <v>0.02953345008395236</v>
      </c>
    </row>
    <row r="295">
      <c r="A295" s="26" t="n">
        <v>183.2409581423093</v>
      </c>
      <c r="B295" s="27" t="n">
        <v>0.03156071540758617</v>
      </c>
      <c r="C295" s="26" t="n">
        <v>191.1934958458323</v>
      </c>
      <c r="D295" s="27" t="n">
        <v>0.02978370444261415</v>
      </c>
      <c r="E295" s="26" t="n">
        <v>225.5265411947382</v>
      </c>
      <c r="F295" s="27" t="n">
        <v>0.02296758505422193</v>
      </c>
      <c r="G295" s="26" t="n">
        <v>249.5529113263141</v>
      </c>
      <c r="H295" s="27" t="n">
        <v>0.01819904684104548</v>
      </c>
      <c r="I295" s="26" t="n">
        <v>255.1712848386832</v>
      </c>
      <c r="J295" s="27" t="n">
        <v>0.0179281915637105</v>
      </c>
      <c r="K295" s="26" t="n">
        <v>247.0142969812449</v>
      </c>
      <c r="L295" s="27" t="n">
        <v>0.01896464566224063</v>
      </c>
      <c r="M295" s="26" t="n">
        <v>230.4395239205176</v>
      </c>
      <c r="N295" s="27" t="n">
        <v>0.02266694602953375</v>
      </c>
      <c r="O295" s="26" t="n">
        <v>182.1509753925641</v>
      </c>
      <c r="P295" s="27" t="n">
        <v>0.02550354719909533</v>
      </c>
      <c r="Q295" s="26" t="n">
        <v>214.8211779266542</v>
      </c>
      <c r="R295" s="27" t="n">
        <v>0.02971997413938034</v>
      </c>
      <c r="S295" s="26" t="n">
        <v>199.6407138571398</v>
      </c>
      <c r="T295" s="27" t="n">
        <v>0.03498076874958862</v>
      </c>
      <c r="U295" s="26" t="n">
        <v>221.5021644287972</v>
      </c>
      <c r="V295" s="27" t="n">
        <v>0.02670019295381334</v>
      </c>
      <c r="W295" s="26" t="n">
        <v>226.5204930289784</v>
      </c>
      <c r="X295" s="27" t="n">
        <v>0.02282031323186334</v>
      </c>
      <c r="Y295" s="26" t="n">
        <v>199.9726568180133</v>
      </c>
      <c r="Z295" s="27" t="n">
        <v>0.02017773595447554</v>
      </c>
      <c r="AA295" s="26" t="n">
        <v>216.7403635966471</v>
      </c>
      <c r="AB295" s="27" t="n">
        <v>0.02970765618746991</v>
      </c>
    </row>
    <row r="296">
      <c r="A296" s="26" t="n">
        <v>183.4067198055146</v>
      </c>
      <c r="B296" s="27" t="n">
        <v>0.03172162609781363</v>
      </c>
      <c r="C296" s="26" t="n">
        <v>191.3335453596471</v>
      </c>
      <c r="D296" s="27" t="n">
        <v>0.02993946643094656</v>
      </c>
      <c r="E296" s="26" t="n">
        <v>225.6395988490949</v>
      </c>
      <c r="F296" s="27" t="n">
        <v>0.02308678999959309</v>
      </c>
      <c r="G296" s="26" t="n">
        <v>249.6396337569197</v>
      </c>
      <c r="H296" s="27" t="n">
        <v>0.01828854155495051</v>
      </c>
      <c r="I296" s="26" t="n">
        <v>255.2516692671831</v>
      </c>
      <c r="J296" s="27" t="n">
        <v>0.01801738258231741</v>
      </c>
      <c r="K296" s="26" t="n">
        <v>247.0905394756012</v>
      </c>
      <c r="L296" s="27" t="n">
        <v>0.01906063276371773</v>
      </c>
      <c r="M296" s="26" t="n">
        <v>230.5308296226034</v>
      </c>
      <c r="N296" s="27" t="n">
        <v>0.02278755316765201</v>
      </c>
      <c r="O296" s="26" t="n">
        <v>182.2753800866527</v>
      </c>
      <c r="P296" s="27" t="n">
        <v>0.02562234571338178</v>
      </c>
      <c r="Q296" s="26" t="n">
        <v>214.9152647022872</v>
      </c>
      <c r="R296" s="27" t="n">
        <v>0.02989261829717801</v>
      </c>
      <c r="S296" s="26" t="n">
        <v>199.7471374651711</v>
      </c>
      <c r="T296" s="27" t="n">
        <v>0.0351872852818338</v>
      </c>
      <c r="U296" s="26" t="n">
        <v>221.5872097232495</v>
      </c>
      <c r="V296" s="27" t="n">
        <v>0.0268518126959399</v>
      </c>
      <c r="W296" s="26" t="n">
        <v>226.5986785210312</v>
      </c>
      <c r="X296" s="27" t="n">
        <v>0.02294218616288154</v>
      </c>
      <c r="Y296" s="26" t="n">
        <v>200.0780979846202</v>
      </c>
      <c r="Z296" s="27" t="n">
        <v>0.02026504537478121</v>
      </c>
      <c r="AA296" s="26" t="n">
        <v>216.8205512583537</v>
      </c>
      <c r="AB296" s="27" t="n">
        <v>0.02988282656972155</v>
      </c>
    </row>
    <row r="297">
      <c r="A297" s="26" t="n">
        <v>183.57248146872</v>
      </c>
      <c r="B297" s="27" t="n">
        <v>0.03188334489697812</v>
      </c>
      <c r="C297" s="26" t="n">
        <v>191.4735948734618</v>
      </c>
      <c r="D297" s="27" t="n">
        <v>0.03009602688042467</v>
      </c>
      <c r="E297" s="26" t="n">
        <v>225.7526565034516</v>
      </c>
      <c r="F297" s="27" t="n">
        <v>0.02320660932202988</v>
      </c>
      <c r="G297" s="26" t="n">
        <v>249.7263561875253</v>
      </c>
      <c r="H297" s="27" t="n">
        <v>0.01837847792675155</v>
      </c>
      <c r="I297" s="26" t="n">
        <v>255.332053695683</v>
      </c>
      <c r="J297" s="27" t="n">
        <v>0.01810701831192233</v>
      </c>
      <c r="K297" s="26" t="n">
        <v>247.1667819699576</v>
      </c>
      <c r="L297" s="27" t="n">
        <v>0.0191571059426714</v>
      </c>
      <c r="M297" s="26" t="n">
        <v>230.6221353246893</v>
      </c>
      <c r="N297" s="27" t="n">
        <v>0.02290879460778532</v>
      </c>
      <c r="O297" s="26" t="n">
        <v>182.3997847807412</v>
      </c>
      <c r="P297" s="27" t="n">
        <v>0.0257417078562376</v>
      </c>
      <c r="Q297" s="26" t="n">
        <v>215.0093514779201</v>
      </c>
      <c r="R297" s="27" t="n">
        <v>0.03006620581667939</v>
      </c>
      <c r="S297" s="26" t="n">
        <v>199.8535610732025</v>
      </c>
      <c r="T297" s="27" t="n">
        <v>0.03539491632725898</v>
      </c>
      <c r="U297" s="26" t="n">
        <v>221.6722550177018</v>
      </c>
      <c r="V297" s="27" t="n">
        <v>0.02700425966107416</v>
      </c>
      <c r="W297" s="26" t="n">
        <v>226.676864013084</v>
      </c>
      <c r="X297" s="27" t="n">
        <v>0.02306470288362392</v>
      </c>
      <c r="Y297" s="26" t="n">
        <v>200.1835391512271</v>
      </c>
      <c r="Z297" s="27" t="n">
        <v>0.02035273823396921</v>
      </c>
      <c r="AA297" s="26" t="n">
        <v>216.9007389200603</v>
      </c>
      <c r="AB297" s="27" t="n">
        <v>0.03005896585427364</v>
      </c>
    </row>
    <row r="298">
      <c r="A298" s="26" t="n">
        <v>183.7382431319252</v>
      </c>
      <c r="B298" s="27" t="n">
        <v>0.03204587552741556</v>
      </c>
      <c r="C298" s="26" t="n">
        <v>191.6136443872766</v>
      </c>
      <c r="D298" s="27" t="n">
        <v>0.03025338957790486</v>
      </c>
      <c r="E298" s="26" t="n">
        <v>225.8657141578084</v>
      </c>
      <c r="F298" s="27" t="n">
        <v>0.02332704608196505</v>
      </c>
      <c r="G298" s="26" t="n">
        <v>249.8130786181309</v>
      </c>
      <c r="H298" s="27" t="n">
        <v>0.01846885813449703</v>
      </c>
      <c r="I298" s="26" t="n">
        <v>255.4124381241829</v>
      </c>
      <c r="J298" s="27" t="n">
        <v>0.01819710096457587</v>
      </c>
      <c r="K298" s="26" t="n">
        <v>247.2430244643139</v>
      </c>
      <c r="L298" s="27" t="n">
        <v>0.01925406764440077</v>
      </c>
      <c r="M298" s="26" t="n">
        <v>230.7134410267751</v>
      </c>
      <c r="N298" s="27" t="n">
        <v>0.02303067356042147</v>
      </c>
      <c r="O298" s="26" t="n">
        <v>182.5241894748298</v>
      </c>
      <c r="P298" s="27" t="n">
        <v>0.02586163631368782</v>
      </c>
      <c r="Q298" s="26" t="n">
        <v>215.1034382535531</v>
      </c>
      <c r="R298" s="27" t="n">
        <v>0.03024074117090325</v>
      </c>
      <c r="S298" s="26" t="n">
        <v>199.9599846812338</v>
      </c>
      <c r="T298" s="27" t="n">
        <v>0.03560366676794014</v>
      </c>
      <c r="U298" s="26" t="n">
        <v>221.7573003121541</v>
      </c>
      <c r="V298" s="27" t="n">
        <v>0.02715753794873236</v>
      </c>
      <c r="W298" s="26" t="n">
        <v>226.7550495051368</v>
      </c>
      <c r="X298" s="27" t="n">
        <v>0.02318786667910612</v>
      </c>
      <c r="Y298" s="26" t="n">
        <v>200.288980317834</v>
      </c>
      <c r="Z298" s="27" t="n">
        <v>0.02044081623410545</v>
      </c>
      <c r="AA298" s="26" t="n">
        <v>216.9809265817669</v>
      </c>
      <c r="AB298" s="27" t="n">
        <v>0.03023607867876179</v>
      </c>
    </row>
    <row r="299">
      <c r="A299" s="26" t="n">
        <v>183.9040047951306</v>
      </c>
      <c r="B299" s="27" t="n">
        <v>0.0322092217241649</v>
      </c>
      <c r="C299" s="26" t="n">
        <v>191.7536939010914</v>
      </c>
      <c r="D299" s="27" t="n">
        <v>0.03041155832417861</v>
      </c>
      <c r="E299" s="26" t="n">
        <v>225.9787718121651</v>
      </c>
      <c r="F299" s="27" t="n">
        <v>0.02344810335348814</v>
      </c>
      <c r="G299" s="26" t="n">
        <v>249.8998010487364</v>
      </c>
      <c r="H299" s="27" t="n">
        <v>0.01855968436683616</v>
      </c>
      <c r="I299" s="26" t="n">
        <v>255.4928225526829</v>
      </c>
      <c r="J299" s="27" t="n">
        <v>0.01828763276315241</v>
      </c>
      <c r="K299" s="26" t="n">
        <v>247.3192669586703</v>
      </c>
      <c r="L299" s="27" t="n">
        <v>0.01935152032616705</v>
      </c>
      <c r="M299" s="26" t="n">
        <v>230.8047467288609</v>
      </c>
      <c r="N299" s="27" t="n">
        <v>0.02315319325053228</v>
      </c>
      <c r="O299" s="26" t="n">
        <v>182.6485941689183</v>
      </c>
      <c r="P299" s="27" t="n">
        <v>0.02598213378429642</v>
      </c>
      <c r="Q299" s="26" t="n">
        <v>215.197525029186</v>
      </c>
      <c r="R299" s="27" t="n">
        <v>0.03041622884629886</v>
      </c>
      <c r="S299" s="26" t="n">
        <v>200.0664082892652</v>
      </c>
      <c r="T299" s="27" t="n">
        <v>0.03581354149500909</v>
      </c>
      <c r="U299" s="26" t="n">
        <v>221.8423456066064</v>
      </c>
      <c r="V299" s="27" t="n">
        <v>0.02731165167377377</v>
      </c>
      <c r="W299" s="26" t="n">
        <v>226.8332349971896</v>
      </c>
      <c r="X299" s="27" t="n">
        <v>0.02331168084946952</v>
      </c>
      <c r="Y299" s="26" t="n">
        <v>200.394421484441</v>
      </c>
      <c r="Z299" s="27" t="n">
        <v>0.02052928108487451</v>
      </c>
      <c r="AA299" s="26" t="n">
        <v>217.0611142434735</v>
      </c>
      <c r="AB299" s="27" t="n">
        <v>0.03041416969483409</v>
      </c>
    </row>
    <row r="300">
      <c r="A300" s="26" t="n">
        <v>184.0697664583359</v>
      </c>
      <c r="B300" s="27" t="n">
        <v>0.03237338723495382</v>
      </c>
      <c r="C300" s="26" t="n">
        <v>191.8937434149062</v>
      </c>
      <c r="D300" s="27" t="n">
        <v>0.03057053693397176</v>
      </c>
      <c r="E300" s="26" t="n">
        <v>226.0918294665218</v>
      </c>
      <c r="F300" s="27" t="n">
        <v>0.02356978422438416</v>
      </c>
      <c r="G300" s="26" t="n">
        <v>249.986523479342</v>
      </c>
      <c r="H300" s="27" t="n">
        <v>0.01865095882306756</v>
      </c>
      <c r="I300" s="26" t="n">
        <v>255.5732069811829</v>
      </c>
      <c r="J300" s="27" t="n">
        <v>0.01837861594139948</v>
      </c>
      <c r="K300" s="26" t="n">
        <v>247.3955094530266</v>
      </c>
      <c r="L300" s="27" t="n">
        <v>0.0194494664572469</v>
      </c>
      <c r="M300" s="26" t="n">
        <v>230.8960524309468</v>
      </c>
      <c r="N300" s="27" t="n">
        <v>0.02327635691761454</v>
      </c>
      <c r="O300" s="26" t="n">
        <v>182.7729988630069</v>
      </c>
      <c r="P300" s="27" t="n">
        <v>0.02610320297921903</v>
      </c>
      <c r="Q300" s="26" t="n">
        <v>215.291611804819</v>
      </c>
      <c r="R300" s="27" t="n">
        <v>0.03059267334269074</v>
      </c>
      <c r="S300" s="26" t="n">
        <v>200.1728318972966</v>
      </c>
      <c r="T300" s="27" t="n">
        <v>0.03602454540851883</v>
      </c>
      <c r="U300" s="26" t="n">
        <v>221.9273909010587</v>
      </c>
      <c r="V300" s="27" t="n">
        <v>0.02746660496639545</v>
      </c>
      <c r="W300" s="26" t="n">
        <v>226.9114204892424</v>
      </c>
      <c r="X300" s="27" t="n">
        <v>0.02343614871002784</v>
      </c>
      <c r="Y300" s="26" t="n">
        <v>200.4998626510479</v>
      </c>
      <c r="Z300" s="27" t="n">
        <v>0.02061813450361426</v>
      </c>
      <c r="AA300" s="26" t="n">
        <v>217.1413019051801</v>
      </c>
      <c r="AB300" s="27" t="n">
        <v>0.03059324356809276</v>
      </c>
    </row>
    <row r="301">
      <c r="A301" s="26" t="n">
        <v>184.2355281215412</v>
      </c>
      <c r="B301" s="27" t="n">
        <v>0.03253837582018426</v>
      </c>
      <c r="C301" s="26" t="n">
        <v>192.033792928721</v>
      </c>
      <c r="D301" s="27" t="n">
        <v>0.03073032923594264</v>
      </c>
      <c r="E301" s="26" t="n">
        <v>226.2048871208785</v>
      </c>
      <c r="F301" s="27" t="n">
        <v>0.02369209179617183</v>
      </c>
      <c r="G301" s="26" t="n">
        <v>250.0732459099476</v>
      </c>
      <c r="H301" s="27" t="n">
        <v>0.01874268371318851</v>
      </c>
      <c r="I301" s="26" t="n">
        <v>255.6535914096828</v>
      </c>
      <c r="J301" s="27" t="n">
        <v>0.01847005274398775</v>
      </c>
      <c r="K301" s="26" t="n">
        <v>247.471751947383</v>
      </c>
      <c r="L301" s="27" t="n">
        <v>0.01954790851898488</v>
      </c>
      <c r="M301" s="26" t="n">
        <v>230.9873581330327</v>
      </c>
      <c r="N301" s="27" t="n">
        <v>0.02340016781573117</v>
      </c>
      <c r="O301" s="26" t="n">
        <v>182.8974035570954</v>
      </c>
      <c r="P301" s="27" t="n">
        <v>0.02622484662225602</v>
      </c>
      <c r="Q301" s="26" t="n">
        <v>215.3856985804519</v>
      </c>
      <c r="R301" s="27" t="n">
        <v>0.03077007917322123</v>
      </c>
      <c r="S301" s="26" t="n">
        <v>200.279255505328</v>
      </c>
      <c r="T301" s="27" t="n">
        <v>0.03623668341730629</v>
      </c>
      <c r="U301" s="26" t="n">
        <v>222.012436195511</v>
      </c>
      <c r="V301" s="27" t="n">
        <v>0.02762240197212581</v>
      </c>
      <c r="W301" s="26" t="n">
        <v>226.9896059812952</v>
      </c>
      <c r="X301" s="27" t="n">
        <v>0.02356127359131411</v>
      </c>
      <c r="Y301" s="26" t="n">
        <v>200.6053038176548</v>
      </c>
      <c r="Z301" s="27" t="n">
        <v>0.02070737821535015</v>
      </c>
      <c r="AA301" s="26" t="n">
        <v>217.2214895668866</v>
      </c>
      <c r="AB301" s="27" t="n">
        <v>0.03077330497803423</v>
      </c>
    </row>
    <row r="302">
      <c r="A302" s="26" t="n">
        <v>184.4012897847465</v>
      </c>
      <c r="B302" s="27" t="n">
        <v>0.03270419125291579</v>
      </c>
      <c r="C302" s="26" t="n">
        <v>192.1738424425357</v>
      </c>
      <c r="D302" s="27" t="n">
        <v>0.03089093907267967</v>
      </c>
      <c r="E302" s="26" t="n">
        <v>226.3179447752352</v>
      </c>
      <c r="F302" s="27" t="n">
        <v>0.02381502918414208</v>
      </c>
      <c r="G302" s="26" t="n">
        <v>250.1599683405532</v>
      </c>
      <c r="H302" s="27" t="n">
        <v>0.01883486125794393</v>
      </c>
      <c r="I302" s="26" t="n">
        <v>255.7339758381827</v>
      </c>
      <c r="J302" s="27" t="n">
        <v>0.01856194542656077</v>
      </c>
      <c r="K302" s="26" t="n">
        <v>247.5479944417394</v>
      </c>
      <c r="L302" s="27" t="n">
        <v>0.01964684900484687</v>
      </c>
      <c r="M302" s="26" t="n">
        <v>231.0786638351185</v>
      </c>
      <c r="N302" s="27" t="n">
        <v>0.0235246292135512</v>
      </c>
      <c r="O302" s="26" t="n">
        <v>183.021808251184</v>
      </c>
      <c r="P302" s="27" t="n">
        <v>0.02634706744990548</v>
      </c>
      <c r="Q302" s="26" t="n">
        <v>215.4797853560848</v>
      </c>
      <c r="R302" s="27" t="n">
        <v>0.03094845086429183</v>
      </c>
      <c r="S302" s="26" t="n">
        <v>200.3856791133593</v>
      </c>
      <c r="T302" s="27" t="n">
        <v>0.03644996043885339</v>
      </c>
      <c r="U302" s="26" t="n">
        <v>222.0974814899633</v>
      </c>
      <c r="V302" s="27" t="n">
        <v>0.0277790468518175</v>
      </c>
      <c r="W302" s="26" t="n">
        <v>227.067791473348</v>
      </c>
      <c r="X302" s="27" t="n">
        <v>0.02368705883912689</v>
      </c>
      <c r="Y302" s="26" t="n">
        <v>200.7107449842617</v>
      </c>
      <c r="Z302" s="27" t="n">
        <v>0.02079701395282991</v>
      </c>
      <c r="AA302" s="26" t="n">
        <v>217.3016772285933</v>
      </c>
      <c r="AB302" s="27" t="n">
        <v>0.03095435861798757</v>
      </c>
    </row>
    <row r="303">
      <c r="A303" s="26" t="n">
        <v>184.5670514479518</v>
      </c>
      <c r="B303" s="27" t="n">
        <v>0.03287083731884917</v>
      </c>
      <c r="C303" s="26" t="n">
        <v>192.3138919563505</v>
      </c>
      <c r="D303" s="27" t="n">
        <v>0.03105237030069781</v>
      </c>
      <c r="E303" s="26" t="n">
        <v>226.431002429592</v>
      </c>
      <c r="F303" s="27" t="n">
        <v>0.02393859951739585</v>
      </c>
      <c r="G303" s="26" t="n">
        <v>250.2466907711587</v>
      </c>
      <c r="H303" s="27" t="n">
        <v>0.01892749368887542</v>
      </c>
      <c r="I303" s="26" t="n">
        <v>255.8143602666827</v>
      </c>
      <c r="J303" s="27" t="n">
        <v>0.01865429625578524</v>
      </c>
      <c r="K303" s="26" t="n">
        <v>247.6242369360957</v>
      </c>
      <c r="L303" s="27" t="n">
        <v>0.01974629042047331</v>
      </c>
      <c r="M303" s="26" t="n">
        <v>231.1699695372043</v>
      </c>
      <c r="N303" s="27" t="n">
        <v>0.0236497443943905</v>
      </c>
      <c r="O303" s="26" t="n">
        <v>183.1462129452725</v>
      </c>
      <c r="P303" s="27" t="n">
        <v>0.02646986821141651</v>
      </c>
      <c r="Q303" s="26" t="n">
        <v>215.5738721317178</v>
      </c>
      <c r="R303" s="27" t="n">
        <v>0.0311277929555032</v>
      </c>
      <c r="S303" s="26" t="n">
        <v>200.4921027213907</v>
      </c>
      <c r="T303" s="27" t="n">
        <v>0.03666438139914503</v>
      </c>
      <c r="U303" s="26" t="n">
        <v>222.1825267844156</v>
      </c>
      <c r="V303" s="27" t="n">
        <v>0.02793654378163904</v>
      </c>
      <c r="W303" s="26" t="n">
        <v>227.1459769654008</v>
      </c>
      <c r="X303" s="27" t="n">
        <v>0.02381350781457686</v>
      </c>
      <c r="Y303" s="26" t="n">
        <v>200.8161861508686</v>
      </c>
      <c r="Z303" s="27" t="n">
        <v>0.02088704345655841</v>
      </c>
      <c r="AA303" s="26" t="n">
        <v>217.3818648902999</v>
      </c>
      <c r="AB303" s="27" t="n">
        <v>0.03113640919505113</v>
      </c>
    </row>
    <row r="304">
      <c r="A304" s="26" t="n">
        <v>184.7328131111571</v>
      </c>
      <c r="B304" s="27" t="n">
        <v>0.03303831781630823</v>
      </c>
      <c r="C304" s="26" t="n">
        <v>192.4539414701653</v>
      </c>
      <c r="D304" s="27" t="n">
        <v>0.03121462679043425</v>
      </c>
      <c r="E304" s="26" t="n">
        <v>226.5440600839487</v>
      </c>
      <c r="F304" s="27" t="n">
        <v>0.02406280593888189</v>
      </c>
      <c r="G304" s="26" t="n">
        <v>250.3334132017643</v>
      </c>
      <c r="H304" s="27" t="n">
        <v>0.01902058324837112</v>
      </c>
      <c r="I304" s="26" t="n">
        <v>255.8947446951826</v>
      </c>
      <c r="J304" s="27" t="n">
        <v>0.01874710750940126</v>
      </c>
      <c r="K304" s="26" t="n">
        <v>247.700479430452</v>
      </c>
      <c r="L304" s="27" t="n">
        <v>0.01984623528373233</v>
      </c>
      <c r="M304" s="26" t="n">
        <v>231.2612752392901</v>
      </c>
      <c r="N304" s="27" t="n">
        <v>0.02377551665625167</v>
      </c>
      <c r="O304" s="26" t="n">
        <v>183.270617639361</v>
      </c>
      <c r="P304" s="27" t="n">
        <v>0.02659325166884237</v>
      </c>
      <c r="Q304" s="26" t="n">
        <v>215.6679589073508</v>
      </c>
      <c r="R304" s="27" t="n">
        <v>0.0313081099995929</v>
      </c>
      <c r="S304" s="26" t="n">
        <v>200.5985263294221</v>
      </c>
      <c r="T304" s="27" t="n">
        <v>0.03687995123252593</v>
      </c>
      <c r="U304" s="26" t="n">
        <v>222.2675720788679</v>
      </c>
      <c r="V304" s="27" t="n">
        <v>0.02809489695306539</v>
      </c>
      <c r="W304" s="26" t="n">
        <v>227.2241624574536</v>
      </c>
      <c r="X304" s="27" t="n">
        <v>0.02394062389413278</v>
      </c>
      <c r="Y304" s="26" t="n">
        <v>200.9216273174755</v>
      </c>
      <c r="Z304" s="27" t="n">
        <v>0.02097746847483246</v>
      </c>
      <c r="AA304" s="26" t="n">
        <v>217.4620525520064</v>
      </c>
      <c r="AB304" s="27" t="n">
        <v>0.03131946143002764</v>
      </c>
    </row>
    <row r="305">
      <c r="A305" s="26" t="n">
        <v>184.8985747743624</v>
      </c>
      <c r="B305" s="27" t="n">
        <v>0.03320663655622121</v>
      </c>
      <c r="C305" s="26" t="n">
        <v>192.59399098398</v>
      </c>
      <c r="D305" s="27" t="n">
        <v>0.03137771242624336</v>
      </c>
      <c r="E305" s="26" t="n">
        <v>226.6571177383054</v>
      </c>
      <c r="F305" s="27" t="n">
        <v>0.02418765160543426</v>
      </c>
      <c r="G305" s="26" t="n">
        <v>250.4201356323699</v>
      </c>
      <c r="H305" s="27" t="n">
        <v>0.01911413218971504</v>
      </c>
      <c r="I305" s="26" t="n">
        <v>255.9751291236825</v>
      </c>
      <c r="J305" s="27" t="n">
        <v>0.01884038147627267</v>
      </c>
      <c r="K305" s="26" t="n">
        <v>247.7767219248084</v>
      </c>
      <c r="L305" s="27" t="n">
        <v>0.0199466861247736</v>
      </c>
      <c r="M305" s="26" t="n">
        <v>231.3525809413759</v>
      </c>
      <c r="N305" s="27" t="n">
        <v>0.02390194931186347</v>
      </c>
      <c r="O305" s="26" t="n">
        <v>183.3950223334496</v>
      </c>
      <c r="P305" s="27" t="n">
        <v>0.02671722059709416</v>
      </c>
      <c r="Q305" s="26" t="n">
        <v>215.7620456829837</v>
      </c>
      <c r="R305" s="27" t="n">
        <v>0.0314894065623721</v>
      </c>
      <c r="S305" s="26" t="n">
        <v>200.7049499374535</v>
      </c>
      <c r="T305" s="27" t="n">
        <v>0.03709667488155412</v>
      </c>
      <c r="U305" s="26" t="n">
        <v>222.3526173733202</v>
      </c>
      <c r="V305" s="27" t="n">
        <v>0.02825411057286751</v>
      </c>
      <c r="W305" s="26" t="n">
        <v>227.3023479495064</v>
      </c>
      <c r="X305" s="27" t="n">
        <v>0.0240684104696673</v>
      </c>
      <c r="Y305" s="26" t="n">
        <v>201.0270684840824</v>
      </c>
      <c r="Z305" s="27" t="n">
        <v>0.02106829076377609</v>
      </c>
      <c r="AA305" s="26" t="n">
        <v>217.542240213713</v>
      </c>
      <c r="AB305" s="27" t="n">
        <v>0.03150352005735776</v>
      </c>
    </row>
    <row r="306">
      <c r="A306" s="26" t="n">
        <v>185.0643364375677</v>
      </c>
      <c r="B306" s="27" t="n">
        <v>0.03337579736210058</v>
      </c>
      <c r="C306" s="26" t="n">
        <v>192.7340404977948</v>
      </c>
      <c r="D306" s="27" t="n">
        <v>0.0315416311063904</v>
      </c>
      <c r="E306" s="26" t="n">
        <v>226.7701753926621</v>
      </c>
      <c r="F306" s="27" t="n">
        <v>0.02431313968780967</v>
      </c>
      <c r="G306" s="26" t="n">
        <v>250.5068580629754</v>
      </c>
      <c r="H306" s="27" t="n">
        <v>0.01920814277713704</v>
      </c>
      <c r="I306" s="26" t="n">
        <v>256.0555135521824</v>
      </c>
      <c r="J306" s="27" t="n">
        <v>0.01893412045643786</v>
      </c>
      <c r="K306" s="26" t="n">
        <v>247.8529644191647</v>
      </c>
      <c r="L306" s="27" t="n">
        <v>0.02004764548608165</v>
      </c>
      <c r="M306" s="26" t="n">
        <v>231.4438866434618</v>
      </c>
      <c r="N306" s="27" t="n">
        <v>0.0240290456887207</v>
      </c>
      <c r="O306" s="26" t="n">
        <v>183.5194270275381</v>
      </c>
      <c r="P306" s="27" t="n">
        <v>0.02684177778399408</v>
      </c>
      <c r="Q306" s="26" t="n">
        <v>215.8561324586167</v>
      </c>
      <c r="R306" s="27" t="n">
        <v>0.03167168722266045</v>
      </c>
      <c r="S306" s="26" t="n">
        <v>200.8113735454849</v>
      </c>
      <c r="T306" s="27" t="n">
        <v>0.03731455729685298</v>
      </c>
      <c r="U306" s="26" t="n">
        <v>222.4376626677725</v>
      </c>
      <c r="V306" s="27" t="n">
        <v>0.02841418886310094</v>
      </c>
      <c r="W306" s="26" t="n">
        <v>227.3805334415592</v>
      </c>
      <c r="X306" s="27" t="n">
        <v>0.02419687094850268</v>
      </c>
      <c r="Y306" s="26" t="n">
        <v>201.1325096506893</v>
      </c>
      <c r="Z306" s="27" t="n">
        <v>0.02115951208737573</v>
      </c>
      <c r="AA306" s="26" t="n">
        <v>217.6224278754196</v>
      </c>
      <c r="AB306" s="27" t="n">
        <v>0.03168858982505154</v>
      </c>
    </row>
    <row r="307">
      <c r="A307" s="26" t="n">
        <v>185.230098100773</v>
      </c>
      <c r="B307" s="27" t="n">
        <v>0.03354580407002249</v>
      </c>
      <c r="C307" s="26" t="n">
        <v>192.8740900116096</v>
      </c>
      <c r="D307" s="27" t="n">
        <v>0.03170638674304473</v>
      </c>
      <c r="E307" s="26" t="n">
        <v>226.8832330470189</v>
      </c>
      <c r="F307" s="27" t="n">
        <v>0.02443927337072429</v>
      </c>
      <c r="G307" s="26" t="n">
        <v>250.593580493581</v>
      </c>
      <c r="H307" s="27" t="n">
        <v>0.01930261728586257</v>
      </c>
      <c r="I307" s="26" t="n">
        <v>256.1358979806824</v>
      </c>
      <c r="J307" s="27" t="n">
        <v>0.01902832676116024</v>
      </c>
      <c r="K307" s="26" t="n">
        <v>247.9292069135211</v>
      </c>
      <c r="L307" s="27" t="n">
        <v>0.02014911592252993</v>
      </c>
      <c r="M307" s="26" t="n">
        <v>231.5351923455477</v>
      </c>
      <c r="N307" s="27" t="n">
        <v>0.024156809129123</v>
      </c>
      <c r="O307" s="26" t="n">
        <v>183.6438317216267</v>
      </c>
      <c r="P307" s="27" t="n">
        <v>0.02696692603032938</v>
      </c>
      <c r="Q307" s="26" t="n">
        <v>215.9502192342496</v>
      </c>
      <c r="R307" s="27" t="n">
        <v>0.03185495657221924</v>
      </c>
      <c r="S307" s="26" t="n">
        <v>200.9177971535162</v>
      </c>
      <c r="T307" s="27" t="n">
        <v>0.03753360343696041</v>
      </c>
      <c r="U307" s="26" t="n">
        <v>222.5227079622249</v>
      </c>
      <c r="V307" s="27" t="n">
        <v>0.0285751360610932</v>
      </c>
      <c r="W307" s="26" t="n">
        <v>227.458718933612</v>
      </c>
      <c r="X307" s="27" t="n">
        <v>0.02432600875345623</v>
      </c>
      <c r="Y307" s="26" t="n">
        <v>201.2379508172962</v>
      </c>
      <c r="Z307" s="27" t="n">
        <v>0.02125113421751584</v>
      </c>
      <c r="AA307" s="26" t="n">
        <v>217.7026155371262</v>
      </c>
      <c r="AB307" s="27" t="n">
        <v>0.03187467549461828</v>
      </c>
    </row>
    <row r="308">
      <c r="A308" s="26" t="n">
        <v>185.3958597639784</v>
      </c>
      <c r="B308" s="27" t="n">
        <v>0.03371666052860439</v>
      </c>
      <c r="C308" s="26" t="n">
        <v>193.0141395254244</v>
      </c>
      <c r="D308" s="27" t="n">
        <v>0.03187198326227181</v>
      </c>
      <c r="E308" s="26" t="n">
        <v>226.9962907013756</v>
      </c>
      <c r="F308" s="27" t="n">
        <v>0.0245660558528904</v>
      </c>
      <c r="G308" s="26" t="n">
        <v>250.6803029241865</v>
      </c>
      <c r="H308" s="27" t="n">
        <v>0.0193975580021632</v>
      </c>
      <c r="I308" s="26" t="n">
        <v>256.2162824091823</v>
      </c>
      <c r="J308" s="27" t="n">
        <v>0.01912300271297959</v>
      </c>
      <c r="K308" s="26" t="n">
        <v>248.0054494078774</v>
      </c>
      <c r="L308" s="27" t="n">
        <v>0.02025110000143452</v>
      </c>
      <c r="M308" s="26" t="n">
        <v>231.6264980476335</v>
      </c>
      <c r="N308" s="27" t="n">
        <v>0.02428524299021395</v>
      </c>
      <c r="O308" s="26" t="n">
        <v>183.7682364157153</v>
      </c>
      <c r="P308" s="27" t="n">
        <v>0.02709266814990595</v>
      </c>
      <c r="Q308" s="26" t="n">
        <v>216.0443060098826</v>
      </c>
      <c r="R308" s="27" t="n">
        <v>0.03203921921568297</v>
      </c>
      <c r="S308" s="26" t="n">
        <v>201.0242207615476</v>
      </c>
      <c r="T308" s="27" t="n">
        <v>0.03775381826817591</v>
      </c>
      <c r="U308" s="26" t="n">
        <v>222.6077532566772</v>
      </c>
      <c r="V308" s="27" t="n">
        <v>0.0287369564194302</v>
      </c>
      <c r="W308" s="26" t="n">
        <v>227.5369044256648</v>
      </c>
      <c r="X308" s="27" t="n">
        <v>0.02445582732288528</v>
      </c>
      <c r="Y308" s="26" t="n">
        <v>201.3433919839031</v>
      </c>
      <c r="Z308" s="27" t="n">
        <v>0.02134315893401408</v>
      </c>
      <c r="AA308" s="26" t="n">
        <v>217.7828031988328</v>
      </c>
      <c r="AB308" s="27" t="n">
        <v>0.03206178184099513</v>
      </c>
    </row>
    <row r="309">
      <c r="A309" s="26" t="n">
        <v>185.5616214271836</v>
      </c>
      <c r="B309" s="27" t="n">
        <v>0.03388837059898253</v>
      </c>
      <c r="C309" s="26" t="n">
        <v>193.1541890392392</v>
      </c>
      <c r="D309" s="27" t="n">
        <v>0.03203842460402423</v>
      </c>
      <c r="E309" s="26" t="n">
        <v>227.1093483557323</v>
      </c>
      <c r="F309" s="27" t="n">
        <v>0.02469349034705321</v>
      </c>
      <c r="G309" s="26" t="n">
        <v>250.7670253547921</v>
      </c>
      <c r="H309" s="27" t="n">
        <v>0.0194929672234064</v>
      </c>
      <c r="I309" s="26" t="n">
        <v>256.2966668376823</v>
      </c>
      <c r="J309" s="27" t="n">
        <v>0.0192181506457628</v>
      </c>
      <c r="K309" s="26" t="n">
        <v>248.0816919022338</v>
      </c>
      <c r="L309" s="27" t="n">
        <v>0.02035360030260827</v>
      </c>
      <c r="M309" s="26" t="n">
        <v>231.7178037497193</v>
      </c>
      <c r="N309" s="27" t="n">
        <v>0.02441435064401947</v>
      </c>
      <c r="O309" s="26" t="n">
        <v>183.8926411098038</v>
      </c>
      <c r="P309" s="27" t="n">
        <v>0.02721900696960215</v>
      </c>
      <c r="Q309" s="26" t="n">
        <v>216.1383927855155</v>
      </c>
      <c r="R309" s="27" t="n">
        <v>0.03222447977048919</v>
      </c>
      <c r="S309" s="26" t="n">
        <v>201.130644369579</v>
      </c>
      <c r="T309" s="27" t="n">
        <v>0.03797520676440538</v>
      </c>
      <c r="U309" s="26" t="n">
        <v>222.6927985511294</v>
      </c>
      <c r="V309" s="27" t="n">
        <v>0.02889965420594106</v>
      </c>
      <c r="W309" s="26" t="n">
        <v>227.6150899177176</v>
      </c>
      <c r="X309" s="27" t="n">
        <v>0.02458633011073243</v>
      </c>
      <c r="Y309" s="26" t="n">
        <v>201.44883315051</v>
      </c>
      <c r="Z309" s="27" t="n">
        <v>0.02143558802465754</v>
      </c>
      <c r="AA309" s="26" t="n">
        <v>217.8629908605394</v>
      </c>
      <c r="AB309" s="27" t="n">
        <v>0.0322499136524731</v>
      </c>
    </row>
    <row r="310">
      <c r="A310" s="26" t="n">
        <v>185.727383090389</v>
      </c>
      <c r="B310" s="27" t="n">
        <v>0.03406093815478772</v>
      </c>
      <c r="C310" s="26" t="n">
        <v>193.294238553054</v>
      </c>
      <c r="D310" s="27" t="n">
        <v>0.03220571472213225</v>
      </c>
      <c r="E310" s="26" t="n">
        <v>227.2224060100891</v>
      </c>
      <c r="F310" s="27" t="n">
        <v>0.02482158008002634</v>
      </c>
      <c r="G310" s="26" t="n">
        <v>250.8537477853977</v>
      </c>
      <c r="H310" s="27" t="n">
        <v>0.01958884725810654</v>
      </c>
      <c r="I310" s="26" t="n">
        <v>256.3770512661822</v>
      </c>
      <c r="J310" s="27" t="n">
        <v>0.01931377290475532</v>
      </c>
      <c r="K310" s="26" t="n">
        <v>248.1579343965902</v>
      </c>
      <c r="L310" s="27" t="n">
        <v>0.02045661941841495</v>
      </c>
      <c r="M310" s="26" t="n">
        <v>231.8091094518052</v>
      </c>
      <c r="N310" s="27" t="n">
        <v>0.02454413547748605</v>
      </c>
      <c r="O310" s="26" t="n">
        <v>184.0170458038923</v>
      </c>
      <c r="P310" s="27" t="n">
        <v>0.02734594532942315</v>
      </c>
      <c r="Q310" s="26" t="n">
        <v>216.2324795611485</v>
      </c>
      <c r="R310" s="27" t="n">
        <v>0.03241074286680684</v>
      </c>
      <c r="S310" s="26" t="n">
        <v>201.2370679776103</v>
      </c>
      <c r="T310" s="27" t="n">
        <v>0.03819777390700325</v>
      </c>
      <c r="U310" s="26" t="n">
        <v>222.7778438455817</v>
      </c>
      <c r="V310" s="27" t="n">
        <v>0.02906323370368263</v>
      </c>
      <c r="W310" s="26" t="n">
        <v>227.6932754097704</v>
      </c>
      <c r="X310" s="27" t="n">
        <v>0.02471752058656967</v>
      </c>
      <c r="Y310" s="26" t="n">
        <v>201.5542743171169</v>
      </c>
      <c r="Z310" s="27" t="n">
        <v>0.0215284232852384</v>
      </c>
      <c r="AA310" s="26" t="n">
        <v>217.943178522246</v>
      </c>
      <c r="AB310" s="27" t="n">
        <v>0.03243907573062196</v>
      </c>
    </row>
    <row r="311">
      <c r="A311" s="26" t="n">
        <v>185.8931447535942</v>
      </c>
      <c r="B311" s="27" t="n">
        <v>0.03423436708212015</v>
      </c>
      <c r="C311" s="26" t="n">
        <v>193.4342880668687</v>
      </c>
      <c r="D311" s="27" t="n">
        <v>0.03237385758429264</v>
      </c>
      <c r="E311" s="26" t="n">
        <v>227.3354636644457</v>
      </c>
      <c r="F311" s="27" t="n">
        <v>0.02495032829272839</v>
      </c>
      <c r="G311" s="26" t="n">
        <v>250.9404702160033</v>
      </c>
      <c r="H311" s="27" t="n">
        <v>0.01968520042597527</v>
      </c>
      <c r="I311" s="26" t="n">
        <v>256.4574356946822</v>
      </c>
      <c r="J311" s="27" t="n">
        <v>0.01940987184663269</v>
      </c>
      <c r="K311" s="26" t="n">
        <v>248.2341768909465</v>
      </c>
      <c r="L311" s="27" t="n">
        <v>0.02056015995382346</v>
      </c>
      <c r="M311" s="26" t="n">
        <v>231.900415153891</v>
      </c>
      <c r="N311" s="27" t="n">
        <v>0.02467460089251872</v>
      </c>
      <c r="O311" s="26" t="n">
        <v>184.1414504979809</v>
      </c>
      <c r="P311" s="27" t="n">
        <v>0.02747348608255467</v>
      </c>
      <c r="Q311" s="26" t="n">
        <v>216.3265663367814</v>
      </c>
      <c r="R311" s="27" t="n">
        <v>0.03259801314746227</v>
      </c>
      <c r="S311" s="26" t="n">
        <v>201.3434915856417</v>
      </c>
      <c r="T311" s="27" t="n">
        <v>0.03842152468461268</v>
      </c>
      <c r="U311" s="26" t="n">
        <v>222.8628891400341</v>
      </c>
      <c r="V311" s="27" t="n">
        <v>0.02922769921092204</v>
      </c>
      <c r="W311" s="26" t="n">
        <v>227.7714609018232</v>
      </c>
      <c r="X311" s="27" t="n">
        <v>0.02484940223564338</v>
      </c>
      <c r="Y311" s="26" t="n">
        <v>201.6597154837239</v>
      </c>
      <c r="Z311" s="27" t="n">
        <v>0.02162166651959014</v>
      </c>
      <c r="AA311" s="26" t="n">
        <v>218.0233661839526</v>
      </c>
      <c r="AB311" s="27" t="n">
        <v>0.03262927289021276</v>
      </c>
    </row>
    <row r="312">
      <c r="A312" s="26" t="n">
        <v>186.0589064167996</v>
      </c>
      <c r="B312" s="27" t="n">
        <v>0.03440866127952329</v>
      </c>
      <c r="C312" s="26" t="n">
        <v>193.5743375806835</v>
      </c>
      <c r="D312" s="27" t="n">
        <v>0.03254285717205723</v>
      </c>
      <c r="E312" s="26" t="n">
        <v>227.4485213188025</v>
      </c>
      <c r="F312" s="27" t="n">
        <v>0.02507973824021787</v>
      </c>
      <c r="G312" s="26" t="n">
        <v>251.0271926466089</v>
      </c>
      <c r="H312" s="27" t="n">
        <v>0.01978202905797232</v>
      </c>
      <c r="I312" s="26" t="n">
        <v>256.5378201231821</v>
      </c>
      <c r="J312" s="27" t="n">
        <v>0.01950644983955187</v>
      </c>
      <c r="K312" s="26" t="n">
        <v>248.3104193853029</v>
      </c>
      <c r="L312" s="27" t="n">
        <v>0.02066422452646232</v>
      </c>
      <c r="M312" s="26" t="n">
        <v>231.9917208559768</v>
      </c>
      <c r="N312" s="27" t="n">
        <v>0.02480575030601857</v>
      </c>
      <c r="O312" s="26" t="n">
        <v>184.2658551920694</v>
      </c>
      <c r="P312" s="27" t="n">
        <v>0.02760163209541721</v>
      </c>
      <c r="Q312" s="26" t="n">
        <v>216.4206531124144</v>
      </c>
      <c r="R312" s="27" t="n">
        <v>0.03278629526786447</v>
      </c>
      <c r="S312" s="26" t="n">
        <v>201.4499151936731</v>
      </c>
      <c r="T312" s="27" t="n">
        <v>0.03864646409300298</v>
      </c>
      <c r="U312" s="26" t="n">
        <v>222.9479344344864</v>
      </c>
      <c r="V312" s="27" t="n">
        <v>0.0293930550411186</v>
      </c>
      <c r="W312" s="26" t="n">
        <v>227.849646393876</v>
      </c>
      <c r="X312" s="27" t="n">
        <v>0.02498197855891796</v>
      </c>
      <c r="Y312" s="26" t="n">
        <v>201.7651566503308</v>
      </c>
      <c r="Z312" s="27" t="n">
        <v>0.02171531953962353</v>
      </c>
      <c r="AA312" s="26" t="n">
        <v>218.1035538456592</v>
      </c>
      <c r="AB312" s="27" t="n">
        <v>0.03282050995913947</v>
      </c>
    </row>
    <row r="313">
      <c r="A313" s="26" t="n">
        <v>186.2246680800049</v>
      </c>
      <c r="B313" s="27" t="n">
        <v>0.0345838246579566</v>
      </c>
      <c r="C313" s="26" t="n">
        <v>193.7143870944983</v>
      </c>
      <c r="D313" s="27" t="n">
        <v>0.03271271748081994</v>
      </c>
      <c r="E313" s="26" t="n">
        <v>227.5615789731592</v>
      </c>
      <c r="F313" s="27" t="n">
        <v>0.02520981319172859</v>
      </c>
      <c r="G313" s="26" t="n">
        <v>251.1139150772144</v>
      </c>
      <c r="H313" s="27" t="n">
        <v>0.01987933549635676</v>
      </c>
      <c r="I313" s="26" t="n">
        <v>256.6182045516821</v>
      </c>
      <c r="J313" s="27" t="n">
        <v>0.01960350926320328</v>
      </c>
      <c r="K313" s="26" t="n">
        <v>248.3866618796592</v>
      </c>
      <c r="L313" s="27" t="n">
        <v>0.02076881576667417</v>
      </c>
      <c r="M313" s="26" t="n">
        <v>232.0830265580627</v>
      </c>
      <c r="N313" s="27" t="n">
        <v>0.02493758714991995</v>
      </c>
      <c r="O313" s="26" t="n">
        <v>184.3902598861579</v>
      </c>
      <c r="P313" s="27" t="n">
        <v>0.02773038624772079</v>
      </c>
      <c r="Q313" s="26" t="n">
        <v>216.5147398880473</v>
      </c>
      <c r="R313" s="27" t="n">
        <v>0.03297559389592756</v>
      </c>
      <c r="S313" s="26" t="n">
        <v>201.5563388017045</v>
      </c>
      <c r="T313" s="27" t="n">
        <v>0.03887259713490454</v>
      </c>
      <c r="U313" s="26" t="n">
        <v>223.0329797289387</v>
      </c>
      <c r="V313" s="27" t="n">
        <v>0.02955930552290425</v>
      </c>
      <c r="W313" s="26" t="n">
        <v>227.9278318859288</v>
      </c>
      <c r="X313" s="27" t="n">
        <v>0.02511525307311979</v>
      </c>
      <c r="Y313" s="26" t="n">
        <v>201.8705978169377</v>
      </c>
      <c r="Z313" s="27" t="n">
        <v>0.02180938416536344</v>
      </c>
      <c r="AA313" s="26" t="n">
        <v>218.1837415073658</v>
      </c>
      <c r="AB313" s="27" t="n">
        <v>0.03301279177833725</v>
      </c>
    </row>
    <row r="314">
      <c r="A314" s="26" t="n">
        <v>186.3904297432102</v>
      </c>
      <c r="B314" s="27" t="n">
        <v>0.03475986114076726</v>
      </c>
      <c r="C314" s="26" t="n">
        <v>193.8544366083131</v>
      </c>
      <c r="D314" s="27" t="n">
        <v>0.03288344251980329</v>
      </c>
      <c r="E314" s="26" t="n">
        <v>227.674636627516</v>
      </c>
      <c r="F314" s="27" t="n">
        <v>0.02534055643070492</v>
      </c>
      <c r="G314" s="26" t="n">
        <v>251.20063750782</v>
      </c>
      <c r="H314" s="27" t="n">
        <v>0.01997712209473767</v>
      </c>
      <c r="I314" s="26" t="n">
        <v>256.698588980182</v>
      </c>
      <c r="J314" s="27" t="n">
        <v>0.01970105250886248</v>
      </c>
      <c r="K314" s="26" t="n">
        <v>248.4629043740155</v>
      </c>
      <c r="L314" s="27" t="n">
        <v>0.02087393631757057</v>
      </c>
      <c r="M314" s="26" t="n">
        <v>232.1743322601485</v>
      </c>
      <c r="N314" s="27" t="n">
        <v>0.02507011487122759</v>
      </c>
      <c r="O314" s="26" t="n">
        <v>184.5146645802465</v>
      </c>
      <c r="P314" s="27" t="n">
        <v>0.02785975143251889</v>
      </c>
      <c r="Q314" s="26" t="n">
        <v>216.6088266636802</v>
      </c>
      <c r="R314" s="27" t="n">
        <v>0.03316591371199232</v>
      </c>
      <c r="S314" s="26" t="n">
        <v>201.6627624097358</v>
      </c>
      <c r="T314" s="27" t="n">
        <v>0.03909992881984215</v>
      </c>
      <c r="U314" s="26" t="n">
        <v>223.118025023391</v>
      </c>
      <c r="V314" s="27" t="n">
        <v>0.02972645500006311</v>
      </c>
      <c r="W314" s="26" t="n">
        <v>228.0060173779816</v>
      </c>
      <c r="X314" s="27" t="n">
        <v>0.02524922931078089</v>
      </c>
      <c r="Y314" s="26" t="n">
        <v>201.9760389835446</v>
      </c>
      <c r="Z314" s="27" t="n">
        <v>0.02190386222498515</v>
      </c>
      <c r="AA314" s="26" t="n">
        <v>218.2639291690724</v>
      </c>
      <c r="AB314" s="27" t="n">
        <v>0.03320612320170049</v>
      </c>
    </row>
    <row r="315">
      <c r="A315" s="26" t="n">
        <v>186.5561914064155</v>
      </c>
      <c r="B315" s="27" t="n">
        <v>0.03493677466366026</v>
      </c>
      <c r="C315" s="26" t="n">
        <v>193.9944861221279</v>
      </c>
      <c r="D315" s="27" t="n">
        <v>0.03305503631204339</v>
      </c>
      <c r="E315" s="26" t="n">
        <v>227.7876942818727</v>
      </c>
      <c r="F315" s="27" t="n">
        <v>0.02547197125483592</v>
      </c>
      <c r="G315" s="26" t="n">
        <v>251.2873599384256</v>
      </c>
      <c r="H315" s="27" t="n">
        <v>0.02007539121812611</v>
      </c>
      <c r="I315" s="26" t="n">
        <v>256.778973408682</v>
      </c>
      <c r="J315" s="27" t="n">
        <v>0.01979908197944254</v>
      </c>
      <c r="K315" s="26" t="n">
        <v>248.5391468683719</v>
      </c>
      <c r="L315" s="27" t="n">
        <v>0.02097958883508647</v>
      </c>
      <c r="M315" s="26" t="n">
        <v>232.2656379622344</v>
      </c>
      <c r="N315" s="27" t="n">
        <v>0.02520333693205272</v>
      </c>
      <c r="O315" s="26" t="n">
        <v>184.639069274335</v>
      </c>
      <c r="P315" s="27" t="n">
        <v>0.02798973055626304</v>
      </c>
      <c r="Q315" s="26" t="n">
        <v>216.7029134393132</v>
      </c>
      <c r="R315" s="27" t="n">
        <v>0.03335725940874516</v>
      </c>
      <c r="S315" s="26" t="n">
        <v>201.7691860177672</v>
      </c>
      <c r="T315" s="27" t="n">
        <v>0.03932846416396438</v>
      </c>
      <c r="U315" s="26" t="n">
        <v>223.2030703178433</v>
      </c>
      <c r="V315" s="27" t="n">
        <v>0.02989450783150931</v>
      </c>
      <c r="W315" s="26" t="n">
        <v>228.0842028700344</v>
      </c>
      <c r="X315" s="27" t="n">
        <v>0.02538391082028215</v>
      </c>
      <c r="Y315" s="26" t="n">
        <v>202.0814801501515</v>
      </c>
      <c r="Z315" s="27" t="n">
        <v>0.02199875555485105</v>
      </c>
      <c r="AA315" s="26" t="n">
        <v>218.344116830779</v>
      </c>
      <c r="AB315" s="27" t="n">
        <v>0.03340050909599795</v>
      </c>
    </row>
    <row r="316">
      <c r="A316" s="26" t="n">
        <v>186.7219530696208</v>
      </c>
      <c r="B316" s="27" t="n">
        <v>0.03511456917466822</v>
      </c>
      <c r="C316" s="26" t="n">
        <v>194.1345356359426</v>
      </c>
      <c r="D316" s="27" t="n">
        <v>0.0332275028943745</v>
      </c>
      <c r="E316" s="26" t="n">
        <v>227.9007519362294</v>
      </c>
      <c r="F316" s="27" t="n">
        <v>0.02560406097608973</v>
      </c>
      <c r="G316" s="26" t="n">
        <v>251.3740823690311</v>
      </c>
      <c r="H316" s="27" t="n">
        <v>0.020174145242986</v>
      </c>
      <c r="I316" s="26" t="n">
        <v>256.8593578371818</v>
      </c>
      <c r="J316" s="27" t="n">
        <v>0.01989760008954593</v>
      </c>
      <c r="K316" s="26" t="n">
        <v>248.6153893627283</v>
      </c>
      <c r="L316" s="27" t="n">
        <v>0.02108577598803544</v>
      </c>
      <c r="M316" s="26" t="n">
        <v>232.3569436643202</v>
      </c>
      <c r="N316" s="27" t="n">
        <v>0.02533725680964954</v>
      </c>
      <c r="O316" s="26" t="n">
        <v>184.7634739684236</v>
      </c>
      <c r="P316" s="27" t="n">
        <v>0.0281203265388578</v>
      </c>
      <c r="Q316" s="26" t="n">
        <v>216.7970002149461</v>
      </c>
      <c r="R316" s="27" t="n">
        <v>0.03354963569113593</v>
      </c>
      <c r="S316" s="26" t="n">
        <v>201.8756096257986</v>
      </c>
      <c r="T316" s="27" t="n">
        <v>0.03955820818987186</v>
      </c>
      <c r="U316" s="26" t="n">
        <v>223.2881156122956</v>
      </c>
      <c r="V316" s="27" t="n">
        <v>0.03006346839126424</v>
      </c>
      <c r="W316" s="26" t="n">
        <v>228.1623883620872</v>
      </c>
      <c r="X316" s="27" t="n">
        <v>0.02551930116589596</v>
      </c>
      <c r="Y316" s="26" t="n">
        <v>202.1869213167584</v>
      </c>
      <c r="Z316" s="27" t="n">
        <v>0.02209406599954775</v>
      </c>
      <c r="AA316" s="26" t="n">
        <v>218.4243044924856</v>
      </c>
      <c r="AB316" s="27" t="n">
        <v>0.03359595434078642</v>
      </c>
    </row>
    <row r="317">
      <c r="A317" s="26" t="n">
        <v>186.8877147328261</v>
      </c>
      <c r="B317" s="27" t="n">
        <v>0.0352932486341192</v>
      </c>
      <c r="C317" s="26" t="n">
        <v>194.2745851497574</v>
      </c>
      <c r="D317" s="27" t="n">
        <v>0.03340084631741171</v>
      </c>
      <c r="E317" s="26" t="n">
        <v>228.0138095905861</v>
      </c>
      <c r="F317" s="27" t="n">
        <v>0.02573682892074754</v>
      </c>
      <c r="G317" s="26" t="n">
        <v>251.4608047996367</v>
      </c>
      <c r="H317" s="27" t="n">
        <v>0.02027338655728624</v>
      </c>
      <c r="I317" s="26" t="n">
        <v>256.9397422656818</v>
      </c>
      <c r="J317" s="27" t="n">
        <v>0.01999660926551725</v>
      </c>
      <c r="K317" s="26" t="n">
        <v>248.6916318570846</v>
      </c>
      <c r="L317" s="27" t="n">
        <v>0.02119250045816425</v>
      </c>
      <c r="M317" s="26" t="n">
        <v>232.448249366406</v>
      </c>
      <c r="N317" s="27" t="n">
        <v>0.02547187799645105</v>
      </c>
      <c r="O317" s="26" t="n">
        <v>184.8878786625121</v>
      </c>
      <c r="P317" s="27" t="n">
        <v>0.028251542313715</v>
      </c>
      <c r="Q317" s="26" t="n">
        <v>216.8910869905791</v>
      </c>
      <c r="R317" s="27" t="n">
        <v>0.03374304727629347</v>
      </c>
      <c r="S317" s="26" t="n">
        <v>201.98203323383</v>
      </c>
      <c r="T317" s="27" t="n">
        <v>0.03978916592644246</v>
      </c>
      <c r="U317" s="26" t="n">
        <v>223.3731609067479</v>
      </c>
      <c r="V317" s="27" t="n">
        <v>0.03023334106843172</v>
      </c>
      <c r="W317" s="26" t="n">
        <v>228.2405738541401</v>
      </c>
      <c r="X317" s="27" t="n">
        <v>0.02565540392782938</v>
      </c>
      <c r="Y317" s="26" t="n">
        <v>202.2923624833653</v>
      </c>
      <c r="Z317" s="27" t="n">
        <v>0.02218979541192302</v>
      </c>
      <c r="AA317" s="26" t="n">
        <v>218.5044921541922</v>
      </c>
      <c r="AB317" s="27" t="n">
        <v>0.03379246382832169</v>
      </c>
    </row>
    <row r="318">
      <c r="A318" s="26" t="n">
        <v>187.0534763960314</v>
      </c>
      <c r="B318" s="27" t="n">
        <v>0.03547281701460372</v>
      </c>
      <c r="C318" s="26" t="n">
        <v>194.4146346635722</v>
      </c>
      <c r="D318" s="27" t="n">
        <v>0.03357507064553342</v>
      </c>
      <c r="E318" s="26" t="n">
        <v>228.1268672449428</v>
      </c>
      <c r="F318" s="27" t="n">
        <v>0.02587027842943719</v>
      </c>
      <c r="G318" s="26" t="n">
        <v>251.5475272302423</v>
      </c>
      <c r="H318" s="27" t="n">
        <v>0.02037311756055227</v>
      </c>
      <c r="I318" s="26" t="n">
        <v>257.0201266941817</v>
      </c>
      <c r="J318" s="27" t="n">
        <v>0.02009611194549555</v>
      </c>
      <c r="K318" s="26" t="n">
        <v>248.767874351441</v>
      </c>
      <c r="L318" s="27" t="n">
        <v>0.02129976494020859</v>
      </c>
      <c r="M318" s="26" t="n">
        <v>232.5395550684919</v>
      </c>
      <c r="N318" s="27" t="n">
        <v>0.02560720400010416</v>
      </c>
      <c r="O318" s="26" t="n">
        <v>185.0122833566007</v>
      </c>
      <c r="P318" s="27" t="n">
        <v>0.02838338082780892</v>
      </c>
      <c r="Q318" s="26" t="n">
        <v>216.9851737662121</v>
      </c>
      <c r="R318" s="27" t="n">
        <v>0.03393749889343953</v>
      </c>
      <c r="S318" s="26" t="n">
        <v>202.0884568418613</v>
      </c>
      <c r="T318" s="27" t="n">
        <v>0.04002134240865383</v>
      </c>
      <c r="U318" s="26" t="n">
        <v>223.4582062012003</v>
      </c>
      <c r="V318" s="27" t="n">
        <v>0.03040413026717284</v>
      </c>
      <c r="W318" s="26" t="n">
        <v>228.3187593461928</v>
      </c>
      <c r="X318" s="27" t="n">
        <v>0.02579222270226574</v>
      </c>
      <c r="Y318" s="26" t="n">
        <v>202.3978036499722</v>
      </c>
      <c r="Z318" s="27" t="n">
        <v>0.02228594565312308</v>
      </c>
      <c r="AA318" s="26" t="n">
        <v>218.5846798158988</v>
      </c>
      <c r="AB318" s="27" t="n">
        <v>0.03399004246346917</v>
      </c>
    </row>
    <row r="319">
      <c r="A319" s="26" t="n">
        <v>187.2192380592368</v>
      </c>
      <c r="B319" s="27" t="n">
        <v>0.03565327830094064</v>
      </c>
      <c r="C319" s="26" t="n">
        <v>194.5546841773869</v>
      </c>
      <c r="D319" s="27" t="n">
        <v>0.0337501799568623</v>
      </c>
      <c r="E319" s="26" t="n">
        <v>228.2399248992996</v>
      </c>
      <c r="F319" s="27" t="n">
        <v>0.02600441285716611</v>
      </c>
      <c r="G319" s="26" t="n">
        <v>251.6342496608478</v>
      </c>
      <c r="H319" s="27" t="n">
        <v>0.02047334066391822</v>
      </c>
      <c r="I319" s="26" t="n">
        <v>257.1005111226817</v>
      </c>
      <c r="J319" s="27" t="n">
        <v>0.02019611057946723</v>
      </c>
      <c r="K319" s="26" t="n">
        <v>248.8441168457973</v>
      </c>
      <c r="L319" s="27" t="n">
        <v>0.02140757214194763</v>
      </c>
      <c r="M319" s="26" t="n">
        <v>232.6308607705777</v>
      </c>
      <c r="N319" s="27" t="n">
        <v>0.02574323834350514</v>
      </c>
      <c r="O319" s="26" t="n">
        <v>185.1366880506892</v>
      </c>
      <c r="P319" s="27" t="n">
        <v>0.02851584504173094</v>
      </c>
      <c r="Q319" s="26" t="n">
        <v>217.079260541845</v>
      </c>
      <c r="R319" s="27" t="n">
        <v>0.03413299528380074</v>
      </c>
      <c r="S319" s="26" t="n">
        <v>202.1948804498927</v>
      </c>
      <c r="T319" s="27" t="n">
        <v>0.040254742677404</v>
      </c>
      <c r="U319" s="26" t="n">
        <v>223.5432514956526</v>
      </c>
      <c r="V319" s="27" t="n">
        <v>0.03057584040667898</v>
      </c>
      <c r="W319" s="26" t="n">
        <v>228.3969448382456</v>
      </c>
      <c r="X319" s="27" t="n">
        <v>0.02592976110140724</v>
      </c>
      <c r="Y319" s="26" t="n">
        <v>202.5032448165792</v>
      </c>
      <c r="Z319" s="27" t="n">
        <v>0.02238251859262999</v>
      </c>
      <c r="AA319" s="26" t="n">
        <v>218.6648674776054</v>
      </c>
      <c r="AB319" s="27" t="n">
        <v>0.03418869516361094</v>
      </c>
    </row>
    <row r="320">
      <c r="A320" s="26" t="n">
        <v>187.384999722442</v>
      </c>
      <c r="B320" s="27" t="n">
        <v>0.03583463649014193</v>
      </c>
      <c r="C320" s="26" t="n">
        <v>194.6947336912017</v>
      </c>
      <c r="D320" s="27" t="n">
        <v>0.03392617834324483</v>
      </c>
      <c r="E320" s="26" t="n">
        <v>228.3529825536563</v>
      </c>
      <c r="F320" s="27" t="n">
        <v>0.02613923557335458</v>
      </c>
      <c r="G320" s="26" t="n">
        <v>251.7209720914534</v>
      </c>
      <c r="H320" s="27" t="n">
        <v>0.02057405829017886</v>
      </c>
      <c r="I320" s="26" t="n">
        <v>257.1808955511816</v>
      </c>
      <c r="J320" s="27" t="n">
        <v>0.0202966076293188</v>
      </c>
      <c r="K320" s="26" t="n">
        <v>248.9203593401537</v>
      </c>
      <c r="L320" s="27" t="n">
        <v>0.02151592478425994</v>
      </c>
      <c r="M320" s="26" t="n">
        <v>232.7221664726635</v>
      </c>
      <c r="N320" s="27" t="n">
        <v>0.02587998456483378</v>
      </c>
      <c r="O320" s="26" t="n">
        <v>185.2610927447778</v>
      </c>
      <c r="P320" s="27" t="n">
        <v>0.0286489379297447</v>
      </c>
      <c r="Q320" s="26" t="n">
        <v>217.1733473174779</v>
      </c>
      <c r="R320" s="27" t="n">
        <v>0.03432954120051854</v>
      </c>
      <c r="S320" s="26" t="n">
        <v>202.3013040579241</v>
      </c>
      <c r="T320" s="27" t="n">
        <v>0.04048937177932838</v>
      </c>
      <c r="U320" s="26" t="n">
        <v>223.6282967901048</v>
      </c>
      <c r="V320" s="27" t="n">
        <v>0.03074847592114325</v>
      </c>
      <c r="W320" s="26" t="n">
        <v>228.4751303302984</v>
      </c>
      <c r="X320" s="27" t="n">
        <v>0.02606802275351636</v>
      </c>
      <c r="Y320" s="26" t="n">
        <v>202.6086859831861</v>
      </c>
      <c r="Z320" s="27" t="n">
        <v>0.02247951610829918</v>
      </c>
      <c r="AA320" s="26" t="n">
        <v>218.745055139312</v>
      </c>
      <c r="AB320" s="27" t="n">
        <v>0.03438842685855135</v>
      </c>
    </row>
    <row r="321">
      <c r="A321" s="26" t="n">
        <v>187.5507613856474</v>
      </c>
      <c r="B321" s="27" t="n">
        <v>0.03601689559137555</v>
      </c>
      <c r="C321" s="26" t="n">
        <v>194.8347832050165</v>
      </c>
      <c r="D321" s="27" t="n">
        <v>0.03410306991023075</v>
      </c>
      <c r="E321" s="26" t="n">
        <v>228.466040208013</v>
      </c>
      <c r="F321" s="27" t="n">
        <v>0.02627474996186777</v>
      </c>
      <c r="G321" s="26" t="n">
        <v>251.807694522059</v>
      </c>
      <c r="H321" s="27" t="n">
        <v>0.02067527287384222</v>
      </c>
      <c r="I321" s="26" t="n">
        <v>257.2612799796816</v>
      </c>
      <c r="J321" s="27" t="n">
        <v>0.02039760556888991</v>
      </c>
      <c r="K321" s="26" t="n">
        <v>248.99660183451</v>
      </c>
      <c r="L321" s="27" t="n">
        <v>0.02162482560117843</v>
      </c>
      <c r="M321" s="26" t="n">
        <v>232.8134721747494</v>
      </c>
      <c r="N321" s="27" t="n">
        <v>0.02601744621758791</v>
      </c>
      <c r="O321" s="26" t="n">
        <v>185.3854974388663</v>
      </c>
      <c r="P321" s="27" t="n">
        <v>0.02878266247984091</v>
      </c>
      <c r="Q321" s="26" t="n">
        <v>217.2674340931109</v>
      </c>
      <c r="R321" s="27" t="n">
        <v>0.03452714140855753</v>
      </c>
      <c r="S321" s="26" t="n">
        <v>202.4077276659555</v>
      </c>
      <c r="T321" s="27" t="n">
        <v>0.04072523476661552</v>
      </c>
      <c r="U321" s="26" t="n">
        <v>223.7133420845571</v>
      </c>
      <c r="V321" s="27" t="n">
        <v>0.03092204125973149</v>
      </c>
      <c r="W321" s="26" t="n">
        <v>228.5533158223513</v>
      </c>
      <c r="X321" s="27" t="n">
        <v>0.02620701130295683</v>
      </c>
      <c r="Y321" s="26" t="n">
        <v>202.714127149793</v>
      </c>
      <c r="Z321" s="27" t="n">
        <v>0.02257694008639744</v>
      </c>
      <c r="AA321" s="26" t="n">
        <v>218.8252428010186</v>
      </c>
      <c r="AB321" s="27" t="n">
        <v>0.03458924249042115</v>
      </c>
    </row>
    <row r="322">
      <c r="A322" s="26" t="n">
        <v>187.7165230488527</v>
      </c>
      <c r="B322" s="27" t="n">
        <v>0.03620005962592818</v>
      </c>
      <c r="C322" s="26" t="n">
        <v>194.9748327188313</v>
      </c>
      <c r="D322" s="27" t="n">
        <v>0.03428085877705014</v>
      </c>
      <c r="E322" s="26" t="n">
        <v>228.5790978623697</v>
      </c>
      <c r="F322" s="27" t="n">
        <v>0.02641095942104802</v>
      </c>
      <c r="G322" s="26" t="n">
        <v>251.8944169526645</v>
      </c>
      <c r="H322" s="27" t="n">
        <v>0.02077698686118187</v>
      </c>
      <c r="I322" s="26" t="n">
        <v>257.3416644081815</v>
      </c>
      <c r="J322" s="27" t="n">
        <v>0.02049910688402655</v>
      </c>
      <c r="K322" s="26" t="n">
        <v>249.0728443288663</v>
      </c>
      <c r="L322" s="27" t="n">
        <v>0.02173427733994631</v>
      </c>
      <c r="M322" s="26" t="n">
        <v>232.9047778768352</v>
      </c>
      <c r="N322" s="27" t="n">
        <v>0.02615562687061707</v>
      </c>
      <c r="O322" s="26" t="n">
        <v>185.5099021329549</v>
      </c>
      <c r="P322" s="27" t="n">
        <v>0.02891702169379296</v>
      </c>
      <c r="Q322" s="26" t="n">
        <v>217.3615208687438</v>
      </c>
      <c r="R322" s="27" t="n">
        <v>0.03472580068461143</v>
      </c>
      <c r="S322" s="26" t="n">
        <v>202.5141512739868</v>
      </c>
      <c r="T322" s="27" t="n">
        <v>0.04096233669681909</v>
      </c>
      <c r="U322" s="26" t="n">
        <v>223.7983873790095</v>
      </c>
      <c r="V322" s="27" t="n">
        <v>0.03109654088655087</v>
      </c>
      <c r="W322" s="26" t="n">
        <v>228.6315013144041</v>
      </c>
      <c r="X322" s="27" t="n">
        <v>0.02634673041023501</v>
      </c>
      <c r="Y322" s="26" t="n">
        <v>202.8195683163999</v>
      </c>
      <c r="Z322" s="27" t="n">
        <v>0.02267479242164038</v>
      </c>
      <c r="AA322" s="26" t="n">
        <v>218.9054304627252</v>
      </c>
      <c r="AB322" s="27" t="n">
        <v>0.03479114701357899</v>
      </c>
    </row>
    <row r="323">
      <c r="A323" s="26" t="n">
        <v>187.882284712058</v>
      </c>
      <c r="B323" s="27" t="n">
        <v>0.03638413262716567</v>
      </c>
      <c r="C323" s="26" t="n">
        <v>195.114882232646</v>
      </c>
      <c r="D323" s="27" t="n">
        <v>0.0344595490765903</v>
      </c>
      <c r="E323" s="26" t="n">
        <v>228.6921555167265</v>
      </c>
      <c r="F323" s="27" t="n">
        <v>0.02654786736374663</v>
      </c>
      <c r="G323" s="26" t="n">
        <v>251.9811393832701</v>
      </c>
      <c r="H323" s="27" t="n">
        <v>0.02087920271028961</v>
      </c>
      <c r="I323" s="26" t="n">
        <v>257.4220488366815</v>
      </c>
      <c r="J323" s="27" t="n">
        <v>0.0206011140726345</v>
      </c>
      <c r="K323" s="26" t="n">
        <v>249.1490868232227</v>
      </c>
      <c r="L323" s="27" t="n">
        <v>0.02184428276107248</v>
      </c>
      <c r="M323" s="26" t="n">
        <v>232.9960835789211</v>
      </c>
      <c r="N323" s="27" t="n">
        <v>0.0262945301081559</v>
      </c>
      <c r="O323" s="26" t="n">
        <v>185.6343068270434</v>
      </c>
      <c r="P323" s="27" t="n">
        <v>0.02905201858721174</v>
      </c>
      <c r="Q323" s="26" t="n">
        <v>217.4556076443768</v>
      </c>
      <c r="R323" s="27" t="n">
        <v>0.03492552381700747</v>
      </c>
      <c r="S323" s="26" t="n">
        <v>202.6205748820182</v>
      </c>
      <c r="T323" s="27" t="n">
        <v>0.04120068263266793</v>
      </c>
      <c r="U323" s="26" t="n">
        <v>223.8834326734618</v>
      </c>
      <c r="V323" s="27" t="n">
        <v>0.03127197928061829</v>
      </c>
      <c r="W323" s="26" t="n">
        <v>228.7096868064569</v>
      </c>
      <c r="X323" s="27" t="n">
        <v>0.02648718375204029</v>
      </c>
      <c r="Y323" s="26" t="n">
        <v>202.9250094830068</v>
      </c>
      <c r="Z323" s="27" t="n">
        <v>0.02277307501723106</v>
      </c>
      <c r="AA323" s="26" t="n">
        <v>218.9856181244318</v>
      </c>
      <c r="AB323" s="27" t="n">
        <v>0.03499414539451062</v>
      </c>
    </row>
    <row r="324">
      <c r="A324" s="26" t="n">
        <v>188.0480463752633</v>
      </c>
      <c r="B324" s="27" t="n">
        <v>0.03656911864049266</v>
      </c>
      <c r="C324" s="26" t="n">
        <v>195.2549317464608</v>
      </c>
      <c r="D324" s="27" t="n">
        <v>0.03463914495537112</v>
      </c>
      <c r="E324" s="26" t="n">
        <v>228.8052131710832</v>
      </c>
      <c r="F324" s="27" t="n">
        <v>0.02668547721735484</v>
      </c>
      <c r="G324" s="26" t="n">
        <v>252.0678618138757</v>
      </c>
      <c r="H324" s="27" t="n">
        <v>0.02098192289112821</v>
      </c>
      <c r="I324" s="26" t="n">
        <v>257.5024332651814</v>
      </c>
      <c r="J324" s="27" t="n">
        <v>0.02070362964473256</v>
      </c>
      <c r="K324" s="26" t="n">
        <v>249.2253293175791</v>
      </c>
      <c r="L324" s="27" t="n">
        <v>0.02195484463838739</v>
      </c>
      <c r="M324" s="26" t="n">
        <v>233.0873892810069</v>
      </c>
      <c r="N324" s="27" t="n">
        <v>0.02643415952985718</v>
      </c>
      <c r="O324" s="26" t="n">
        <v>185.7587115211319</v>
      </c>
      <c r="P324" s="27" t="n">
        <v>0.02918765618960112</v>
      </c>
      <c r="Q324" s="26" t="n">
        <v>217.5496944200098</v>
      </c>
      <c r="R324" s="27" t="n">
        <v>0.03512631560560888</v>
      </c>
      <c r="S324" s="26" t="n">
        <v>202.7269984900496</v>
      </c>
      <c r="T324" s="27" t="n">
        <v>0.0414402776418734</v>
      </c>
      <c r="U324" s="26" t="n">
        <v>223.9684779679141</v>
      </c>
      <c r="V324" s="27" t="n">
        <v>0.03144836093582604</v>
      </c>
      <c r="W324" s="26" t="n">
        <v>228.7878722985097</v>
      </c>
      <c r="X324" s="27" t="n">
        <v>0.02662837502128522</v>
      </c>
      <c r="Y324" s="26" t="n">
        <v>203.0304506496137</v>
      </c>
      <c r="Z324" s="27" t="n">
        <v>0.02287178978489787</v>
      </c>
      <c r="AA324" s="26" t="n">
        <v>219.0658057861384</v>
      </c>
      <c r="AB324" s="27" t="n">
        <v>0.03519824261172711</v>
      </c>
    </row>
    <row r="325">
      <c r="A325" s="26" t="n">
        <v>188.2138080384686</v>
      </c>
      <c r="B325" s="27" t="n">
        <v>0.03675502172331131</v>
      </c>
      <c r="C325" s="26" t="n">
        <v>195.3949812602756</v>
      </c>
      <c r="D325" s="27" t="n">
        <v>0.03481965057351911</v>
      </c>
      <c r="E325" s="26" t="n">
        <v>228.9182708254399</v>
      </c>
      <c r="F325" s="27" t="n">
        <v>0.02682379242383505</v>
      </c>
      <c r="G325" s="26" t="n">
        <v>252.1545842444813</v>
      </c>
      <c r="H325" s="27" t="n">
        <v>0.02108514988558465</v>
      </c>
      <c r="I325" s="26" t="n">
        <v>257.5828176936814</v>
      </c>
      <c r="J325" s="27" t="n">
        <v>0.02080665612250638</v>
      </c>
      <c r="K325" s="26" t="n">
        <v>249.3015718119354</v>
      </c>
      <c r="L325" s="27" t="n">
        <v>0.02206596575909874</v>
      </c>
      <c r="M325" s="26" t="n">
        <v>233.1786949830927</v>
      </c>
      <c r="N325" s="27" t="n">
        <v>0.02657451875082402</v>
      </c>
      <c r="O325" s="26" t="n">
        <v>185.8831162152205</v>
      </c>
      <c r="P325" s="27" t="n">
        <v>0.02932393754441326</v>
      </c>
      <c r="Q325" s="26" t="n">
        <v>217.6437811956427</v>
      </c>
      <c r="R325" s="27" t="n">
        <v>0.03532818086171469</v>
      </c>
      <c r="S325" s="26" t="n">
        <v>202.833422098081</v>
      </c>
      <c r="T325" s="27" t="n">
        <v>0.04168112679693377</v>
      </c>
      <c r="U325" s="26" t="n">
        <v>224.0535232623664</v>
      </c>
      <c r="V325" s="27" t="n">
        <v>0.03162569036090761</v>
      </c>
      <c r="W325" s="26" t="n">
        <v>228.8660577905625</v>
      </c>
      <c r="X325" s="27" t="n">
        <v>0.02677030792714519</v>
      </c>
      <c r="Y325" s="26" t="n">
        <v>203.1358918162206</v>
      </c>
      <c r="Z325" s="27" t="n">
        <v>0.02297093864493314</v>
      </c>
      <c r="AA325" s="26" t="n">
        <v>219.145993447845</v>
      </c>
      <c r="AB325" s="27" t="n">
        <v>0.03540344365565982</v>
      </c>
    </row>
    <row r="326">
      <c r="A326" s="26" t="n">
        <v>188.3795697016739</v>
      </c>
      <c r="B326" s="27" t="n">
        <v>0.03694184594497796</v>
      </c>
      <c r="C326" s="26" t="n">
        <v>195.5350307740904</v>
      </c>
      <c r="D326" s="27" t="n">
        <v>0.03500107010474054</v>
      </c>
      <c r="E326" s="26" t="n">
        <v>229.0313284797966</v>
      </c>
      <c r="F326" s="27" t="n">
        <v>0.02696281643975092</v>
      </c>
      <c r="G326" s="26" t="n">
        <v>252.2413066750869</v>
      </c>
      <c r="H326" s="27" t="n">
        <v>0.02118888618752274</v>
      </c>
      <c r="I326" s="26" t="n">
        <v>257.6632021221812</v>
      </c>
      <c r="J326" s="27" t="n">
        <v>0.02091019604036223</v>
      </c>
      <c r="K326" s="26" t="n">
        <v>249.3778143062918</v>
      </c>
      <c r="L326" s="27" t="n">
        <v>0.02217764892384774</v>
      </c>
      <c r="M326" s="26" t="n">
        <v>233.2700006851786</v>
      </c>
      <c r="N326" s="27" t="n">
        <v>0.02671561140164216</v>
      </c>
      <c r="O326" s="26" t="n">
        <v>186.0075209093091</v>
      </c>
      <c r="P326" s="27" t="n">
        <v>0.02946086570910437</v>
      </c>
      <c r="Q326" s="26" t="n">
        <v>217.7378679712756</v>
      </c>
      <c r="R326" s="27" t="n">
        <v>0.03553112440795838</v>
      </c>
      <c r="S326" s="26" t="n">
        <v>202.9398457061123</v>
      </c>
      <c r="T326" s="27" t="n">
        <v>0.04192323517493617</v>
      </c>
      <c r="U326" s="26" t="n">
        <v>224.1385685568187</v>
      </c>
      <c r="V326" s="27" t="n">
        <v>0.03180397207940073</v>
      </c>
      <c r="W326" s="26" t="n">
        <v>228.9442432826153</v>
      </c>
      <c r="X326" s="27" t="n">
        <v>0.02691298619509813</v>
      </c>
      <c r="Y326" s="26" t="n">
        <v>203.2413329828275</v>
      </c>
      <c r="Z326" s="27" t="n">
        <v>0.02307052352623174</v>
      </c>
      <c r="AA326" s="26" t="n">
        <v>219.2261811095516</v>
      </c>
      <c r="AB326" s="27" t="n">
        <v>0.03560975352855402</v>
      </c>
    </row>
    <row r="327">
      <c r="A327" s="26" t="n">
        <v>188.5453313648792</v>
      </c>
      <c r="B327" s="27" t="n">
        <v>0.03712959538675883</v>
      </c>
      <c r="C327" s="26" t="n">
        <v>195.6750802879051</v>
      </c>
      <c r="D327" s="27" t="n">
        <v>0.03518340773629344</v>
      </c>
      <c r="E327" s="26" t="n">
        <v>229.1443861341534</v>
      </c>
      <c r="F327" s="27" t="n">
        <v>0.02710255273629775</v>
      </c>
      <c r="G327" s="26" t="n">
        <v>252.3280291056924</v>
      </c>
      <c r="H327" s="27" t="n">
        <v>0.02129313430283701</v>
      </c>
      <c r="I327" s="26" t="n">
        <v>257.7435865506812</v>
      </c>
      <c r="J327" s="27" t="n">
        <v>0.02101425194498086</v>
      </c>
      <c r="K327" s="26" t="n">
        <v>249.4540568006481</v>
      </c>
      <c r="L327" s="27" t="n">
        <v>0.02228989694676478</v>
      </c>
      <c r="M327" s="26" t="n">
        <v>233.3613063872644</v>
      </c>
      <c r="N327" s="27" t="n">
        <v>0.02685744112841141</v>
      </c>
      <c r="O327" s="26" t="n">
        <v>186.1319256033976</v>
      </c>
      <c r="P327" s="27" t="n">
        <v>0.02959844375518987</v>
      </c>
      <c r="Q327" s="26" t="n">
        <v>217.8319547469086</v>
      </c>
      <c r="R327" s="27" t="n">
        <v>0.03573515107820397</v>
      </c>
      <c r="S327" s="26" t="n">
        <v>203.0462693141437</v>
      </c>
      <c r="T327" s="27" t="n">
        <v>0.04216660785735597</v>
      </c>
      <c r="U327" s="26" t="n">
        <v>224.223613851271</v>
      </c>
      <c r="V327" s="27" t="n">
        <v>0.03198321062960987</v>
      </c>
      <c r="W327" s="26" t="n">
        <v>229.0224287746681</v>
      </c>
      <c r="X327" s="27" t="n">
        <v>0.02705641356696332</v>
      </c>
      <c r="Y327" s="26" t="n">
        <v>203.3467741494344</v>
      </c>
      <c r="Z327" s="27" t="n">
        <v>0.02317054636632986</v>
      </c>
      <c r="AA327" s="26" t="n">
        <v>219.3063687712582</v>
      </c>
      <c r="AB327" s="27" t="n">
        <v>0.03581717724435973</v>
      </c>
    </row>
    <row r="328">
      <c r="A328" s="26" t="n">
        <v>188.7110930280845</v>
      </c>
      <c r="B328" s="27" t="n">
        <v>0.03731827414178469</v>
      </c>
      <c r="C328" s="26" t="n">
        <v>195.8151298017199</v>
      </c>
      <c r="D328" s="27" t="n">
        <v>0.03536666766895772</v>
      </c>
      <c r="E328" s="26" t="n">
        <v>229.2574437885101</v>
      </c>
      <c r="F328" s="27" t="n">
        <v>0.02724300479933184</v>
      </c>
      <c r="G328" s="26" t="n">
        <v>252.414751536298</v>
      </c>
      <c r="H328" s="27" t="n">
        <v>0.02139789674950573</v>
      </c>
      <c r="I328" s="26" t="n">
        <v>257.8239709791811</v>
      </c>
      <c r="J328" s="27" t="n">
        <v>0.02111882639537167</v>
      </c>
      <c r="K328" s="26" t="n">
        <v>249.5302992950045</v>
      </c>
      <c r="L328" s="27" t="n">
        <v>0.02240271265552564</v>
      </c>
      <c r="M328" s="26" t="n">
        <v>233.4526120893502</v>
      </c>
      <c r="N328" s="27" t="n">
        <v>0.02700001159277674</v>
      </c>
      <c r="O328" s="26" t="n">
        <v>186.2563302974861</v>
      </c>
      <c r="P328" s="27" t="n">
        <v>0.02973667476830013</v>
      </c>
      <c r="Q328" s="26" t="n">
        <v>217.9260415225415</v>
      </c>
      <c r="R328" s="27" t="n">
        <v>0.03594026571744019</v>
      </c>
      <c r="S328" s="26" t="n">
        <v>203.1526929221751</v>
      </c>
      <c r="T328" s="27" t="n">
        <v>0.04241124992985323</v>
      </c>
      <c r="U328" s="26" t="n">
        <v>224.3086591457233</v>
      </c>
      <c r="V328" s="27" t="n">
        <v>0.03216341056456682</v>
      </c>
      <c r="W328" s="26" t="n">
        <v>229.1006142667209</v>
      </c>
      <c r="X328" s="27" t="n">
        <v>0.0272005938009399</v>
      </c>
      <c r="Y328" s="26" t="n">
        <v>203.4522153160413</v>
      </c>
      <c r="Z328" s="27" t="n">
        <v>0.0232710091114439</v>
      </c>
      <c r="AA328" s="26" t="n">
        <v>219.3865564329648</v>
      </c>
      <c r="AB328" s="27" t="n">
        <v>0.0360257198286212</v>
      </c>
    </row>
    <row r="329">
      <c r="A329" s="26" t="n">
        <v>188.8768546912899</v>
      </c>
      <c r="B329" s="27" t="n">
        <v>0.03750788631500356</v>
      </c>
      <c r="C329" s="26" t="n">
        <v>195.9551793155347</v>
      </c>
      <c r="D329" s="27" t="n">
        <v>0.03555085411700509</v>
      </c>
      <c r="E329" s="26" t="n">
        <v>229.3705014428668</v>
      </c>
      <c r="F329" s="27" t="n">
        <v>0.02738417612939972</v>
      </c>
      <c r="G329" s="26" t="n">
        <v>252.5014739669036</v>
      </c>
      <c r="H329" s="27" t="n">
        <v>0.02150317605764463</v>
      </c>
      <c r="I329" s="26" t="n">
        <v>257.9043554076811</v>
      </c>
      <c r="J329" s="27" t="n">
        <v>0.02122392196292687</v>
      </c>
      <c r="K329" s="26" t="n">
        <v>249.6065417893608</v>
      </c>
      <c r="L329" s="27" t="n">
        <v>0.02251609889140796</v>
      </c>
      <c r="M329" s="26" t="n">
        <v>233.5439177914361</v>
      </c>
      <c r="N329" s="27" t="n">
        <v>0.02714332647195888</v>
      </c>
      <c r="O329" s="26" t="n">
        <v>186.3807349915747</v>
      </c>
      <c r="P329" s="27" t="n">
        <v>0.02987556184823628</v>
      </c>
      <c r="Q329" s="26" t="n">
        <v>218.0201282981745</v>
      </c>
      <c r="R329" s="27" t="n">
        <v>0.03614647318167261</v>
      </c>
      <c r="S329" s="26" t="n">
        <v>203.2591165302065</v>
      </c>
      <c r="T329" s="27" t="n">
        <v>0.04265716648206631</v>
      </c>
      <c r="U329" s="26" t="n">
        <v>224.3937044401756</v>
      </c>
      <c r="V329" s="27" t="n">
        <v>0.03234457645199016</v>
      </c>
      <c r="W329" s="26" t="n">
        <v>229.1787997587737</v>
      </c>
      <c r="X329" s="27" t="n">
        <v>0.02734553067164523</v>
      </c>
      <c r="Y329" s="26" t="n">
        <v>203.5576564826482</v>
      </c>
      <c r="Z329" s="27" t="n">
        <v>0.02337191371650971</v>
      </c>
      <c r="AA329" s="26" t="n">
        <v>219.4667440946714</v>
      </c>
      <c r="AB329" s="27" t="n">
        <v>0.03623538631836382</v>
      </c>
    </row>
    <row r="330">
      <c r="A330" s="26" t="n">
        <v>189.0426163544952</v>
      </c>
      <c r="B330" s="27" t="n">
        <v>0.03769843602313253</v>
      </c>
      <c r="C330" s="26" t="n">
        <v>196.0952288293495</v>
      </c>
      <c r="D330" s="27" t="n">
        <v>0.03573597130816659</v>
      </c>
      <c r="E330" s="26" t="n">
        <v>229.4835590972236</v>
      </c>
      <c r="F330" s="27" t="n">
        <v>0.02752607024176673</v>
      </c>
      <c r="G330" s="26" t="n">
        <v>252.5881963975092</v>
      </c>
      <c r="H330" s="27" t="n">
        <v>0.02160897476956065</v>
      </c>
      <c r="I330" s="26" t="n">
        <v>257.984739836181</v>
      </c>
      <c r="J330" s="27" t="n">
        <v>0.02132954123147584</v>
      </c>
      <c r="K330" s="26" t="n">
        <v>249.6827842837172</v>
      </c>
      <c r="L330" s="27" t="n">
        <v>0.02263005850934718</v>
      </c>
      <c r="M330" s="26" t="n">
        <v>233.6352234935219</v>
      </c>
      <c r="N330" s="27" t="n">
        <v>0.02728738945878428</v>
      </c>
      <c r="O330" s="26" t="n">
        <v>186.5051396856632</v>
      </c>
      <c r="P330" s="27" t="n">
        <v>0.03001510810902586</v>
      </c>
      <c r="Q330" s="26" t="n">
        <v>218.1142150738074</v>
      </c>
      <c r="R330" s="27" t="n">
        <v>0.03635377833781343</v>
      </c>
      <c r="S330" s="26" t="n">
        <v>203.3655401382378</v>
      </c>
      <c r="T330" s="27" t="n">
        <v>0.04290436260740326</v>
      </c>
      <c r="U330" s="26" t="n">
        <v>224.4787497346279</v>
      </c>
      <c r="V330" s="27" t="n">
        <v>0.03252671287424264</v>
      </c>
      <c r="W330" s="26" t="n">
        <v>229.2569852508265</v>
      </c>
      <c r="X330" s="27" t="n">
        <v>0.0274912279701525</v>
      </c>
      <c r="Y330" s="26" t="n">
        <v>203.6630976492551</v>
      </c>
      <c r="Z330" s="27" t="n">
        <v>0.02347326214522188</v>
      </c>
      <c r="AA330" s="26" t="n">
        <v>219.546931756378</v>
      </c>
      <c r="AB330" s="27" t="n">
        <v>0.03644618176197807</v>
      </c>
    </row>
    <row r="331">
      <c r="A331" s="26" t="n">
        <v>189.2083780177005</v>
      </c>
      <c r="B331" s="27" t="n">
        <v>0.03788992739460814</v>
      </c>
      <c r="C331" s="26" t="n">
        <v>196.2352783431643</v>
      </c>
      <c r="D331" s="27" t="n">
        <v>0.03592202348360021</v>
      </c>
      <c r="E331" s="26" t="n">
        <v>229.5966167515803</v>
      </c>
      <c r="F331" s="27" t="n">
        <v>0.02766869066644542</v>
      </c>
      <c r="G331" s="26" t="n">
        <v>252.6749188281147</v>
      </c>
      <c r="H331" s="27" t="n">
        <v>0.02171529543980596</v>
      </c>
      <c r="I331" s="26" t="n">
        <v>258.065124264681</v>
      </c>
      <c r="J331" s="27" t="n">
        <v>0.02143568679733964</v>
      </c>
      <c r="K331" s="26" t="n">
        <v>249.7590267780735</v>
      </c>
      <c r="L331" s="27" t="n">
        <v>0.02274459437799318</v>
      </c>
      <c r="M331" s="26" t="n">
        <v>233.7265291956078</v>
      </c>
      <c r="N331" s="27" t="n">
        <v>0.02743220426171502</v>
      </c>
      <c r="O331" s="26" t="n">
        <v>186.6295443797518</v>
      </c>
      <c r="P331" s="27" t="n">
        <v>0.03015531667897859</v>
      </c>
      <c r="Q331" s="26" t="n">
        <v>218.2083018494404</v>
      </c>
      <c r="R331" s="27" t="n">
        <v>0.03656218606356954</v>
      </c>
      <c r="S331" s="26" t="n">
        <v>203.4719637462692</v>
      </c>
      <c r="T331" s="27" t="n">
        <v>0.04315284340283006</v>
      </c>
      <c r="U331" s="26" t="n">
        <v>224.5637950290802</v>
      </c>
      <c r="V331" s="27" t="n">
        <v>0.03270982442828817</v>
      </c>
      <c r="W331" s="26" t="n">
        <v>229.3351707428793</v>
      </c>
      <c r="X331" s="27" t="n">
        <v>0.02763768950402799</v>
      </c>
      <c r="Y331" s="26" t="n">
        <v>203.7685388158621</v>
      </c>
      <c r="Z331" s="27" t="n">
        <v>0.02357505637007321</v>
      </c>
      <c r="AA331" s="26" t="n">
        <v>219.6271194180845</v>
      </c>
      <c r="AB331" s="27" t="n">
        <v>0.03665811121910301</v>
      </c>
    </row>
    <row r="332">
      <c r="A332" s="26" t="n">
        <v>189.3741396809058</v>
      </c>
      <c r="B332" s="27" t="n">
        <v>0.03808236456953498</v>
      </c>
      <c r="C332" s="26" t="n">
        <v>196.375327856979</v>
      </c>
      <c r="D332" s="27" t="n">
        <v>0.03610901489785549</v>
      </c>
      <c r="E332" s="26" t="n">
        <v>229.709674405937</v>
      </c>
      <c r="F332" s="27" t="n">
        <v>0.0278120409482232</v>
      </c>
      <c r="G332" s="26" t="n">
        <v>252.7616412587203</v>
      </c>
      <c r="H332" s="27" t="n">
        <v>0.02182214063523178</v>
      </c>
      <c r="I332" s="26" t="n">
        <v>258.1455086931809</v>
      </c>
      <c r="J332" s="27" t="n">
        <v>0.02154236126938578</v>
      </c>
      <c r="K332" s="26" t="n">
        <v>249.8352692724299</v>
      </c>
      <c r="L332" s="27" t="n">
        <v>0.02285970937976645</v>
      </c>
      <c r="M332" s="26" t="n">
        <v>233.8178348976936</v>
      </c>
      <c r="N332" s="27" t="n">
        <v>0.02757777460487747</v>
      </c>
      <c r="O332" s="26" t="n">
        <v>186.7539490738403</v>
      </c>
      <c r="P332" s="27" t="n">
        <v>0.03029619070074204</v>
      </c>
      <c r="Q332" s="26" t="n">
        <v>218.3023886250733</v>
      </c>
      <c r="R332" s="27" t="n">
        <v>0.03677170124732828</v>
      </c>
      <c r="S332" s="26" t="n">
        <v>203.5783873543006</v>
      </c>
      <c r="T332" s="27" t="n">
        <v>0.04340261396865586</v>
      </c>
      <c r="U332" s="26" t="n">
        <v>224.6488403235325</v>
      </c>
      <c r="V332" s="27" t="n">
        <v>0.03289391572564596</v>
      </c>
      <c r="W332" s="26" t="n">
        <v>229.4133562349321</v>
      </c>
      <c r="X332" s="27" t="n">
        <v>0.02778491909736813</v>
      </c>
      <c r="Y332" s="26" t="n">
        <v>203.8739799824689</v>
      </c>
      <c r="Z332" s="27" t="n">
        <v>0.02367729837239453</v>
      </c>
      <c r="AA332" s="26" t="n">
        <v>219.7073070797911</v>
      </c>
      <c r="AB332" s="27" t="n">
        <v>0.03687117976050586</v>
      </c>
    </row>
    <row r="333">
      <c r="A333" s="26" t="n">
        <v>189.539901344111</v>
      </c>
      <c r="B333" s="27" t="n">
        <v>0.03827575169963347</v>
      </c>
      <c r="C333" s="26" t="n">
        <v>196.5153773707938</v>
      </c>
      <c r="D333" s="27" t="n">
        <v>0.03629694981883846</v>
      </c>
      <c r="E333" s="26" t="n">
        <v>229.8227320602937</v>
      </c>
      <c r="F333" s="27" t="n">
        <v>0.02795612464668953</v>
      </c>
      <c r="G333" s="26" t="n">
        <v>252.8483636893259</v>
      </c>
      <c r="H333" s="27" t="n">
        <v>0.02192951293504284</v>
      </c>
      <c r="I333" s="26" t="n">
        <v>258.2258931216809</v>
      </c>
      <c r="J333" s="27" t="n">
        <v>0.02164956726908287</v>
      </c>
      <c r="K333" s="26" t="n">
        <v>249.9115117667862</v>
      </c>
      <c r="L333" s="27" t="n">
        <v>0.02297540641091509</v>
      </c>
      <c r="M333" s="26" t="n">
        <v>233.9091405997794</v>
      </c>
      <c r="N333" s="27" t="n">
        <v>0.02772410422809113</v>
      </c>
      <c r="O333" s="26" t="n">
        <v>186.8783537679288</v>
      </c>
      <c r="P333" s="27" t="n">
        <v>0.03043773333135806</v>
      </c>
      <c r="Q333" s="26" t="n">
        <v>218.3964754007063</v>
      </c>
      <c r="R333" s="27" t="n">
        <v>0.03698232878804091</v>
      </c>
      <c r="S333" s="26" t="n">
        <v>203.6848109623319</v>
      </c>
      <c r="T333" s="27" t="n">
        <v>0.04365367940831598</v>
      </c>
      <c r="U333" s="26" t="n">
        <v>224.7338856179848</v>
      </c>
      <c r="V333" s="27" t="n">
        <v>0.03307899139234399</v>
      </c>
      <c r="W333" s="26" t="n">
        <v>229.4915417269849</v>
      </c>
      <c r="X333" s="27" t="n">
        <v>0.02793292059083544</v>
      </c>
      <c r="Y333" s="26" t="n">
        <v>203.9794211490758</v>
      </c>
      <c r="Z333" s="27" t="n">
        <v>0.02377999014239417</v>
      </c>
      <c r="AA333" s="26" t="n">
        <v>219.7874947414977</v>
      </c>
      <c r="AB333" s="27" t="n">
        <v>0.03708539246796024</v>
      </c>
    </row>
    <row r="334">
      <c r="A334" s="26" t="n">
        <v>189.7056630073164</v>
      </c>
      <c r="B334" s="27" t="n">
        <v>0.03847009294818553</v>
      </c>
      <c r="C334" s="26" t="n">
        <v>196.6554268846086</v>
      </c>
      <c r="D334" s="27" t="n">
        <v>0.03648583252777433</v>
      </c>
      <c r="E334" s="26" t="n">
        <v>229.9357897146504</v>
      </c>
      <c r="F334" s="27" t="n">
        <v>0.02810094533626283</v>
      </c>
      <c r="G334" s="26" t="n">
        <v>252.9350861199314</v>
      </c>
      <c r="H334" s="27" t="n">
        <v>0.0220374149308517</v>
      </c>
      <c r="I334" s="26" t="n">
        <v>258.3062775501808</v>
      </c>
      <c r="J334" s="27" t="n">
        <v>0.02175730743055561</v>
      </c>
      <c r="K334" s="26" t="n">
        <v>249.9877542611426</v>
      </c>
      <c r="L334" s="27" t="n">
        <v>0.02309168838157077</v>
      </c>
      <c r="M334" s="26" t="n">
        <v>234.0004463018653</v>
      </c>
      <c r="N334" s="27" t="n">
        <v>0.02787119688689644</v>
      </c>
      <c r="O334" s="26" t="n">
        <v>187.0027584620174</v>
      </c>
      <c r="P334" s="27" t="n">
        <v>0.03057994774231821</v>
      </c>
      <c r="Q334" s="26" t="n">
        <v>218.4905621763392</v>
      </c>
      <c r="R334" s="27" t="n">
        <v>0.03719407359510388</v>
      </c>
      <c r="S334" s="26" t="n">
        <v>203.7912345703633</v>
      </c>
      <c r="T334" s="27" t="n">
        <v>0.04390604482815171</v>
      </c>
      <c r="U334" s="26" t="n">
        <v>224.8189309124371</v>
      </c>
      <c r="V334" s="27" t="n">
        <v>0.03326505606887087</v>
      </c>
      <c r="W334" s="26" t="n">
        <v>229.5697272190377</v>
      </c>
      <c r="X334" s="27" t="n">
        <v>0.0280816978416948</v>
      </c>
      <c r="Y334" s="26" t="n">
        <v>204.0848623156828</v>
      </c>
      <c r="Z334" s="27" t="n">
        <v>0.02388313367919853</v>
      </c>
      <c r="AA334" s="26" t="n">
        <v>219.8676824032044</v>
      </c>
      <c r="AB334" s="27" t="n">
        <v>0.03730075443412153</v>
      </c>
    </row>
    <row r="335">
      <c r="A335" s="26" t="n">
        <v>189.8714246705217</v>
      </c>
      <c r="B335" s="27" t="n">
        <v>0.03866539248997949</v>
      </c>
      <c r="C335" s="26" t="n">
        <v>196.7954763984234</v>
      </c>
      <c r="D335" s="27" t="n">
        <v>0.03667566731916909</v>
      </c>
      <c r="E335" s="26" t="n">
        <v>230.0488473690072</v>
      </c>
      <c r="F335" s="27" t="n">
        <v>0.02824650660621659</v>
      </c>
      <c r="G335" s="26" t="n">
        <v>253.021808550537</v>
      </c>
      <c r="H335" s="27" t="n">
        <v>0.02214584922673305</v>
      </c>
      <c r="I335" s="26" t="n">
        <v>258.3866619786808</v>
      </c>
      <c r="J335" s="27" t="n">
        <v>0.02186558440063991</v>
      </c>
      <c r="K335" s="26" t="n">
        <v>250.0639967554989</v>
      </c>
      <c r="L335" s="27" t="n">
        <v>0.02320855821580607</v>
      </c>
      <c r="M335" s="26" t="n">
        <v>234.0917520039511</v>
      </c>
      <c r="N335" s="27" t="n">
        <v>0.02801905635258237</v>
      </c>
      <c r="O335" s="26" t="n">
        <v>187.127163156106</v>
      </c>
      <c r="P335" s="27" t="n">
        <v>0.03072283711962001</v>
      </c>
      <c r="Q335" s="26" t="n">
        <v>218.5846489519722</v>
      </c>
      <c r="R335" s="27" t="n">
        <v>0.0374069405882383</v>
      </c>
      <c r="S335" s="26" t="n">
        <v>203.8976581783947</v>
      </c>
      <c r="T335" s="27" t="n">
        <v>0.04415971533718734</v>
      </c>
      <c r="U335" s="26" t="n">
        <v>224.9039762068894</v>
      </c>
      <c r="V335" s="27" t="n">
        <v>0.03345211441012569</v>
      </c>
      <c r="W335" s="26" t="n">
        <v>229.6479127110905</v>
      </c>
      <c r="X335" s="27" t="n">
        <v>0.02823125472384877</v>
      </c>
      <c r="Y335" s="26" t="n">
        <v>204.1903034822897</v>
      </c>
      <c r="Z335" s="27" t="n">
        <v>0.02398673099089189</v>
      </c>
      <c r="AA335" s="26" t="n">
        <v>219.9478700649109</v>
      </c>
      <c r="AB335" s="27" t="n">
        <v>0.03751727076240062</v>
      </c>
    </row>
    <row r="336">
      <c r="A336" s="26" t="n">
        <v>190.037186333727</v>
      </c>
      <c r="B336" s="27" t="n">
        <v>0.03886165451125281</v>
      </c>
      <c r="C336" s="26" t="n">
        <v>196.9355259122382</v>
      </c>
      <c r="D336" s="27" t="n">
        <v>0.03686645850076951</v>
      </c>
      <c r="E336" s="26" t="n">
        <v>230.1619050233639</v>
      </c>
      <c r="F336" s="27" t="n">
        <v>0.02839281206070517</v>
      </c>
      <c r="G336" s="26" t="n">
        <v>253.1085309811425</v>
      </c>
      <c r="H336" s="27" t="n">
        <v>0.02225481843927856</v>
      </c>
      <c r="I336" s="26" t="n">
        <v>258.4670464071806</v>
      </c>
      <c r="J336" s="27" t="n">
        <v>0.02197440083893792</v>
      </c>
      <c r="K336" s="26" t="n">
        <v>250.1402392498553</v>
      </c>
      <c r="L336" s="27" t="n">
        <v>0.02332601885169076</v>
      </c>
      <c r="M336" s="26" t="n">
        <v>234.1830577060369</v>
      </c>
      <c r="N336" s="27" t="n">
        <v>0.02816768641221317</v>
      </c>
      <c r="O336" s="26" t="n">
        <v>187.2515678501945</v>
      </c>
      <c r="P336" s="27" t="n">
        <v>0.03086640466382294</v>
      </c>
      <c r="Q336" s="26" t="n">
        <v>218.6787357276051</v>
      </c>
      <c r="R336" s="27" t="n">
        <v>0.03762093469736643</v>
      </c>
      <c r="S336" s="26" t="n">
        <v>204.0040817864261</v>
      </c>
      <c r="T336" s="27" t="n">
        <v>0.04441469604690453</v>
      </c>
      <c r="U336" s="26" t="n">
        <v>224.9890215013417</v>
      </c>
      <c r="V336" s="27" t="n">
        <v>0.03364017108536656</v>
      </c>
      <c r="W336" s="26" t="n">
        <v>229.7260982031433</v>
      </c>
      <c r="X336" s="27" t="n">
        <v>0.02838159512787246</v>
      </c>
      <c r="Y336" s="26" t="n">
        <v>204.2957446488966</v>
      </c>
      <c r="Z336" s="27" t="n">
        <v>0.024090784094557</v>
      </c>
      <c r="AA336" s="26" t="n">
        <v>220.0280577266176</v>
      </c>
      <c r="AB336" s="27" t="n">
        <v>0.03773494656683495</v>
      </c>
    </row>
    <row r="337">
      <c r="A337" s="26" t="n">
        <v>190.2029479969323</v>
      </c>
      <c r="B337" s="27" t="n">
        <v>0.03905888320963408</v>
      </c>
      <c r="C337" s="26" t="n">
        <v>197.0755754260529</v>
      </c>
      <c r="D337" s="27" t="n">
        <v>0.03705821039352244</v>
      </c>
      <c r="E337" s="26" t="n">
        <v>230.2749626777206</v>
      </c>
      <c r="F337" s="27" t="n">
        <v>0.028539865318789</v>
      </c>
      <c r="G337" s="26" t="n">
        <v>253.1952534117481</v>
      </c>
      <c r="H337" s="27" t="n">
        <v>0.02236432519765185</v>
      </c>
      <c r="I337" s="26" t="n">
        <v>258.5474308356806</v>
      </c>
      <c r="J337" s="27" t="n">
        <v>0.02208375941787363</v>
      </c>
      <c r="K337" s="26" t="n">
        <v>250.2164817442116</v>
      </c>
      <c r="L337" s="27" t="n">
        <v>0.02344407324134876</v>
      </c>
      <c r="M337" s="26" t="n">
        <v>234.2743634081228</v>
      </c>
      <c r="N337" s="27" t="n">
        <v>0.02831709086865461</v>
      </c>
      <c r="O337" s="26" t="n">
        <v>187.3759725442831</v>
      </c>
      <c r="P337" s="27" t="n">
        <v>0.03101065359010464</v>
      </c>
      <c r="Q337" s="26" t="n">
        <v>218.772822503238</v>
      </c>
      <c r="R337" s="27" t="n">
        <v>0.03783606086248677</v>
      </c>
      <c r="S337" s="26" t="n">
        <v>204.1105053944574</v>
      </c>
      <c r="T337" s="27" t="n">
        <v>0.04467099207101337</v>
      </c>
      <c r="U337" s="26" t="n">
        <v>225.074066795794</v>
      </c>
      <c r="V337" s="27" t="n">
        <v>0.03382923077815753</v>
      </c>
      <c r="W337" s="26" t="n">
        <v>229.8042836951961</v>
      </c>
      <c r="X337" s="27" t="n">
        <v>0.02853272296104779</v>
      </c>
      <c r="Y337" s="26" t="n">
        <v>204.4011858155035</v>
      </c>
      <c r="Z337" s="27" t="n">
        <v>0.02419529501631555</v>
      </c>
      <c r="AA337" s="26" t="n">
        <v>220.1082453883242</v>
      </c>
      <c r="AB337" s="27" t="n">
        <v>0.03795378697195692</v>
      </c>
    </row>
    <row r="338">
      <c r="A338" s="26" t="n">
        <v>190.3687096601377</v>
      </c>
      <c r="B338" s="27" t="n">
        <v>0.03925708279408279</v>
      </c>
      <c r="C338" s="26" t="n">
        <v>197.2156249398677</v>
      </c>
      <c r="D338" s="27" t="n">
        <v>0.03725092733153201</v>
      </c>
      <c r="E338" s="26" t="n">
        <v>230.3880203320773</v>
      </c>
      <c r="F338" s="27" t="n">
        <v>0.02868767001445942</v>
      </c>
      <c r="G338" s="26" t="n">
        <v>253.2819758423537</v>
      </c>
      <c r="H338" s="27" t="n">
        <v>0.02247437214364296</v>
      </c>
      <c r="I338" s="26" t="n">
        <v>258.6278152641805</v>
      </c>
      <c r="J338" s="27" t="n">
        <v>0.0221936628227481</v>
      </c>
      <c r="K338" s="26" t="n">
        <v>250.292724238568</v>
      </c>
      <c r="L338" s="27" t="n">
        <v>0.0235627243510151</v>
      </c>
      <c r="M338" s="26" t="n">
        <v>234.3656691102086</v>
      </c>
      <c r="N338" s="27" t="n">
        <v>0.02846727354059998</v>
      </c>
      <c r="O338" s="26" t="n">
        <v>187.5003772383716</v>
      </c>
      <c r="P338" s="27" t="n">
        <v>0.03115558712831671</v>
      </c>
      <c r="Q338" s="26" t="n">
        <v>218.866909278871</v>
      </c>
      <c r="R338" s="27" t="n">
        <v>0.03805232403354645</v>
      </c>
      <c r="S338" s="26" t="n">
        <v>204.2169290024888</v>
      </c>
      <c r="T338" s="27" t="n">
        <v>0.04492860852522113</v>
      </c>
      <c r="U338" s="26" t="n">
        <v>225.1591120902463</v>
      </c>
      <c r="V338" s="27" t="n">
        <v>0.03401929818631393</v>
      </c>
      <c r="W338" s="26" t="n">
        <v>229.8824691872489</v>
      </c>
      <c r="X338" s="27" t="n">
        <v>0.02868464214739775</v>
      </c>
      <c r="Y338" s="26" t="n">
        <v>204.5066269821104</v>
      </c>
      <c r="Z338" s="27" t="n">
        <v>0.02430026579136906</v>
      </c>
      <c r="AA338" s="26" t="n">
        <v>220.1884330500307</v>
      </c>
      <c r="AB338" s="27" t="n">
        <v>0.03817379711266038</v>
      </c>
    </row>
    <row r="339">
      <c r="A339" s="26" t="n">
        <v>190.5344713233429</v>
      </c>
      <c r="B339" s="27" t="n">
        <v>0.03945625748482823</v>
      </c>
      <c r="C339" s="26" t="n">
        <v>197.3556744536825</v>
      </c>
      <c r="D339" s="27" t="n">
        <v>0.03744461366201542</v>
      </c>
      <c r="E339" s="26" t="n">
        <v>230.5010779864341</v>
      </c>
      <c r="F339" s="27" t="n">
        <v>0.02883622979666242</v>
      </c>
      <c r="G339" s="26" t="n">
        <v>253.3686982729593</v>
      </c>
      <c r="H339" s="27" t="n">
        <v>0.02258496193172401</v>
      </c>
      <c r="I339" s="26" t="n">
        <v>258.7081996926805</v>
      </c>
      <c r="J339" s="27" t="n">
        <v>0.0223041137517952</v>
      </c>
      <c r="K339" s="26" t="n">
        <v>250.3689667329243</v>
      </c>
      <c r="L339" s="27" t="n">
        <v>0.02368197516109261</v>
      </c>
      <c r="M339" s="26" t="n">
        <v>234.4569748122944</v>
      </c>
      <c r="N339" s="27" t="n">
        <v>0.02861823826259487</v>
      </c>
      <c r="O339" s="26" t="n">
        <v>187.6247819324601</v>
      </c>
      <c r="P339" s="27" t="n">
        <v>0.03130120852304134</v>
      </c>
      <c r="Q339" s="26" t="n">
        <v>218.9609960545039</v>
      </c>
      <c r="R339" s="27" t="n">
        <v>0.03826972917031099</v>
      </c>
      <c r="S339" s="26" t="n">
        <v>204.3233526105202</v>
      </c>
      <c r="T339" s="27" t="n">
        <v>0.04518755052699749</v>
      </c>
      <c r="U339" s="26" t="n">
        <v>225.2441573846986</v>
      </c>
      <c r="V339" s="27" t="n">
        <v>0.03421037802184577</v>
      </c>
      <c r="W339" s="26" t="n">
        <v>229.9606546793017</v>
      </c>
      <c r="X339" s="27" t="n">
        <v>0.02883735662771934</v>
      </c>
      <c r="Y339" s="26" t="n">
        <v>204.6120681487174</v>
      </c>
      <c r="Z339" s="27" t="n">
        <v>0.02440569846403975</v>
      </c>
      <c r="AA339" s="26" t="n">
        <v>220.2686207117374</v>
      </c>
      <c r="AB339" s="27" t="n">
        <v>0.03839498213406475</v>
      </c>
    </row>
    <row r="340">
      <c r="A340" s="26" t="n">
        <v>190.7002329865482</v>
      </c>
      <c r="B340" s="27" t="n">
        <v>0.03965641151330602</v>
      </c>
      <c r="C340" s="26" t="n">
        <v>197.4957239674973</v>
      </c>
      <c r="D340" s="27" t="n">
        <v>0.03763927374525814</v>
      </c>
      <c r="E340" s="26" t="n">
        <v>230.6141356407908</v>
      </c>
      <c r="F340" s="27" t="n">
        <v>0.02898554832932248</v>
      </c>
      <c r="G340" s="26" t="n">
        <v>253.4554207035649</v>
      </c>
      <c r="H340" s="27" t="n">
        <v>0.02269609722910403</v>
      </c>
      <c r="I340" s="26" t="n">
        <v>258.7885841211804</v>
      </c>
      <c r="J340" s="27" t="n">
        <v>0.02241511491623728</v>
      </c>
      <c r="K340" s="26" t="n">
        <v>250.4452092272807</v>
      </c>
      <c r="L340" s="27" t="n">
        <v>0.02380182866620929</v>
      </c>
      <c r="M340" s="26" t="n">
        <v>234.5482805143803</v>
      </c>
      <c r="N340" s="27" t="n">
        <v>0.028769988885062</v>
      </c>
      <c r="O340" s="26" t="n">
        <v>187.7491866265487</v>
      </c>
      <c r="P340" s="27" t="n">
        <v>0.0314475210336472</v>
      </c>
      <c r="Q340" s="26" t="n">
        <v>219.0550828301369</v>
      </c>
      <c r="R340" s="27" t="n">
        <v>0.03848828124223272</v>
      </c>
      <c r="S340" s="26" t="n">
        <v>204.4297762185516</v>
      </c>
      <c r="T340" s="27" t="n">
        <v>0.0454478231953374</v>
      </c>
      <c r="U340" s="26" t="n">
        <v>225.3292026791509</v>
      </c>
      <c r="V340" s="27" t="n">
        <v>0.03440247501089994</v>
      </c>
      <c r="W340" s="26" t="n">
        <v>230.0388401713545</v>
      </c>
      <c r="X340" s="27" t="n">
        <v>0.02899087035961688</v>
      </c>
      <c r="Y340" s="26" t="n">
        <v>204.7175093153243</v>
      </c>
      <c r="Z340" s="27" t="n">
        <v>0.02451159508781172</v>
      </c>
      <c r="AA340" s="26" t="n">
        <v>220.3488083734439</v>
      </c>
      <c r="AB340" s="27" t="n">
        <v>0.03861734719137633</v>
      </c>
    </row>
    <row r="341">
      <c r="A341" s="26" t="n">
        <v>190.8659946497536</v>
      </c>
      <c r="B341" s="27" t="n">
        <v>0.03985754912209411</v>
      </c>
      <c r="C341" s="26" t="n">
        <v>197.635773481312</v>
      </c>
      <c r="D341" s="27" t="n">
        <v>0.03783491195456649</v>
      </c>
      <c r="E341" s="26" t="n">
        <v>230.7271932951475</v>
      </c>
      <c r="F341" s="27" t="n">
        <v>0.02913562929136561</v>
      </c>
      <c r="G341" s="26" t="n">
        <v>253.5421431341704</v>
      </c>
      <c r="H341" s="27" t="n">
        <v>0.02280778071578453</v>
      </c>
      <c r="I341" s="26" t="n">
        <v>258.8689685496804</v>
      </c>
      <c r="J341" s="27" t="n">
        <v>0.02252666904034112</v>
      </c>
      <c r="K341" s="26" t="n">
        <v>250.521451721637</v>
      </c>
      <c r="L341" s="27" t="n">
        <v>0.0239222878752748</v>
      </c>
      <c r="M341" s="26" t="n">
        <v>234.6395862164661</v>
      </c>
      <c r="N341" s="27" t="n">
        <v>0.02892252927432483</v>
      </c>
      <c r="O341" s="26" t="n">
        <v>187.8735913206372</v>
      </c>
      <c r="P341" s="27" t="n">
        <v>0.03159452793434563</v>
      </c>
      <c r="Q341" s="26" t="n">
        <v>219.1491696057699</v>
      </c>
      <c r="R341" s="27" t="n">
        <v>0.03870798522831546</v>
      </c>
      <c r="S341" s="26" t="n">
        <v>204.536199826583</v>
      </c>
      <c r="T341" s="27" t="n">
        <v>0.04570943165052064</v>
      </c>
      <c r="U341" s="26" t="n">
        <v>225.4142479736032</v>
      </c>
      <c r="V341" s="27" t="n">
        <v>0.03459559389369992</v>
      </c>
      <c r="W341" s="26" t="n">
        <v>230.1170256634073</v>
      </c>
      <c r="X341" s="27" t="n">
        <v>0.02914518731753352</v>
      </c>
      <c r="Y341" s="26" t="n">
        <v>204.8229504819312</v>
      </c>
      <c r="Z341" s="27" t="n">
        <v>0.02461795772537216</v>
      </c>
      <c r="AA341" s="26" t="n">
        <v>220.4289960351505</v>
      </c>
      <c r="AB341" s="27" t="n">
        <v>0.03884089744974714</v>
      </c>
    </row>
    <row r="342">
      <c r="A342" s="26" t="n">
        <v>191.0317563129589</v>
      </c>
      <c r="B342" s="27" t="n">
        <v>0.04005967456484639</v>
      </c>
      <c r="C342" s="26" t="n">
        <v>197.7758229951268</v>
      </c>
      <c r="D342" s="27" t="n">
        <v>0.03803153267621981</v>
      </c>
      <c r="E342" s="26" t="n">
        <v>230.8402509495043</v>
      </c>
      <c r="F342" s="27" t="n">
        <v>0.02928647637674155</v>
      </c>
      <c r="G342" s="26" t="n">
        <v>253.628865564776</v>
      </c>
      <c r="H342" s="27" t="n">
        <v>0.02292001508461499</v>
      </c>
      <c r="I342" s="26" t="n">
        <v>258.9493529781803</v>
      </c>
      <c r="J342" s="27" t="n">
        <v>0.02263877886147367</v>
      </c>
      <c r="K342" s="26" t="n">
        <v>250.5976942159934</v>
      </c>
      <c r="L342" s="27" t="n">
        <v>0.02404335581153819</v>
      </c>
      <c r="M342" s="26" t="n">
        <v>234.7308919185519</v>
      </c>
      <c r="N342" s="27" t="n">
        <v>0.0290758633126309</v>
      </c>
      <c r="O342" s="26" t="n">
        <v>187.9979960147258</v>
      </c>
      <c r="P342" s="27" t="n">
        <v>0.03174223251424702</v>
      </c>
      <c r="Q342" s="26" t="n">
        <v>219.2432563814028</v>
      </c>
      <c r="R342" s="27" t="n">
        <v>0.03892884611697862</v>
      </c>
      <c r="S342" s="26" t="n">
        <v>204.6426234346143</v>
      </c>
      <c r="T342" s="27" t="n">
        <v>0.04597238101386836</v>
      </c>
      <c r="U342" s="26" t="n">
        <v>225.4992932680555</v>
      </c>
      <c r="V342" s="27" t="n">
        <v>0.0347897394244848</v>
      </c>
      <c r="W342" s="26" t="n">
        <v>230.1952111554601</v>
      </c>
      <c r="X342" s="27" t="n">
        <v>0.02930031149278387</v>
      </c>
      <c r="Y342" s="26" t="n">
        <v>204.9283916485381</v>
      </c>
      <c r="Z342" s="27" t="n">
        <v>0.02472478844865309</v>
      </c>
      <c r="AA342" s="26" t="n">
        <v>220.5091836968571</v>
      </c>
      <c r="AB342" s="27" t="n">
        <v>0.03906563808413217</v>
      </c>
    </row>
    <row r="343">
      <c r="A343" s="26" t="n">
        <v>191.1975179761642</v>
      </c>
      <c r="B343" s="27" t="n">
        <v>0.04026279210622498</v>
      </c>
      <c r="C343" s="26" t="n">
        <v>197.9158725089416</v>
      </c>
      <c r="D343" s="27" t="n">
        <v>0.03822914030942014</v>
      </c>
      <c r="E343" s="26" t="n">
        <v>230.953308603861</v>
      </c>
      <c r="F343" s="27" t="n">
        <v>0.02943809329444574</v>
      </c>
      <c r="G343" s="26" t="n">
        <v>253.7155879953816</v>
      </c>
      <c r="H343" s="27" t="n">
        <v>0.02303280304134846</v>
      </c>
      <c r="I343" s="26" t="n">
        <v>259.0297374066803</v>
      </c>
      <c r="J343" s="27" t="n">
        <v>0.02275144713015847</v>
      </c>
      <c r="K343" s="26" t="n">
        <v>250.6739367103498</v>
      </c>
      <c r="L343" s="27" t="n">
        <v>0.02416503551264443</v>
      </c>
      <c r="M343" s="26" t="n">
        <v>234.8221976206378</v>
      </c>
      <c r="N343" s="27" t="n">
        <v>0.02922999489817451</v>
      </c>
      <c r="O343" s="26" t="n">
        <v>188.1224007088143</v>
      </c>
      <c r="P343" s="27" t="n">
        <v>0.03189063807741711</v>
      </c>
      <c r="Q343" s="26" t="n">
        <v>219.3373431570358</v>
      </c>
      <c r="R343" s="27" t="n">
        <v>0.03915086890591703</v>
      </c>
      <c r="S343" s="26" t="n">
        <v>204.7490470426457</v>
      </c>
      <c r="T343" s="27" t="n">
        <v>0.04623667640749694</v>
      </c>
      <c r="U343" s="26" t="n">
        <v>225.5843385625078</v>
      </c>
      <c r="V343" s="27" t="n">
        <v>0.03498491637144562</v>
      </c>
      <c r="W343" s="26" t="n">
        <v>230.2733966475129</v>
      </c>
      <c r="X343" s="27" t="n">
        <v>0.02945624689358439</v>
      </c>
      <c r="Y343" s="26" t="n">
        <v>205.033832815145</v>
      </c>
      <c r="Z343" s="27" t="n">
        <v>0.02483208933887276</v>
      </c>
      <c r="AA343" s="26" t="n">
        <v>220.5893713585637</v>
      </c>
      <c r="AB343" s="27" t="n">
        <v>0.0392915742791432</v>
      </c>
    </row>
    <row r="344">
      <c r="A344" s="26" t="n">
        <v>191.3632796393695</v>
      </c>
      <c r="B344" s="27" t="n">
        <v>0.04046690602183092</v>
      </c>
      <c r="C344" s="26" t="n">
        <v>198.0559220227564</v>
      </c>
      <c r="D344" s="27" t="n">
        <v>0.03842773926624161</v>
      </c>
      <c r="E344" s="26" t="n">
        <v>231.0663662582177</v>
      </c>
      <c r="F344" s="27" t="n">
        <v>0.0295904837685405</v>
      </c>
      <c r="G344" s="26" t="n">
        <v>253.8023104259872</v>
      </c>
      <c r="H344" s="27" t="n">
        <v>0.02314614730469746</v>
      </c>
      <c r="I344" s="26" t="n">
        <v>259.1101218351802</v>
      </c>
      <c r="J344" s="27" t="n">
        <v>0.02286467661013166</v>
      </c>
      <c r="K344" s="26" t="n">
        <v>250.7501792047061</v>
      </c>
      <c r="L344" s="27" t="n">
        <v>0.02428733003069201</v>
      </c>
      <c r="M344" s="26" t="n">
        <v>234.9135033227236</v>
      </c>
      <c r="N344" s="27" t="n">
        <v>0.02938492794511865</v>
      </c>
      <c r="O344" s="26" t="n">
        <v>188.2468054029029</v>
      </c>
      <c r="P344" s="27" t="n">
        <v>0.03203974794293309</v>
      </c>
      <c r="Q344" s="26" t="n">
        <v>219.4314299326687</v>
      </c>
      <c r="R344" s="27" t="n">
        <v>0.03937405860195991</v>
      </c>
      <c r="S344" s="26" t="n">
        <v>204.8554706506771</v>
      </c>
      <c r="T344" s="27" t="n">
        <v>0.04650232295406873</v>
      </c>
      <c r="U344" s="26" t="n">
        <v>225.6693838569601</v>
      </c>
      <c r="V344" s="27" t="n">
        <v>0.03518112951666057</v>
      </c>
      <c r="W344" s="26" t="n">
        <v>230.3515821395657</v>
      </c>
      <c r="X344" s="27" t="n">
        <v>0.02961299754508419</v>
      </c>
      <c r="Y344" s="26" t="n">
        <v>205.1392739817519</v>
      </c>
      <c r="Z344" s="27" t="n">
        <v>0.02493986248657785</v>
      </c>
      <c r="AA344" s="26" t="n">
        <v>220.6695590202703</v>
      </c>
      <c r="AB344" s="27" t="n">
        <v>0.03951871122890001</v>
      </c>
    </row>
    <row r="345">
      <c r="A345" s="26" t="n">
        <v>191.5290413025748</v>
      </c>
      <c r="B345" s="27" t="n">
        <v>0.04067202059813326</v>
      </c>
      <c r="C345" s="26" t="n">
        <v>198.1959715365711</v>
      </c>
      <c r="D345" s="27" t="n">
        <v>0.0386273339715769</v>
      </c>
      <c r="E345" s="26" t="n">
        <v>231.1794239125744</v>
      </c>
      <c r="F345" s="27" t="n">
        <v>0.02974365153817543</v>
      </c>
      <c r="G345" s="26" t="n">
        <v>253.8890328565927</v>
      </c>
      <c r="H345" s="27" t="n">
        <v>0.02326005060638989</v>
      </c>
      <c r="I345" s="26" t="n">
        <v>259.1905062636802</v>
      </c>
      <c r="J345" s="27" t="n">
        <v>0.02297847007839834</v>
      </c>
      <c r="K345" s="26" t="n">
        <v>250.8264216990625</v>
      </c>
      <c r="L345" s="27" t="n">
        <v>0.02441024243228984</v>
      </c>
      <c r="M345" s="26" t="n">
        <v>235.0048090248095</v>
      </c>
      <c r="N345" s="27" t="n">
        <v>0.0295406663836161</v>
      </c>
      <c r="O345" s="26" t="n">
        <v>188.3712100969914</v>
      </c>
      <c r="P345" s="27" t="n">
        <v>0.03218956544493996</v>
      </c>
      <c r="Q345" s="26" t="n">
        <v>219.5255167083017</v>
      </c>
      <c r="R345" s="27" t="n">
        <v>0.03959842022092649</v>
      </c>
      <c r="S345" s="26" t="n">
        <v>204.9618942587084</v>
      </c>
      <c r="T345" s="27" t="n">
        <v>0.04676932577653944</v>
      </c>
      <c r="U345" s="26" t="n">
        <v>225.7544291514124</v>
      </c>
      <c r="V345" s="27" t="n">
        <v>0.03537838365602823</v>
      </c>
      <c r="W345" s="26" t="n">
        <v>230.4297676316185</v>
      </c>
      <c r="X345" s="27" t="n">
        <v>0.02977056748939512</v>
      </c>
      <c r="Y345" s="26" t="n">
        <v>205.2447151483588</v>
      </c>
      <c r="Z345" s="27" t="n">
        <v>0.0250481099916853</v>
      </c>
      <c r="AA345" s="26" t="n">
        <v>220.7497466819769</v>
      </c>
      <c r="AB345" s="27" t="n">
        <v>0.03974705413688016</v>
      </c>
    </row>
    <row r="346">
      <c r="A346" s="26" t="n">
        <v>191.6948029657801</v>
      </c>
      <c r="B346" s="27" t="n">
        <v>0.04087814013239634</v>
      </c>
      <c r="C346" s="26" t="n">
        <v>198.3360210503859</v>
      </c>
      <c r="D346" s="27" t="n">
        <v>0.03882792886308355</v>
      </c>
      <c r="E346" s="26" t="n">
        <v>231.2924815669311</v>
      </c>
      <c r="F346" s="27" t="n">
        <v>0.02989760035760776</v>
      </c>
      <c r="G346" s="26" t="n">
        <v>253.9757552871983</v>
      </c>
      <c r="H346" s="27" t="n">
        <v>0.02337451569122495</v>
      </c>
      <c r="I346" s="26" t="n">
        <v>259.27089069218</v>
      </c>
      <c r="J346" s="27" t="n">
        <v>0.02309283032528912</v>
      </c>
      <c r="K346" s="26" t="n">
        <v>250.9026641934188</v>
      </c>
      <c r="L346" s="27" t="n">
        <v>0.02453377579861481</v>
      </c>
      <c r="M346" s="26" t="n">
        <v>235.0961147268953</v>
      </c>
      <c r="N346" s="27" t="n">
        <v>0.02969721415983025</v>
      </c>
      <c r="O346" s="26" t="n">
        <v>188.49561479108</v>
      </c>
      <c r="P346" s="27" t="n">
        <v>0.03234009393270685</v>
      </c>
      <c r="Q346" s="26" t="n">
        <v>219.6196034839346</v>
      </c>
      <c r="R346" s="27" t="n">
        <v>0.03982395878747943</v>
      </c>
      <c r="S346" s="26" t="n">
        <v>205.0683178667398</v>
      </c>
      <c r="T346" s="27" t="n">
        <v>0.047037689997903</v>
      </c>
      <c r="U346" s="26" t="n">
        <v>225.8394744458647</v>
      </c>
      <c r="V346" s="27" t="n">
        <v>0.03557668359919867</v>
      </c>
      <c r="W346" s="26" t="n">
        <v>230.5079531236713</v>
      </c>
      <c r="X346" s="27" t="n">
        <v>0.02992896078562087</v>
      </c>
      <c r="Y346" s="26" t="n">
        <v>205.3501563149657</v>
      </c>
      <c r="Z346" s="27" t="n">
        <v>0.02515683396352465</v>
      </c>
      <c r="AA346" s="26" t="n">
        <v>220.8299343436835</v>
      </c>
      <c r="AB346" s="27" t="n">
        <v>0.03997660821576521</v>
      </c>
    </row>
    <row r="347">
      <c r="A347" s="26" t="n">
        <v>191.8605646289854</v>
      </c>
      <c r="B347" s="27" t="n">
        <v>0.04108526893260547</v>
      </c>
      <c r="C347" s="26" t="n">
        <v>198.4760705642007</v>
      </c>
      <c r="D347" s="27" t="n">
        <v>0.03902952839112747</v>
      </c>
      <c r="E347" s="26" t="n">
        <v>231.4055392212879</v>
      </c>
      <c r="F347" s="27" t="n">
        <v>0.03005233399622117</v>
      </c>
      <c r="G347" s="26" t="n">
        <v>254.0624777178039</v>
      </c>
      <c r="H347" s="27" t="n">
        <v>0.02348954531712955</v>
      </c>
      <c r="I347" s="26" t="n">
        <v>259.35127512068</v>
      </c>
      <c r="J347" s="27" t="n">
        <v>0.02320776015451659</v>
      </c>
      <c r="K347" s="26" t="n">
        <v>250.9789066877751</v>
      </c>
      <c r="L347" s="27" t="n">
        <v>0.02465793322546874</v>
      </c>
      <c r="M347" s="26" t="n">
        <v>235.1874204289812</v>
      </c>
      <c r="N347" s="27" t="n">
        <v>0.0298545752359549</v>
      </c>
      <c r="O347" s="26" t="n">
        <v>188.6200194851685</v>
      </c>
      <c r="P347" s="27" t="n">
        <v>0.03249133677068341</v>
      </c>
      <c r="Q347" s="26" t="n">
        <v>219.7136902595675</v>
      </c>
      <c r="R347" s="27" t="n">
        <v>0.0400506793349761</v>
      </c>
      <c r="S347" s="26" t="n">
        <v>205.1747414747712</v>
      </c>
      <c r="T347" s="27" t="n">
        <v>0.04730742074093333</v>
      </c>
      <c r="U347" s="26" t="n">
        <v>225.924519740317</v>
      </c>
      <c r="V347" s="27" t="n">
        <v>0.03577603416950332</v>
      </c>
      <c r="W347" s="26" t="n">
        <v>230.5861386157241</v>
      </c>
      <c r="X347" s="27" t="n">
        <v>0.03008818150988565</v>
      </c>
      <c r="Y347" s="26" t="n">
        <v>205.4555974815726</v>
      </c>
      <c r="Z347" s="27" t="n">
        <v>0.02526603652088062</v>
      </c>
      <c r="AA347" s="26" t="n">
        <v>220.9101220053901</v>
      </c>
      <c r="AB347" s="27" t="n">
        <v>0.04020737868728452</v>
      </c>
    </row>
    <row r="348">
      <c r="A348" s="26" t="n">
        <v>192.0263262921907</v>
      </c>
      <c r="B348" s="27" t="n">
        <v>0.04129341131739125</v>
      </c>
      <c r="C348" s="26" t="n">
        <v>198.6161200780155</v>
      </c>
      <c r="D348" s="27" t="n">
        <v>0.03923213701872592</v>
      </c>
      <c r="E348" s="26" t="n">
        <v>231.5185968756446</v>
      </c>
      <c r="F348" s="27" t="n">
        <v>0.03020785623854503</v>
      </c>
      <c r="G348" s="26" t="n">
        <v>254.1492001484094</v>
      </c>
      <c r="H348" s="27" t="n">
        <v>0.02360514225521451</v>
      </c>
      <c r="I348" s="26" t="n">
        <v>259.4316595491799</v>
      </c>
      <c r="J348" s="27" t="n">
        <v>0.02332326238323217</v>
      </c>
      <c r="K348" s="26" t="n">
        <v>251.0551491821315</v>
      </c>
      <c r="L348" s="27" t="n">
        <v>0.02478271782333592</v>
      </c>
      <c r="M348" s="26" t="n">
        <v>235.278726131067</v>
      </c>
      <c r="N348" s="27" t="n">
        <v>0.03001275359023338</v>
      </c>
      <c r="O348" s="26" t="n">
        <v>188.7444241792571</v>
      </c>
      <c r="P348" s="27" t="n">
        <v>0.03264329733855596</v>
      </c>
      <c r="Q348" s="26" t="n">
        <v>219.8077770352005</v>
      </c>
      <c r="R348" s="27" t="n">
        <v>0.04027858690531695</v>
      </c>
      <c r="S348" s="26" t="n">
        <v>205.2811650828025</v>
      </c>
      <c r="T348" s="27" t="n">
        <v>0.04757852312792237</v>
      </c>
      <c r="U348" s="26" t="n">
        <v>226.0095650347694</v>
      </c>
      <c r="V348" s="27" t="n">
        <v>0.03597644020388252</v>
      </c>
      <c r="W348" s="26" t="n">
        <v>230.6643241077769</v>
      </c>
      <c r="X348" s="27" t="n">
        <v>0.0302482337553625</v>
      </c>
      <c r="Y348" s="26" t="n">
        <v>205.5610386481795</v>
      </c>
      <c r="Z348" s="27" t="n">
        <v>0.02537571979203557</v>
      </c>
      <c r="AA348" s="26" t="n">
        <v>220.9903096670967</v>
      </c>
      <c r="AB348" s="27" t="n">
        <v>0.04043937078205696</v>
      </c>
    </row>
    <row r="349">
      <c r="A349" s="26" t="n">
        <v>192.1920879553961</v>
      </c>
      <c r="B349" s="27" t="n">
        <v>0.04150257161595113</v>
      </c>
      <c r="C349" s="26" t="n">
        <v>198.7561695918303</v>
      </c>
      <c r="D349" s="27" t="n">
        <v>0.03943575922148801</v>
      </c>
      <c r="E349" s="26" t="n">
        <v>231.6316545300013</v>
      </c>
      <c r="F349" s="27" t="n">
        <v>0.03036417088427184</v>
      </c>
      <c r="G349" s="26" t="n">
        <v>254.235922579015</v>
      </c>
      <c r="H349" s="27" t="n">
        <v>0.02372130928983106</v>
      </c>
      <c r="I349" s="26" t="n">
        <v>259.5120439776799</v>
      </c>
      <c r="J349" s="27" t="n">
        <v>0.02343933984208266</v>
      </c>
      <c r="K349" s="26" t="n">
        <v>251.1313916764879</v>
      </c>
      <c r="L349" s="27" t="n">
        <v>0.0249081327174403</v>
      </c>
      <c r="M349" s="26" t="n">
        <v>235.3700318331528</v>
      </c>
      <c r="N349" s="27" t="n">
        <v>0.03017175321697711</v>
      </c>
      <c r="O349" s="26" t="n">
        <v>188.8688288733456</v>
      </c>
      <c r="P349" s="27" t="n">
        <v>0.03279597903130375</v>
      </c>
      <c r="Q349" s="26" t="n">
        <v>219.9018638108334</v>
      </c>
      <c r="R349" s="27" t="n">
        <v>0.04050768654879113</v>
      </c>
      <c r="S349" s="26" t="n">
        <v>205.3875886908339</v>
      </c>
      <c r="T349" s="27" t="n">
        <v>0.04785100228041572</v>
      </c>
      <c r="U349" s="26" t="n">
        <v>226.0946103292217</v>
      </c>
      <c r="V349" s="27" t="n">
        <v>0.03617790655281124</v>
      </c>
      <c r="W349" s="26" t="n">
        <v>230.7425095998298</v>
      </c>
      <c r="X349" s="27" t="n">
        <v>0.03040912163230034</v>
      </c>
      <c r="Y349" s="26" t="n">
        <v>205.6664798147864</v>
      </c>
      <c r="Z349" s="27" t="n">
        <v>0.0254858859148125</v>
      </c>
      <c r="AA349" s="26" t="n">
        <v>221.0704973288033</v>
      </c>
      <c r="AB349" s="27" t="n">
        <v>0.04067258973942941</v>
      </c>
    </row>
    <row r="350">
      <c r="A350" s="26" t="n">
        <v>192.3578496186013</v>
      </c>
      <c r="B350" s="27" t="n">
        <v>0.04171275416797079</v>
      </c>
      <c r="C350" s="26" t="n">
        <v>198.8962191056451</v>
      </c>
      <c r="D350" s="27" t="n">
        <v>0.03964039948755411</v>
      </c>
      <c r="E350" s="26" t="n">
        <v>231.744712184358</v>
      </c>
      <c r="F350" s="27" t="n">
        <v>0.03052128174827487</v>
      </c>
      <c r="G350" s="26" t="n">
        <v>254.3226450096205</v>
      </c>
      <c r="H350" s="27" t="n">
        <v>0.0238380492186273</v>
      </c>
      <c r="I350" s="26" t="n">
        <v>259.5924284061798</v>
      </c>
      <c r="J350" s="27" t="n">
        <v>0.02355599537526732</v>
      </c>
      <c r="K350" s="26" t="n">
        <v>251.2076341708442</v>
      </c>
      <c r="L350" s="27" t="n">
        <v>0.02503418104780275</v>
      </c>
      <c r="M350" s="26" t="n">
        <v>235.4613375352386</v>
      </c>
      <c r="N350" s="27" t="n">
        <v>0.03033157812658325</v>
      </c>
      <c r="O350" s="26" t="n">
        <v>188.9932335674341</v>
      </c>
      <c r="P350" s="27" t="n">
        <v>0.03294938525925535</v>
      </c>
      <c r="Q350" s="26" t="n">
        <v>219.9959505864664</v>
      </c>
      <c r="R350" s="27" t="n">
        <v>0.04073798332392061</v>
      </c>
      <c r="S350" s="26" t="n">
        <v>205.4940122988653</v>
      </c>
      <c r="T350" s="27" t="n">
        <v>0.04812486331894478</v>
      </c>
      <c r="U350" s="26" t="n">
        <v>226.179655623674</v>
      </c>
      <c r="V350" s="27" t="n">
        <v>0.03638043808022335</v>
      </c>
      <c r="W350" s="26" t="n">
        <v>230.8206950918826</v>
      </c>
      <c r="X350" s="27" t="n">
        <v>0.03057084926805114</v>
      </c>
      <c r="Y350" s="26" t="n">
        <v>205.7719209813934</v>
      </c>
      <c r="Z350" s="27" t="n">
        <v>0.02559653703661797</v>
      </c>
      <c r="AA350" s="26" t="n">
        <v>221.1506849905099</v>
      </c>
      <c r="AB350" s="27" t="n">
        <v>0.04090704080731282</v>
      </c>
    </row>
    <row r="351">
      <c r="A351" s="26" t="n">
        <v>192.5236112818067</v>
      </c>
      <c r="B351" s="27" t="n">
        <v>0.04192396332354244</v>
      </c>
      <c r="C351" s="26" t="n">
        <v>199.0362686194598</v>
      </c>
      <c r="D351" s="27" t="n">
        <v>0.03984606231753373</v>
      </c>
      <c r="E351" s="26" t="n">
        <v>231.8577698387148</v>
      </c>
      <c r="F351" s="27" t="n">
        <v>0.03067919266062473</v>
      </c>
      <c r="G351" s="26" t="n">
        <v>254.4093674402261</v>
      </c>
      <c r="H351" s="27" t="n">
        <v>0.02395536485260506</v>
      </c>
      <c r="I351" s="26" t="n">
        <v>259.6728128346798</v>
      </c>
      <c r="J351" s="27" t="n">
        <v>0.02367323184059487</v>
      </c>
      <c r="K351" s="26" t="n">
        <v>251.2838766652006</v>
      </c>
      <c r="L351" s="27" t="n">
        <v>0.02516086596929882</v>
      </c>
      <c r="M351" s="26" t="n">
        <v>235.5526432373245</v>
      </c>
      <c r="N351" s="27" t="n">
        <v>0.03049223234555177</v>
      </c>
      <c r="O351" s="26" t="n">
        <v>189.1176382615227</v>
      </c>
      <c r="P351" s="27" t="n">
        <v>0.03310351944814501</v>
      </c>
      <c r="Q351" s="26" t="n">
        <v>220.0900373620993</v>
      </c>
      <c r="R351" s="27" t="n">
        <v>0.04096948229730079</v>
      </c>
      <c r="S351" s="26" t="n">
        <v>205.6004359068967</v>
      </c>
      <c r="T351" s="27" t="n">
        <v>0.04840011136275644</v>
      </c>
      <c r="U351" s="26" t="n">
        <v>226.2647009181262</v>
      </c>
      <c r="V351" s="27" t="n">
        <v>0.03658403966343343</v>
      </c>
      <c r="W351" s="26" t="n">
        <v>230.8988805839354</v>
      </c>
      <c r="X351" s="27" t="n">
        <v>0.03073342080709558</v>
      </c>
      <c r="Y351" s="26" t="n">
        <v>205.8773621480003</v>
      </c>
      <c r="Z351" s="27" t="n">
        <v>0.02570767531448538</v>
      </c>
      <c r="AA351" s="26" t="n">
        <v>221.2308726522165</v>
      </c>
      <c r="AB351" s="27" t="n">
        <v>0.04114272924201578</v>
      </c>
    </row>
    <row r="352">
      <c r="A352" s="26" t="n">
        <v>192.689372945012</v>
      </c>
      <c r="B352" s="27" t="n">
        <v>0.04213620344308186</v>
      </c>
      <c r="C352" s="26" t="n">
        <v>199.1763181332746</v>
      </c>
      <c r="D352" s="27" t="n">
        <v>0.04005275222444095</v>
      </c>
      <c r="E352" s="26" t="n">
        <v>231.9708274930715</v>
      </c>
      <c r="F352" s="27" t="n">
        <v>0.03083790746660538</v>
      </c>
      <c r="G352" s="26" t="n">
        <v>254.4960898708317</v>
      </c>
      <c r="H352" s="27" t="n">
        <v>0.02407325901617676</v>
      </c>
      <c r="I352" s="26" t="n">
        <v>259.7531972631797</v>
      </c>
      <c r="J352" s="27" t="n">
        <v>0.02379105210954054</v>
      </c>
      <c r="K352" s="26" t="n">
        <v>251.3601191595569</v>
      </c>
      <c r="L352" s="27" t="n">
        <v>0.02528819065171548</v>
      </c>
      <c r="M352" s="26" t="n">
        <v>235.6439489394103</v>
      </c>
      <c r="N352" s="27" t="n">
        <v>0.03065371991650127</v>
      </c>
      <c r="O352" s="26" t="n">
        <v>189.2420429556112</v>
      </c>
      <c r="P352" s="27" t="n">
        <v>0.03325838503916866</v>
      </c>
      <c r="Q352" s="26" t="n">
        <v>220.1841241377323</v>
      </c>
      <c r="R352" s="27" t="n">
        <v>0.04120218854343849</v>
      </c>
      <c r="S352" s="26" t="n">
        <v>205.7068595149281</v>
      </c>
      <c r="T352" s="27" t="n">
        <v>0.04867675152953818</v>
      </c>
      <c r="U352" s="26" t="n">
        <v>226.3497462125786</v>
      </c>
      <c r="V352" s="27" t="n">
        <v>0.03678871619305691</v>
      </c>
      <c r="W352" s="26" t="n">
        <v>230.9770660759881</v>
      </c>
      <c r="X352" s="27" t="n">
        <v>0.03089684041106859</v>
      </c>
      <c r="Y352" s="26" t="n">
        <v>205.9828033146072</v>
      </c>
      <c r="Z352" s="27" t="n">
        <v>0.02581930291511849</v>
      </c>
      <c r="AA352" s="26" t="n">
        <v>221.3110603139231</v>
      </c>
      <c r="AB352" s="27" t="n">
        <v>0.0413796603080752</v>
      </c>
    </row>
    <row r="353">
      <c r="A353" s="26" t="n">
        <v>192.8551346082173</v>
      </c>
      <c r="B353" s="27" t="n">
        <v>0.04234947889724393</v>
      </c>
      <c r="C353" s="26" t="n">
        <v>199.3163676470894</v>
      </c>
      <c r="D353" s="27" t="n">
        <v>0.04026047373362922</v>
      </c>
      <c r="E353" s="26" t="n">
        <v>232.0838851474282</v>
      </c>
      <c r="F353" s="27" t="n">
        <v>0.03099743002672904</v>
      </c>
      <c r="G353" s="26" t="n">
        <v>254.5828123014373</v>
      </c>
      <c r="H353" s="27" t="n">
        <v>0.02419173454722202</v>
      </c>
      <c r="I353" s="26" t="n">
        <v>259.8335816916797</v>
      </c>
      <c r="J353" s="27" t="n">
        <v>0.02390945906730331</v>
      </c>
      <c r="K353" s="26" t="n">
        <v>251.4363616539133</v>
      </c>
      <c r="L353" s="27" t="n">
        <v>0.02541615827980919</v>
      </c>
      <c r="M353" s="26" t="n">
        <v>235.7352546414962</v>
      </c>
      <c r="N353" s="27" t="n">
        <v>0.03081604489818513</v>
      </c>
      <c r="O353" s="26" t="n">
        <v>189.3664476496998</v>
      </c>
      <c r="P353" s="27" t="n">
        <v>0.03341398548904025</v>
      </c>
      <c r="Q353" s="26" t="n">
        <v>220.2782109133653</v>
      </c>
      <c r="R353" s="27" t="n">
        <v>0.04143610714458822</v>
      </c>
      <c r="S353" s="26" t="n">
        <v>205.8132831229594</v>
      </c>
      <c r="T353" s="27" t="n">
        <v>0.04895478893514171</v>
      </c>
      <c r="U353" s="26" t="n">
        <v>226.4347915070309</v>
      </c>
      <c r="V353" s="27" t="n">
        <v>0.03699447257292804</v>
      </c>
      <c r="W353" s="26" t="n">
        <v>231.0552515680409</v>
      </c>
      <c r="X353" s="27" t="n">
        <v>0.03106111225878413</v>
      </c>
      <c r="Y353" s="26" t="n">
        <v>206.0882444812141</v>
      </c>
      <c r="Z353" s="27" t="n">
        <v>0.02593142201493487</v>
      </c>
      <c r="AA353" s="26" t="n">
        <v>221.3912479756297</v>
      </c>
      <c r="AB353" s="27" t="n">
        <v>0.04161783927808423</v>
      </c>
    </row>
    <row r="354">
      <c r="A354" s="26" t="n">
        <v>193.0208962714226</v>
      </c>
      <c r="B354" s="27" t="n">
        <v>0.04256379406683555</v>
      </c>
      <c r="C354" s="26" t="n">
        <v>199.4564171609042</v>
      </c>
      <c r="D354" s="27" t="n">
        <v>0.04046923138272372</v>
      </c>
      <c r="E354" s="26" t="n">
        <v>232.1969428017849</v>
      </c>
      <c r="F354" s="27" t="n">
        <v>0.03115776421675089</v>
      </c>
      <c r="G354" s="26" t="n">
        <v>254.6695347320428</v>
      </c>
      <c r="H354" s="27" t="n">
        <v>0.0243107942971452</v>
      </c>
      <c r="I354" s="26" t="n">
        <v>259.9139661201796</v>
      </c>
      <c r="J354" s="27" t="n">
        <v>0.02402845561286315</v>
      </c>
      <c r="K354" s="26" t="n">
        <v>251.5126041482696</v>
      </c>
      <c r="L354" s="27" t="n">
        <v>0.02554477205336255</v>
      </c>
      <c r="M354" s="26" t="n">
        <v>235.826560343582</v>
      </c>
      <c r="N354" s="27" t="n">
        <v>0.03097921136550537</v>
      </c>
      <c r="O354" s="26" t="n">
        <v>189.4908523437883</v>
      </c>
      <c r="P354" s="27" t="n">
        <v>0.03357032427004804</v>
      </c>
      <c r="Q354" s="26" t="n">
        <v>220.3722976889982</v>
      </c>
      <c r="R354" s="27" t="n">
        <v>0.04167124319058475</v>
      </c>
      <c r="S354" s="26" t="n">
        <v>205.9197067309908</v>
      </c>
      <c r="T354" s="27" t="n">
        <v>0.04923422869330243</v>
      </c>
      <c r="U354" s="26" t="n">
        <v>226.5198368014832</v>
      </c>
      <c r="V354" s="27" t="n">
        <v>0.0372013137200165</v>
      </c>
      <c r="W354" s="26" t="n">
        <v>231.1334370600938</v>
      </c>
      <c r="X354" s="27" t="n">
        <v>0.03122624054625893</v>
      </c>
      <c r="Y354" s="26" t="n">
        <v>206.193685647821</v>
      </c>
      <c r="Z354" s="27" t="n">
        <v>0.02604403480010991</v>
      </c>
      <c r="AA354" s="26" t="n">
        <v>221.4714356373363</v>
      </c>
      <c r="AB354" s="27" t="n">
        <v>0.04185727143251768</v>
      </c>
    </row>
    <row r="355">
      <c r="A355" s="26" t="n">
        <v>193.1866579346279</v>
      </c>
      <c r="B355" s="27" t="n">
        <v>0.0427791533427277</v>
      </c>
      <c r="C355" s="26" t="n">
        <v>199.5964666747189</v>
      </c>
      <c r="D355" s="27" t="n">
        <v>0.04067902972155228</v>
      </c>
      <c r="E355" s="26" t="n">
        <v>232.3100004561417</v>
      </c>
      <c r="F355" s="27" t="n">
        <v>0.03131891392768296</v>
      </c>
      <c r="G355" s="26" t="n">
        <v>254.7562571626484</v>
      </c>
      <c r="H355" s="27" t="n">
        <v>0.02443044113093221</v>
      </c>
      <c r="I355" s="26" t="n">
        <v>259.9943505486796</v>
      </c>
      <c r="J355" s="27" t="n">
        <v>0.0241480446590387</v>
      </c>
      <c r="K355" s="26" t="n">
        <v>251.5888466426259</v>
      </c>
      <c r="L355" s="27" t="n">
        <v>0.02567403518724226</v>
      </c>
      <c r="M355" s="26" t="n">
        <v>235.9178660456678</v>
      </c>
      <c r="N355" s="27" t="n">
        <v>0.03114322340952705</v>
      </c>
      <c r="O355" s="26" t="n">
        <v>189.6152570378769</v>
      </c>
      <c r="P355" s="27" t="n">
        <v>0.03372740487011062</v>
      </c>
      <c r="Q355" s="26" t="n">
        <v>220.4663844646311</v>
      </c>
      <c r="R355" s="27" t="n">
        <v>0.04190760177867398</v>
      </c>
      <c r="S355" s="26" t="n">
        <v>206.0261303390222</v>
      </c>
      <c r="T355" s="27" t="n">
        <v>0.04951507591535531</v>
      </c>
      <c r="U355" s="26" t="n">
        <v>226.6048820959355</v>
      </c>
      <c r="V355" s="27" t="n">
        <v>0.0374092445643408</v>
      </c>
      <c r="W355" s="26" t="n">
        <v>231.2116225521466</v>
      </c>
      <c r="X355" s="27" t="n">
        <v>0.03139222948673597</v>
      </c>
      <c r="Y355" s="26" t="n">
        <v>206.2991268144279</v>
      </c>
      <c r="Z355" s="27" t="n">
        <v>0.0261571434666207</v>
      </c>
      <c r="AA355" s="26" t="n">
        <v>221.5516232990429</v>
      </c>
      <c r="AB355" s="27" t="n">
        <v>0.04209796205955413</v>
      </c>
    </row>
    <row r="356">
      <c r="A356" s="26" t="n">
        <v>193.3524195978332</v>
      </c>
      <c r="B356" s="27" t="n">
        <v>0.04299556112576475</v>
      </c>
      <c r="C356" s="26" t="n">
        <v>199.7365161885337</v>
      </c>
      <c r="D356" s="27" t="n">
        <v>0.04088987331207439</v>
      </c>
      <c r="E356" s="26" t="n">
        <v>232.4230581104984</v>
      </c>
      <c r="F356" s="27" t="n">
        <v>0.03148088306580668</v>
      </c>
      <c r="G356" s="26" t="n">
        <v>254.842979593254</v>
      </c>
      <c r="H356" s="27" t="n">
        <v>0.02455067792720788</v>
      </c>
      <c r="I356" s="26" t="n">
        <v>260.0747349771794</v>
      </c>
      <c r="J356" s="27" t="n">
        <v>0.02426822913254431</v>
      </c>
      <c r="K356" s="26" t="n">
        <v>251.6650891369823</v>
      </c>
      <c r="L356" s="27" t="n">
        <v>0.02580395091145612</v>
      </c>
      <c r="M356" s="26" t="n">
        <v>236.0091717477537</v>
      </c>
      <c r="N356" s="27" t="n">
        <v>0.03130808513749084</v>
      </c>
      <c r="O356" s="26" t="n">
        <v>189.7396617319654</v>
      </c>
      <c r="P356" s="27" t="n">
        <v>0.03388523079283331</v>
      </c>
      <c r="Q356" s="26" t="n">
        <v>220.5604712402641</v>
      </c>
      <c r="R356" s="27" t="n">
        <v>0.04214518801334028</v>
      </c>
      <c r="S356" s="26" t="n">
        <v>206.1325539470536</v>
      </c>
      <c r="T356" s="27" t="n">
        <v>0.04979733570994915</v>
      </c>
      <c r="U356" s="26" t="n">
        <v>226.6899273903878</v>
      </c>
      <c r="V356" s="27" t="n">
        <v>0.03761827004888108</v>
      </c>
      <c r="W356" s="26" t="n">
        <v>231.2898080441994</v>
      </c>
      <c r="X356" s="27" t="n">
        <v>0.0315590833107067</v>
      </c>
      <c r="Y356" s="26" t="n">
        <v>206.4045679810348</v>
      </c>
      <c r="Z356" s="27" t="n">
        <v>0.02627075022029022</v>
      </c>
      <c r="AA356" s="26" t="n">
        <v>221.6318109607495</v>
      </c>
      <c r="AB356" s="27" t="n">
        <v>0.04233991645489617</v>
      </c>
    </row>
    <row r="357">
      <c r="A357" s="26" t="n">
        <v>193.5181812610385</v>
      </c>
      <c r="B357" s="27" t="n">
        <v>0.0432130218266726</v>
      </c>
      <c r="C357" s="26" t="n">
        <v>199.8765657023484</v>
      </c>
      <c r="D357" s="27" t="n">
        <v>0.04110176672830851</v>
      </c>
      <c r="E357" s="26" t="n">
        <v>232.5361157648551</v>
      </c>
      <c r="F357" s="27" t="n">
        <v>0.03164367555268542</v>
      </c>
      <c r="G357" s="26" t="n">
        <v>254.9297020238596</v>
      </c>
      <c r="H357" s="27" t="n">
        <v>0.02467150757829345</v>
      </c>
      <c r="I357" s="26" t="n">
        <v>260.1551194056794</v>
      </c>
      <c r="J357" s="27" t="n">
        <v>0.02438901197404805</v>
      </c>
      <c r="K357" s="26" t="n">
        <v>251.7413316313387</v>
      </c>
      <c r="L357" s="27" t="n">
        <v>0.02593452247121066</v>
      </c>
      <c r="M357" s="26" t="n">
        <v>236.1004774498395</v>
      </c>
      <c r="N357" s="27" t="n">
        <v>0.03147380067282545</v>
      </c>
      <c r="O357" s="26" t="n">
        <v>189.864066426054</v>
      </c>
      <c r="P357" s="27" t="n">
        <v>0.03404380555756371</v>
      </c>
      <c r="Q357" s="26" t="n">
        <v>220.654558015897</v>
      </c>
      <c r="R357" s="27" t="n">
        <v>0.04238400700613176</v>
      </c>
      <c r="S357" s="26" t="n">
        <v>206.2389775550849</v>
      </c>
      <c r="T357" s="27" t="n">
        <v>0.0500810131827556</v>
      </c>
      <c r="U357" s="26" t="n">
        <v>226.7749726848401</v>
      </c>
      <c r="V357" s="27" t="n">
        <v>0.03782839512948883</v>
      </c>
      <c r="W357" s="26" t="n">
        <v>231.3679935362522</v>
      </c>
      <c r="X357" s="27" t="n">
        <v>0.03172680626593264</v>
      </c>
      <c r="Y357" s="26" t="n">
        <v>206.5100091476417</v>
      </c>
      <c r="Z357" s="27" t="n">
        <v>0.0263848572768319</v>
      </c>
      <c r="AA357" s="26" t="n">
        <v>221.7119986224561</v>
      </c>
      <c r="AB357" s="27" t="n">
        <v>0.04258313992158699</v>
      </c>
    </row>
    <row r="358">
      <c r="A358" s="26" t="n">
        <v>193.6839429242438</v>
      </c>
      <c r="B358" s="27" t="n">
        <v>0.04343153986596443</v>
      </c>
      <c r="C358" s="26" t="n">
        <v>200.0166152161632</v>
      </c>
      <c r="D358" s="27" t="n">
        <v>0.04131471455625797</v>
      </c>
      <c r="E358" s="26" t="n">
        <v>232.6491734192119</v>
      </c>
      <c r="F358" s="27" t="n">
        <v>0.0318072953251758</v>
      </c>
      <c r="G358" s="26" t="n">
        <v>255.0164244544652</v>
      </c>
      <c r="H358" s="27" t="n">
        <v>0.0247929329902641</v>
      </c>
      <c r="I358" s="26" t="n">
        <v>260.2355038341793</v>
      </c>
      <c r="J358" s="27" t="n">
        <v>0.02451039613822916</v>
      </c>
      <c r="K358" s="26" t="n">
        <v>251.817574125695</v>
      </c>
      <c r="L358" s="27" t="n">
        <v>0.02606575312696812</v>
      </c>
      <c r="M358" s="26" t="n">
        <v>236.1917831519253</v>
      </c>
      <c r="N358" s="27" t="n">
        <v>0.03164037415515893</v>
      </c>
      <c r="O358" s="26" t="n">
        <v>189.9884711201425</v>
      </c>
      <c r="P358" s="27" t="n">
        <v>0.0342031326994482</v>
      </c>
      <c r="Q358" s="26" t="n">
        <v>220.74864479153</v>
      </c>
      <c r="R358" s="27" t="n">
        <v>0.04262406387548269</v>
      </c>
      <c r="S358" s="26" t="n">
        <v>206.3454011631163</v>
      </c>
      <c r="T358" s="27" t="n">
        <v>0.05036611343617669</v>
      </c>
      <c r="U358" s="26" t="n">
        <v>226.8600179792924</v>
      </c>
      <c r="V358" s="27" t="n">
        <v>0.03803962477479485</v>
      </c>
      <c r="W358" s="26" t="n">
        <v>231.446179028305</v>
      </c>
      <c r="X358" s="27" t="n">
        <v>0.03189540261746688</v>
      </c>
      <c r="Y358" s="26" t="n">
        <v>206.6154503142486</v>
      </c>
      <c r="Z358" s="27" t="n">
        <v>0.02649946686189435</v>
      </c>
      <c r="AA358" s="26" t="n">
        <v>221.7921862841627</v>
      </c>
      <c r="AB358" s="27" t="n">
        <v>0.04282763776982424</v>
      </c>
    </row>
    <row r="359">
      <c r="A359" s="26" t="n">
        <v>193.8497045874491</v>
      </c>
      <c r="B359" s="27" t="n">
        <v>0.04365111967384475</v>
      </c>
      <c r="C359" s="26" t="n">
        <v>200.156664729978</v>
      </c>
      <c r="D359" s="27" t="n">
        <v>0.04152872139383422</v>
      </c>
      <c r="E359" s="26" t="n">
        <v>232.7622310735686</v>
      </c>
      <c r="F359" s="27" t="n">
        <v>0.03197174633543823</v>
      </c>
      <c r="G359" s="26" t="n">
        <v>255.1031468850707</v>
      </c>
      <c r="H359" s="27" t="n">
        <v>0.02491495708300625</v>
      </c>
      <c r="I359" s="26" t="n">
        <v>260.3158882626793</v>
      </c>
      <c r="J359" s="27" t="n">
        <v>0.02463238459383589</v>
      </c>
      <c r="K359" s="26" t="n">
        <v>251.8938166200514</v>
      </c>
      <c r="L359" s="27" t="n">
        <v>0.02619764615450421</v>
      </c>
      <c r="M359" s="26" t="n">
        <v>236.2830888540112</v>
      </c>
      <c r="N359" s="27" t="n">
        <v>0.03180780974032902</v>
      </c>
      <c r="O359" s="26" t="n">
        <v>190.1128758142311</v>
      </c>
      <c r="P359" s="27" t="n">
        <v>0.03436321576948796</v>
      </c>
      <c r="Q359" s="26" t="n">
        <v>220.8427315671629</v>
      </c>
      <c r="R359" s="27" t="n">
        <v>0.0428653637465327</v>
      </c>
      <c r="S359" s="26" t="n">
        <v>206.4518247711477</v>
      </c>
      <c r="T359" s="27" t="n">
        <v>0.05065264156904782</v>
      </c>
      <c r="U359" s="26" t="n">
        <v>226.9450632737447</v>
      </c>
      <c r="V359" s="27" t="n">
        <v>0.03825196396611531</v>
      </c>
      <c r="W359" s="26" t="n">
        <v>231.5243645203578</v>
      </c>
      <c r="X359" s="27" t="n">
        <v>0.0320648766476737</v>
      </c>
      <c r="Y359" s="26" t="n">
        <v>206.7208914808556</v>
      </c>
      <c r="Z359" s="27" t="n">
        <v>0.02661458121110572</v>
      </c>
      <c r="AA359" s="26" t="n">
        <v>221.8723739458693</v>
      </c>
      <c r="AB359" s="27" t="n">
        <v>0.04307341531677171</v>
      </c>
    </row>
    <row r="360">
      <c r="A360" s="26" t="n">
        <v>194.0154662506545</v>
      </c>
      <c r="B360" s="27" t="n">
        <v>0.04387176569011134</v>
      </c>
      <c r="C360" s="26" t="n">
        <v>200.2967142437928</v>
      </c>
      <c r="D360" s="27" t="n">
        <v>0.04174379185077914</v>
      </c>
      <c r="E360" s="26" t="n">
        <v>232.8752887279253</v>
      </c>
      <c r="F360" s="27" t="n">
        <v>0.03213703255094686</v>
      </c>
      <c r="G360" s="26" t="n">
        <v>255.1898693156763</v>
      </c>
      <c r="H360" s="27" t="n">
        <v>0.02503758279027585</v>
      </c>
      <c r="I360" s="26" t="n">
        <v>260.3962726911792</v>
      </c>
      <c r="J360" s="27" t="n">
        <v>0.02475498032374333</v>
      </c>
      <c r="K360" s="26" t="n">
        <v>251.9700591144077</v>
      </c>
      <c r="L360" s="27" t="n">
        <v>0.02633020484496491</v>
      </c>
      <c r="M360" s="26" t="n">
        <v>236.374394556097</v>
      </c>
      <c r="N360" s="27" t="n">
        <v>0.03197611160039266</v>
      </c>
      <c r="O360" s="26" t="n">
        <v>190.2372805083196</v>
      </c>
      <c r="P360" s="27" t="n">
        <v>0.03452405833459446</v>
      </c>
      <c r="Q360" s="26" t="n">
        <v>220.9368183427958</v>
      </c>
      <c r="R360" s="27" t="n">
        <v>0.0431079117509441</v>
      </c>
      <c r="S360" s="26" t="n">
        <v>206.5582483791791</v>
      </c>
      <c r="T360" s="27" t="n">
        <v>0.05094060267633794</v>
      </c>
      <c r="U360" s="26" t="n">
        <v>227.030108568197</v>
      </c>
      <c r="V360" s="27" t="n">
        <v>0.03846541769735533</v>
      </c>
      <c r="W360" s="26" t="n">
        <v>231.6025500124106</v>
      </c>
      <c r="X360" s="27" t="n">
        <v>0.03223523265624795</v>
      </c>
      <c r="Y360" s="26" t="n">
        <v>206.8263326474625</v>
      </c>
      <c r="Z360" s="27" t="n">
        <v>0.02673020257011922</v>
      </c>
      <c r="AA360" s="26" t="n">
        <v>221.9525616075759</v>
      </c>
      <c r="AB360" s="27" t="n">
        <v>0.04332047788636718</v>
      </c>
    </row>
    <row r="361">
      <c r="A361" s="26" t="n">
        <v>194.1812279138597</v>
      </c>
      <c r="B361" s="27" t="n">
        <v>0.04409348236405577</v>
      </c>
      <c r="C361" s="26" t="n">
        <v>200.4367637576076</v>
      </c>
      <c r="D361" s="27" t="n">
        <v>0.04195993054858501</v>
      </c>
      <c r="E361" s="26" t="n">
        <v>232.988346382282</v>
      </c>
      <c r="F361" s="27" t="n">
        <v>0.03230315795449849</v>
      </c>
      <c r="G361" s="26" t="n">
        <v>255.2765917462819</v>
      </c>
      <c r="H361" s="27" t="n">
        <v>0.0251608130597555</v>
      </c>
      <c r="I361" s="26" t="n">
        <v>260.4766571196792</v>
      </c>
      <c r="J361" s="27" t="n">
        <v>0.02487818632501128</v>
      </c>
      <c r="K361" s="26" t="n">
        <v>252.0463016087641</v>
      </c>
      <c r="L361" s="27" t="n">
        <v>0.02646343250492404</v>
      </c>
      <c r="M361" s="26" t="n">
        <v>236.4657002581828</v>
      </c>
      <c r="N361" s="27" t="n">
        <v>0.03214528392363472</v>
      </c>
      <c r="O361" s="26" t="n">
        <v>190.3616852024081</v>
      </c>
      <c r="P361" s="27" t="n">
        <v>0.03468566397764578</v>
      </c>
      <c r="Q361" s="26" t="n">
        <v>221.0309051184288</v>
      </c>
      <c r="R361" s="27" t="n">
        <v>0.04335171302671544</v>
      </c>
      <c r="S361" s="26" t="n">
        <v>206.6646719872104</v>
      </c>
      <c r="T361" s="27" t="n">
        <v>0.0512300018488468</v>
      </c>
      <c r="U361" s="26" t="n">
        <v>227.1151538626493</v>
      </c>
      <c r="V361" s="27" t="n">
        <v>0.03867999097491062</v>
      </c>
      <c r="W361" s="26" t="n">
        <v>231.6807355044634</v>
      </c>
      <c r="X361" s="27" t="n">
        <v>0.03240647496023383</v>
      </c>
      <c r="Y361" s="26" t="n">
        <v>206.9317738140694</v>
      </c>
      <c r="Z361" s="27" t="n">
        <v>0.02684633319465813</v>
      </c>
      <c r="AA361" s="26" t="n">
        <v>222.0327492692825</v>
      </c>
      <c r="AB361" s="27" t="n">
        <v>0.04356883080912816</v>
      </c>
    </row>
    <row r="362">
      <c r="A362" s="26" t="n">
        <v>194.3469895770651</v>
      </c>
      <c r="B362" s="27" t="n">
        <v>0.04431627415436101</v>
      </c>
      <c r="C362" s="26" t="n">
        <v>200.5768132714223</v>
      </c>
      <c r="D362" s="27" t="n">
        <v>0.0421771421204125</v>
      </c>
      <c r="E362" s="26" t="n">
        <v>233.1014040366388</v>
      </c>
      <c r="F362" s="27" t="n">
        <v>0.03247012654422064</v>
      </c>
      <c r="G362" s="26" t="n">
        <v>255.3633141768874</v>
      </c>
      <c r="H362" s="27" t="n">
        <v>0.02528465085311305</v>
      </c>
      <c r="I362" s="26" t="n">
        <v>260.5570415481791</v>
      </c>
      <c r="J362" s="27" t="n">
        <v>0.02500200560894234</v>
      </c>
      <c r="K362" s="26" t="n">
        <v>252.1225441031204</v>
      </c>
      <c r="L362" s="27" t="n">
        <v>0.02659733245644047</v>
      </c>
      <c r="M362" s="26" t="n">
        <v>236.5570059602687</v>
      </c>
      <c r="N362" s="27" t="n">
        <v>0.0323153309145759</v>
      </c>
      <c r="O362" s="26" t="n">
        <v>190.4860898964967</v>
      </c>
      <c r="P362" s="27" t="n">
        <v>0.03484803629754202</v>
      </c>
      <c r="Q362" s="26" t="n">
        <v>221.1249918940618</v>
      </c>
      <c r="R362" s="27" t="n">
        <v>0.04359677271799303</v>
      </c>
      <c r="S362" s="26" t="n">
        <v>206.7710955952418</v>
      </c>
      <c r="T362" s="27" t="n">
        <v>0.05152084417289819</v>
      </c>
      <c r="U362" s="26" t="n">
        <v>227.2001991571016</v>
      </c>
      <c r="V362" s="27" t="n">
        <v>0.03889568881756682</v>
      </c>
      <c r="W362" s="26" t="n">
        <v>231.7589209965162</v>
      </c>
      <c r="X362" s="27" t="n">
        <v>0.03257860789404237</v>
      </c>
      <c r="Y362" s="26" t="n">
        <v>207.0372149806763</v>
      </c>
      <c r="Z362" s="27" t="n">
        <v>0.02696297535056128</v>
      </c>
      <c r="AA362" s="26" t="n">
        <v>222.1129369309891</v>
      </c>
      <c r="AB362" s="27" t="n">
        <v>0.04381847942195389</v>
      </c>
    </row>
    <row r="363">
      <c r="A363" s="26" t="n">
        <v>194.5127512402703</v>
      </c>
      <c r="B363" s="27" t="n">
        <v>0.04454014552899793</v>
      </c>
      <c r="C363" s="26" t="n">
        <v>200.7168627852371</v>
      </c>
      <c r="D363" s="27" t="n">
        <v>0.04239543121100727</v>
      </c>
      <c r="E363" s="26" t="n">
        <v>233.2144616909955</v>
      </c>
      <c r="F363" s="27" t="n">
        <v>0.03263794233357874</v>
      </c>
      <c r="G363" s="26" t="n">
        <v>255.450036607493</v>
      </c>
      <c r="H363" s="27" t="n">
        <v>0.02540909914605907</v>
      </c>
      <c r="I363" s="26" t="n">
        <v>260.6374259766791</v>
      </c>
      <c r="J363" s="27" t="n">
        <v>0.02512644120113981</v>
      </c>
      <c r="K363" s="26" t="n">
        <v>252.1987865974768</v>
      </c>
      <c r="L363" s="27" t="n">
        <v>0.02673190803711509</v>
      </c>
      <c r="M363" s="26" t="n">
        <v>236.6483116623545</v>
      </c>
      <c r="N363" s="27" t="n">
        <v>0.03248625679397924</v>
      </c>
      <c r="O363" s="26" t="n">
        <v>190.6104945905852</v>
      </c>
      <c r="P363" s="27" t="n">
        <v>0.03501117890926143</v>
      </c>
      <c r="Q363" s="26" t="n">
        <v>221.2190786696947</v>
      </c>
      <c r="R363" s="27" t="n">
        <v>0.04384309597487911</v>
      </c>
      <c r="S363" s="26" t="n">
        <v>206.8775192032732</v>
      </c>
      <c r="T363" s="27" t="n">
        <v>0.05181313473003032</v>
      </c>
      <c r="U363" s="26" t="n">
        <v>227.2852444515539</v>
      </c>
      <c r="V363" s="27" t="n">
        <v>0.03911251625639697</v>
      </c>
      <c r="W363" s="26" t="n">
        <v>231.837106488569</v>
      </c>
      <c r="X363" s="27" t="n">
        <v>0.03275163580946833</v>
      </c>
      <c r="Y363" s="26" t="n">
        <v>207.1426561472832</v>
      </c>
      <c r="Z363" s="27" t="n">
        <v>0.02708013131382854</v>
      </c>
      <c r="AA363" s="26" t="n">
        <v>222.1931245926957</v>
      </c>
      <c r="AB363" s="27" t="n">
        <v>0.04406942906792526</v>
      </c>
    </row>
    <row r="364">
      <c r="A364" s="26" t="n">
        <v>194.6785129034757</v>
      </c>
      <c r="B364" s="27" t="n">
        <v>0.04476510096511901</v>
      </c>
      <c r="C364" s="26" t="n">
        <v>200.8569122990519</v>
      </c>
      <c r="D364" s="27" t="n">
        <v>0.04261480247661405</v>
      </c>
      <c r="E364" s="26" t="n">
        <v>233.3275193453522</v>
      </c>
      <c r="F364" s="27" t="n">
        <v>0.03280660935138299</v>
      </c>
      <c r="G364" s="26" t="n">
        <v>255.5367590380986</v>
      </c>
      <c r="H364" s="27" t="n">
        <v>0.02553416092840538</v>
      </c>
      <c r="I364" s="26" t="n">
        <v>260.717810405179</v>
      </c>
      <c r="J364" s="27" t="n">
        <v>0.02525149614156613</v>
      </c>
      <c r="K364" s="26" t="n">
        <v>252.2750290918331</v>
      </c>
      <c r="L364" s="27" t="n">
        <v>0.02686716260014826</v>
      </c>
      <c r="M364" s="26" t="n">
        <v>236.7396173644404</v>
      </c>
      <c r="N364" s="27" t="n">
        <v>0.03265806579885625</v>
      </c>
      <c r="O364" s="26" t="n">
        <v>190.7348992846738</v>
      </c>
      <c r="P364" s="27" t="n">
        <v>0.03517509544391562</v>
      </c>
      <c r="Q364" s="26" t="n">
        <v>221.3131654453277</v>
      </c>
      <c r="R364" s="27" t="n">
        <v>0.04409068795323744</v>
      </c>
      <c r="S364" s="26" t="n">
        <v>206.9839428113045</v>
      </c>
      <c r="T364" s="27" t="n">
        <v>0.0521068785966828</v>
      </c>
      <c r="U364" s="26" t="n">
        <v>227.3702897460062</v>
      </c>
      <c r="V364" s="27" t="n">
        <v>0.03933047833465636</v>
      </c>
      <c r="W364" s="26" t="n">
        <v>231.9152919806218</v>
      </c>
      <c r="X364" s="27" t="n">
        <v>0.03292556307570608</v>
      </c>
      <c r="Y364" s="26" t="n">
        <v>207.2480973138901</v>
      </c>
      <c r="Z364" s="27" t="n">
        <v>0.02719780337066697</v>
      </c>
      <c r="AA364" s="26" t="n">
        <v>222.2733122544022</v>
      </c>
      <c r="AB364" s="27" t="n">
        <v>0.04432168509610135</v>
      </c>
    </row>
    <row r="365">
      <c r="A365" s="26" t="n">
        <v>194.844274566681</v>
      </c>
      <c r="B365" s="27" t="n">
        <v>0.04499114494895071</v>
      </c>
      <c r="C365" s="26" t="n">
        <v>200.9969618128667</v>
      </c>
      <c r="D365" s="27" t="n">
        <v>0.04283526058488925</v>
      </c>
      <c r="E365" s="26" t="n">
        <v>233.4405769997089</v>
      </c>
      <c r="F365" s="27" t="n">
        <v>0.03297613164179323</v>
      </c>
      <c r="G365" s="26" t="n">
        <v>255.6234814687041</v>
      </c>
      <c r="H365" s="27" t="n">
        <v>0.02565983920412277</v>
      </c>
      <c r="I365" s="26" t="n">
        <v>260.798194833679</v>
      </c>
      <c r="J365" s="27" t="n">
        <v>0.02537717348460075</v>
      </c>
      <c r="K365" s="26" t="n">
        <v>252.3512715861895</v>
      </c>
      <c r="L365" s="27" t="n">
        <v>0.02700309951439647</v>
      </c>
      <c r="M365" s="26" t="n">
        <v>236.8309230665262</v>
      </c>
      <c r="N365" s="27" t="n">
        <v>0.03283076218247172</v>
      </c>
      <c r="O365" s="26" t="n">
        <v>190.8593039787623</v>
      </c>
      <c r="P365" s="27" t="n">
        <v>0.03533978954880553</v>
      </c>
      <c r="Q365" s="26" t="n">
        <v>221.4072522209606</v>
      </c>
      <c r="R365" s="27" t="n">
        <v>0.04433955381449584</v>
      </c>
      <c r="S365" s="26" t="n">
        <v>207.0903664193359</v>
      </c>
      <c r="T365" s="27" t="n">
        <v>0.05240208084387985</v>
      </c>
      <c r="U365" s="26" t="n">
        <v>227.4553350404585</v>
      </c>
      <c r="V365" s="27" t="n">
        <v>0.0395495801076753</v>
      </c>
      <c r="W365" s="26" t="n">
        <v>231.9934774726746</v>
      </c>
      <c r="X365" s="27" t="n">
        <v>0.03310039407936476</v>
      </c>
      <c r="Y365" s="26" t="n">
        <v>207.353538480497</v>
      </c>
      <c r="Z365" s="27" t="n">
        <v>0.0273159938175366</v>
      </c>
      <c r="AA365" s="26" t="n">
        <v>222.3534999161089</v>
      </c>
      <c r="AB365" s="27" t="n">
        <v>0.0445752528613124</v>
      </c>
    </row>
    <row r="366">
      <c r="A366" s="26" t="n">
        <v>195.0100362298863</v>
      </c>
      <c r="B366" s="27" t="n">
        <v>0.04521828197568335</v>
      </c>
      <c r="C366" s="26" t="n">
        <v>201.1370113266815</v>
      </c>
      <c r="D366" s="27" t="n">
        <v>0.04305681021481132</v>
      </c>
      <c r="E366" s="26" t="n">
        <v>233.5536346540657</v>
      </c>
      <c r="F366" s="27" t="n">
        <v>0.03314651326432407</v>
      </c>
      <c r="G366" s="26" t="n">
        <v>255.7102038993097</v>
      </c>
      <c r="H366" s="27" t="n">
        <v>0.02578613699139977</v>
      </c>
      <c r="I366" s="26" t="n">
        <v>260.8785792621788</v>
      </c>
      <c r="J366" s="27" t="n">
        <v>0.02550347629909858</v>
      </c>
      <c r="K366" s="26" t="n">
        <v>252.4275140805458</v>
      </c>
      <c r="L366" s="27" t="n">
        <v>0.02713972216442979</v>
      </c>
      <c r="M366" s="26" t="n">
        <v>236.922228768612</v>
      </c>
      <c r="N366" s="27" t="n">
        <v>0.03300435021434766</v>
      </c>
      <c r="O366" s="26" t="n">
        <v>190.9837086728509</v>
      </c>
      <c r="P366" s="27" t="n">
        <v>0.03550526488747638</v>
      </c>
      <c r="Q366" s="26" t="n">
        <v>221.5013389965935</v>
      </c>
      <c r="R366" s="27" t="n">
        <v>0.04458969872544605</v>
      </c>
      <c r="S366" s="26" t="n">
        <v>207.1967900273673</v>
      </c>
      <c r="T366" s="27" t="n">
        <v>0.0526987465369106</v>
      </c>
      <c r="U366" s="26" t="n">
        <v>227.5403803349108</v>
      </c>
      <c r="V366" s="27" t="n">
        <v>0.03976982664274956</v>
      </c>
      <c r="W366" s="26" t="n">
        <v>232.0716629647274</v>
      </c>
      <c r="X366" s="27" t="n">
        <v>0.03327613322448248</v>
      </c>
      <c r="Y366" s="26" t="n">
        <v>207.4589796471039</v>
      </c>
      <c r="Z366" s="27" t="n">
        <v>0.02743470496119695</v>
      </c>
      <c r="AA366" s="26" t="n">
        <v>222.4336875778154</v>
      </c>
      <c r="AB366" s="27" t="n">
        <v>0.04483013772395082</v>
      </c>
    </row>
    <row r="367">
      <c r="A367" s="26" t="n">
        <v>195.1757978930916</v>
      </c>
      <c r="B367" s="27" t="n">
        <v>0.04544651654935879</v>
      </c>
      <c r="C367" s="26" t="n">
        <v>201.2770608404963</v>
      </c>
      <c r="D367" s="27" t="n">
        <v>0.04327945605658948</v>
      </c>
      <c r="E367" s="26" t="n">
        <v>233.6666923084224</v>
      </c>
      <c r="F367" s="27" t="n">
        <v>0.03331775829384825</v>
      </c>
      <c r="G367" s="26" t="n">
        <v>255.7969263299153</v>
      </c>
      <c r="H367" s="27" t="n">
        <v>0.02591305732270067</v>
      </c>
      <c r="I367" s="26" t="n">
        <v>260.9589636906788</v>
      </c>
      <c r="J367" s="27" t="n">
        <v>0.02563040766844826</v>
      </c>
      <c r="K367" s="26" t="n">
        <v>252.5037565749022</v>
      </c>
      <c r="L367" s="27" t="n">
        <v>0.02727703395058838</v>
      </c>
      <c r="M367" s="26" t="n">
        <v>237.0135344706979</v>
      </c>
      <c r="N367" s="27" t="n">
        <v>0.03317883418026615</v>
      </c>
      <c r="O367" s="26" t="n">
        <v>191.1081133669394</v>
      </c>
      <c r="P367" s="27" t="n">
        <v>0.03567152513977363</v>
      </c>
      <c r="Q367" s="26" t="n">
        <v>221.5954257722265</v>
      </c>
      <c r="R367" s="27" t="n">
        <v>0.04484112785804024</v>
      </c>
      <c r="S367" s="26" t="n">
        <v>207.3032136353987</v>
      </c>
      <c r="T367" s="27" t="n">
        <v>0.05299688073500592</v>
      </c>
      <c r="U367" s="26" t="n">
        <v>227.6254256293631</v>
      </c>
      <c r="V367" s="27" t="n">
        <v>0.03999122301902859</v>
      </c>
      <c r="W367" s="26" t="n">
        <v>232.1498484567802</v>
      </c>
      <c r="X367" s="27" t="n">
        <v>0.03345278493253959</v>
      </c>
      <c r="Y367" s="26" t="n">
        <v>207.5644208137108</v>
      </c>
      <c r="Z367" s="27" t="n">
        <v>0.02755393911875317</v>
      </c>
      <c r="AA367" s="26" t="n">
        <v>222.5138752395221</v>
      </c>
      <c r="AB367" s="27" t="n">
        <v>0.04508634504975848</v>
      </c>
    </row>
    <row r="368">
      <c r="A368" s="26" t="n">
        <v>195.3415595562969</v>
      </c>
      <c r="B368" s="27" t="n">
        <v>0.04567585318275633</v>
      </c>
      <c r="C368" s="26" t="n">
        <v>201.417110354311</v>
      </c>
      <c r="D368" s="27" t="n">
        <v>0.0435032028115698</v>
      </c>
      <c r="E368" s="26" t="n">
        <v>233.7797499627791</v>
      </c>
      <c r="F368" s="27" t="n">
        <v>0.03348987082059957</v>
      </c>
      <c r="G368" s="26" t="n">
        <v>255.8836487605209</v>
      </c>
      <c r="H368" s="27" t="n">
        <v>0.02604060324482417</v>
      </c>
      <c r="I368" s="26" t="n">
        <v>261.0393481191787</v>
      </c>
      <c r="J368" s="27" t="n">
        <v>0.02575797069063061</v>
      </c>
      <c r="K368" s="26" t="n">
        <v>252.5799990692585</v>
      </c>
      <c r="L368" s="27" t="n">
        <v>0.02741503828903986</v>
      </c>
      <c r="M368" s="26" t="n">
        <v>237.1048401727837</v>
      </c>
      <c r="N368" s="27" t="n">
        <v>0.03335421838227134</v>
      </c>
      <c r="O368" s="26" t="n">
        <v>191.232518061028</v>
      </c>
      <c r="P368" s="27" t="n">
        <v>0.03583857400189766</v>
      </c>
      <c r="Q368" s="26" t="n">
        <v>221.6895125478595</v>
      </c>
      <c r="R368" s="27" t="n">
        <v>0.04509384638918496</v>
      </c>
      <c r="S368" s="26" t="n">
        <v>207.40963724343</v>
      </c>
      <c r="T368" s="27" t="n">
        <v>0.05329648849101146</v>
      </c>
      <c r="U368" s="26" t="n">
        <v>227.7104709238154</v>
      </c>
      <c r="V368" s="27" t="n">
        <v>0.04021377432740154</v>
      </c>
      <c r="W368" s="26" t="n">
        <v>232.228033948833</v>
      </c>
      <c r="X368" s="27" t="n">
        <v>0.0336303536424707</v>
      </c>
      <c r="Y368" s="26" t="n">
        <v>207.6698619803177</v>
      </c>
      <c r="Z368" s="27" t="n">
        <v>0.02767369861770305</v>
      </c>
      <c r="AA368" s="26" t="n">
        <v>222.5940629012287</v>
      </c>
      <c r="AB368" s="27" t="n">
        <v>0.04534388020961094</v>
      </c>
    </row>
    <row r="369">
      <c r="A369" s="26" t="n">
        <v>195.5073212195022</v>
      </c>
      <c r="B369" s="27" t="n">
        <v>0.04590629639727631</v>
      </c>
      <c r="C369" s="26" t="n">
        <v>201.5571598681258</v>
      </c>
      <c r="D369" s="27" t="n">
        <v>0.04372805519213969</v>
      </c>
      <c r="E369" s="26" t="n">
        <v>233.8928076171358</v>
      </c>
      <c r="F369" s="27" t="n">
        <v>0.03366285495017467</v>
      </c>
      <c r="G369" s="26" t="n">
        <v>255.9703711911264</v>
      </c>
      <c r="H369" s="27" t="n">
        <v>0.02616877781896177</v>
      </c>
      <c r="I369" s="26" t="n">
        <v>261.1197325476787</v>
      </c>
      <c r="J369" s="27" t="n">
        <v>0.02588616847827696</v>
      </c>
      <c r="K369" s="26" t="n">
        <v>252.6562415636149</v>
      </c>
      <c r="L369" s="27" t="n">
        <v>0.02755373861183567</v>
      </c>
      <c r="M369" s="26" t="n">
        <v>237.1961458748696</v>
      </c>
      <c r="N369" s="27" t="n">
        <v>0.03353050713867047</v>
      </c>
      <c r="O369" s="26" t="n">
        <v>191.3569227551165</v>
      </c>
      <c r="P369" s="27" t="n">
        <v>0.03600641518645938</v>
      </c>
      <c r="Q369" s="26" t="n">
        <v>221.7835993234924</v>
      </c>
      <c r="R369" s="27" t="n">
        <v>0.04534785950053196</v>
      </c>
      <c r="S369" s="26" t="n">
        <v>207.5160608514614</v>
      </c>
      <c r="T369" s="27" t="n">
        <v>0.0535975748510578</v>
      </c>
      <c r="U369" s="26" t="n">
        <v>227.7955162182677</v>
      </c>
      <c r="V369" s="27" t="n">
        <v>0.04043748567038048</v>
      </c>
      <c r="W369" s="26" t="n">
        <v>232.3062194408859</v>
      </c>
      <c r="X369" s="27" t="n">
        <v>0.03380884381067655</v>
      </c>
      <c r="Y369" s="26" t="n">
        <v>207.7753031469246</v>
      </c>
      <c r="Z369" s="27" t="n">
        <v>0.02779398579598369</v>
      </c>
      <c r="AA369" s="26" t="n">
        <v>222.6742505629352</v>
      </c>
      <c r="AB369" s="27" t="n">
        <v>0.04560274857929848</v>
      </c>
    </row>
    <row r="370">
      <c r="A370" s="26" t="n">
        <v>195.6730828827075</v>
      </c>
      <c r="B370" s="27" t="n">
        <v>0.04613785072282141</v>
      </c>
      <c r="C370" s="26" t="n">
        <v>201.6972093819406</v>
      </c>
      <c r="D370" s="27" t="n">
        <v>0.0439540179216306</v>
      </c>
      <c r="E370" s="26" t="n">
        <v>234.0058652714925</v>
      </c>
      <c r="F370" s="27" t="n">
        <v>0.03383671480353376</v>
      </c>
      <c r="G370" s="26" t="n">
        <v>256.057093621732</v>
      </c>
      <c r="H370" s="27" t="n">
        <v>0.02629758412075656</v>
      </c>
      <c r="I370" s="26" t="n">
        <v>261.2001169761786</v>
      </c>
      <c r="J370" s="27" t="n">
        <v>0.02601500415872766</v>
      </c>
      <c r="K370" s="26" t="n">
        <v>252.7324840579712</v>
      </c>
      <c r="L370" s="27" t="n">
        <v>0.02769313836696812</v>
      </c>
      <c r="M370" s="26" t="n">
        <v>237.2874515769554</v>
      </c>
      <c r="N370" s="27" t="n">
        <v>0.03370770478403354</v>
      </c>
      <c r="O370" s="26" t="n">
        <v>191.481327449205</v>
      </c>
      <c r="P370" s="27" t="n">
        <v>0.03617505242253489</v>
      </c>
      <c r="Q370" s="26" t="n">
        <v>221.8776860991254</v>
      </c>
      <c r="R370" s="27" t="n">
        <v>0.04560317237826596</v>
      </c>
      <c r="S370" s="26" t="n">
        <v>207.6224844594928</v>
      </c>
      <c r="T370" s="27" t="n">
        <v>0.05390014485422667</v>
      </c>
      <c r="U370" s="26" t="n">
        <v>227.88056151272</v>
      </c>
      <c r="V370" s="27" t="n">
        <v>0.04066236216198194</v>
      </c>
      <c r="W370" s="26" t="n">
        <v>232.3844049329387</v>
      </c>
      <c r="X370" s="27" t="n">
        <v>0.03398825991103412</v>
      </c>
      <c r="Y370" s="26" t="n">
        <v>207.8807443135316</v>
      </c>
      <c r="Z370" s="27" t="n">
        <v>0.02791480300201875</v>
      </c>
      <c r="AA370" s="26" t="n">
        <v>222.7544382246418</v>
      </c>
      <c r="AB370" s="27" t="n">
        <v>0.04586295553930466</v>
      </c>
    </row>
    <row r="371">
      <c r="A371" s="26" t="n">
        <v>195.8388445459129</v>
      </c>
      <c r="B371" s="27" t="n">
        <v>0.04637052069767602</v>
      </c>
      <c r="C371" s="26" t="n">
        <v>201.8372588957554</v>
      </c>
      <c r="D371" s="27" t="n">
        <v>0.04418109573421809</v>
      </c>
      <c r="E371" s="26" t="n">
        <v>234.1189229258493</v>
      </c>
      <c r="F371" s="27" t="n">
        <v>0.03401145451700078</v>
      </c>
      <c r="G371" s="26" t="n">
        <v>256.1438160523376</v>
      </c>
      <c r="H371" s="27" t="n">
        <v>0.02642702524036166</v>
      </c>
      <c r="I371" s="26" t="n">
        <v>261.2805014046786</v>
      </c>
      <c r="J371" s="27" t="n">
        <v>0.02614448087409061</v>
      </c>
      <c r="K371" s="26" t="n">
        <v>252.8087265523276</v>
      </c>
      <c r="L371" s="27" t="n">
        <v>0.02783324101842687</v>
      </c>
      <c r="M371" s="26" t="n">
        <v>237.3787572790412</v>
      </c>
      <c r="N371" s="27" t="n">
        <v>0.03388581566919208</v>
      </c>
      <c r="O371" s="26" t="n">
        <v>191.6057321432936</v>
      </c>
      <c r="P371" s="27" t="n">
        <v>0.03634448945572064</v>
      </c>
      <c r="Q371" s="26" t="n">
        <v>221.9717728747583</v>
      </c>
      <c r="R371" s="27" t="n">
        <v>0.0458597902128894</v>
      </c>
      <c r="S371" s="26" t="n">
        <v>207.7289080675242</v>
      </c>
      <c r="T371" s="27" t="n">
        <v>0.05420420353221399</v>
      </c>
      <c r="U371" s="26" t="n">
        <v>227.9656068071723</v>
      </c>
      <c r="V371" s="27" t="n">
        <v>0.04088840892760525</v>
      </c>
      <c r="W371" s="26" t="n">
        <v>232.4625904249914</v>
      </c>
      <c r="X371" s="27" t="n">
        <v>0.03416860643490619</v>
      </c>
      <c r="Y371" s="26" t="n">
        <v>207.9861854801385</v>
      </c>
      <c r="Z371" s="27" t="n">
        <v>0.02803615259476578</v>
      </c>
      <c r="AA371" s="26" t="n">
        <v>222.8346258863484</v>
      </c>
      <c r="AB371" s="27" t="n">
        <v>0.04612450647458102</v>
      </c>
    </row>
    <row r="372">
      <c r="A372" s="26" t="n">
        <v>196.0046062091182</v>
      </c>
      <c r="B372" s="27" t="n">
        <v>0.04660431086838328</v>
      </c>
      <c r="C372" s="26" t="n">
        <v>201.9773084095702</v>
      </c>
      <c r="D372" s="27" t="n">
        <v>0.04440929337481989</v>
      </c>
      <c r="E372" s="26" t="n">
        <v>234.231980580206</v>
      </c>
      <c r="F372" s="27" t="n">
        <v>0.03418707824226176</v>
      </c>
      <c r="G372" s="26" t="n">
        <v>256.2305384829432</v>
      </c>
      <c r="H372" s="27" t="n">
        <v>0.02655710428249894</v>
      </c>
      <c r="I372" s="26" t="n">
        <v>261.3608858331785</v>
      </c>
      <c r="J372" s="27" t="n">
        <v>0.0262746017812999</v>
      </c>
      <c r="K372" s="26" t="n">
        <v>252.8849690466839</v>
      </c>
      <c r="L372" s="27" t="n">
        <v>0.02797405004625539</v>
      </c>
      <c r="M372" s="26" t="n">
        <v>237.4700629811271</v>
      </c>
      <c r="N372" s="27" t="n">
        <v>0.03406484416123694</v>
      </c>
      <c r="O372" s="26" t="n">
        <v>191.7301368373821</v>
      </c>
      <c r="P372" s="27" t="n">
        <v>0.03651473004818811</v>
      </c>
      <c r="Q372" s="26" t="n">
        <v>222.0658596503912</v>
      </c>
      <c r="R372" s="27" t="n">
        <v>0.0461177181990045</v>
      </c>
      <c r="S372" s="26" t="n">
        <v>207.8353316755556</v>
      </c>
      <c r="T372" s="27" t="n">
        <v>0.05450975590898941</v>
      </c>
      <c r="U372" s="26" t="n">
        <v>228.0506521016246</v>
      </c>
      <c r="V372" s="27" t="n">
        <v>0.04111563110390917</v>
      </c>
      <c r="W372" s="26" t="n">
        <v>232.5407759170442</v>
      </c>
      <c r="X372" s="27" t="n">
        <v>0.03434988789114946</v>
      </c>
      <c r="Y372" s="26" t="n">
        <v>208.0916266467453</v>
      </c>
      <c r="Z372" s="27" t="n">
        <v>0.02815803694376345</v>
      </c>
      <c r="AA372" s="26" t="n">
        <v>222.914813548055</v>
      </c>
      <c r="AB372" s="27" t="n">
        <v>0.04638740677431855</v>
      </c>
    </row>
    <row r="373">
      <c r="A373" s="26" t="n">
        <v>196.1703678723234</v>
      </c>
      <c r="B373" s="27" t="n">
        <v>0.04683922578961978</v>
      </c>
      <c r="C373" s="26" t="n">
        <v>202.1173579233849</v>
      </c>
      <c r="D373" s="27" t="n">
        <v>0.0446386155989919</v>
      </c>
      <c r="E373" s="26" t="n">
        <v>234.3450382345627</v>
      </c>
      <c r="F373" s="27" t="n">
        <v>0.03436359014636303</v>
      </c>
      <c r="G373" s="26" t="n">
        <v>256.3172609135487</v>
      </c>
      <c r="H373" s="27" t="n">
        <v>0.02668782436651809</v>
      </c>
      <c r="I373" s="26" t="n">
        <v>261.4412702616785</v>
      </c>
      <c r="J373" s="27" t="n">
        <v>0.02640537005217427</v>
      </c>
      <c r="K373" s="26" t="n">
        <v>252.9612115410403</v>
      </c>
      <c r="L373" s="27" t="n">
        <v>0.02811556894660769</v>
      </c>
      <c r="M373" s="26" t="n">
        <v>237.5613686832129</v>
      </c>
      <c r="N373" s="27" t="n">
        <v>0.03424479464351493</v>
      </c>
      <c r="O373" s="26" t="n">
        <v>191.8545415314707</v>
      </c>
      <c r="P373" s="27" t="n">
        <v>0.03668577797873845</v>
      </c>
      <c r="Q373" s="26" t="n">
        <v>222.1599464260242</v>
      </c>
      <c r="R373" s="27" t="n">
        <v>0.04637696153509108</v>
      </c>
      <c r="S373" s="26" t="n">
        <v>207.9417552835869</v>
      </c>
      <c r="T373" s="27" t="n">
        <v>0.0548168070004522</v>
      </c>
      <c r="U373" s="26" t="n">
        <v>228.135697396077</v>
      </c>
      <c r="V373" s="27" t="n">
        <v>0.04134403383868567</v>
      </c>
      <c r="W373" s="26" t="n">
        <v>232.618961409097</v>
      </c>
      <c r="X373" s="27" t="n">
        <v>0.0345321088061224</v>
      </c>
      <c r="Y373" s="26" t="n">
        <v>208.1970678133522</v>
      </c>
      <c r="Z373" s="27" t="n">
        <v>0.02828045842917988</v>
      </c>
      <c r="AA373" s="26" t="n">
        <v>222.9950012097616</v>
      </c>
      <c r="AB373" s="27" t="n">
        <v>0.04665166183171692</v>
      </c>
    </row>
    <row r="374">
      <c r="A374" s="26" t="n">
        <v>196.3361295355288</v>
      </c>
      <c r="B374" s="27" t="n">
        <v>0.04707527002406828</v>
      </c>
      <c r="C374" s="26" t="n">
        <v>202.2574074371997</v>
      </c>
      <c r="D374" s="27" t="n">
        <v>0.04486906717282271</v>
      </c>
      <c r="E374" s="26" t="n">
        <v>234.4580958889194</v>
      </c>
      <c r="F374" s="27" t="n">
        <v>0.03454099441170799</v>
      </c>
      <c r="G374" s="26" t="n">
        <v>256.4039833441543</v>
      </c>
      <c r="H374" s="27" t="n">
        <v>0.02681918862645544</v>
      </c>
      <c r="I374" s="26" t="n">
        <v>261.5216546901784</v>
      </c>
      <c r="J374" s="27" t="n">
        <v>0.02653678887347589</v>
      </c>
      <c r="K374" s="26" t="n">
        <v>253.0374540353966</v>
      </c>
      <c r="L374" s="27" t="n">
        <v>0.02825780123180456</v>
      </c>
      <c r="M374" s="26" t="n">
        <v>237.6526743852987</v>
      </c>
      <c r="N374" s="27" t="n">
        <v>0.03442567151562413</v>
      </c>
      <c r="O374" s="26" t="n">
        <v>191.9789462255592</v>
      </c>
      <c r="P374" s="27" t="n">
        <v>0.03685763704285691</v>
      </c>
      <c r="Q374" s="26" t="n">
        <v>222.2540332016571</v>
      </c>
      <c r="R374" s="27" t="n">
        <v>0.04663752542328301</v>
      </c>
      <c r="S374" s="26" t="n">
        <v>208.0481788916183</v>
      </c>
      <c r="T374" s="27" t="n">
        <v>0.05512536181408353</v>
      </c>
      <c r="U374" s="26" t="n">
        <v>228.2207426905293</v>
      </c>
      <c r="V374" s="27" t="n">
        <v>0.04157362229073116</v>
      </c>
      <c r="W374" s="26" t="n">
        <v>232.6971469011498</v>
      </c>
      <c r="X374" s="27" t="n">
        <v>0.03471527372369151</v>
      </c>
      <c r="Y374" s="26" t="n">
        <v>208.3025089799592</v>
      </c>
      <c r="Z374" s="27" t="n">
        <v>0.02840341944186001</v>
      </c>
      <c r="AA374" s="26" t="n">
        <v>223.0751888714682</v>
      </c>
      <c r="AB374" s="27" t="n">
        <v>0.04691727704374892</v>
      </c>
    </row>
    <row r="375">
      <c r="A375" s="26" t="n">
        <v>196.5018911987341</v>
      </c>
      <c r="B375" s="27" t="n">
        <v>0.04731244814228766</v>
      </c>
      <c r="C375" s="26" t="n">
        <v>202.3974569510145</v>
      </c>
      <c r="D375" s="27" t="n">
        <v>0.04510065287282437</v>
      </c>
      <c r="E375" s="26" t="n">
        <v>234.5711535432761</v>
      </c>
      <c r="F375" s="27" t="n">
        <v>0.03471929523605288</v>
      </c>
      <c r="G375" s="26" t="n">
        <v>256.4907057747598</v>
      </c>
      <c r="H375" s="27" t="n">
        <v>0.0269512002110926</v>
      </c>
      <c r="I375" s="26" t="n">
        <v>261.6020391186784</v>
      </c>
      <c r="J375" s="27" t="n">
        <v>0.0266688614469689</v>
      </c>
      <c r="K375" s="26" t="n">
        <v>253.113696529753</v>
      </c>
      <c r="L375" s="27" t="n">
        <v>0.02840075043038945</v>
      </c>
      <c r="M375" s="26" t="n">
        <v>237.7439800873846</v>
      </c>
      <c r="N375" s="27" t="n">
        <v>0.03460747919340848</v>
      </c>
      <c r="O375" s="26" t="n">
        <v>192.1033509196478</v>
      </c>
      <c r="P375" s="27" t="n">
        <v>0.03703031105276729</v>
      </c>
      <c r="Q375" s="26" t="n">
        <v>222.3481199772901</v>
      </c>
      <c r="R375" s="27" t="n">
        <v>0.04689941506914014</v>
      </c>
      <c r="S375" s="26" t="n">
        <v>208.1546024996497</v>
      </c>
      <c r="T375" s="27" t="n">
        <v>0.05543542534859625</v>
      </c>
      <c r="U375" s="26" t="n">
        <v>228.3057879849816</v>
      </c>
      <c r="V375" s="27" t="n">
        <v>0.04180440162971569</v>
      </c>
      <c r="W375" s="26" t="n">
        <v>232.7753323932026</v>
      </c>
      <c r="X375" s="27" t="n">
        <v>0.03489938720523628</v>
      </c>
      <c r="Y375" s="26" t="n">
        <v>208.4079501465661</v>
      </c>
      <c r="Z375" s="27" t="n">
        <v>0.02852692238337422</v>
      </c>
      <c r="AA375" s="26" t="n">
        <v>223.1553765331748</v>
      </c>
      <c r="AB375" s="27" t="n">
        <v>0.04718425781092359</v>
      </c>
    </row>
    <row r="376">
      <c r="A376" s="26" t="n">
        <v>196.6676528619394</v>
      </c>
      <c r="B376" s="27" t="n">
        <v>0.04755076472258114</v>
      </c>
      <c r="C376" s="26" t="n">
        <v>202.5375064648292</v>
      </c>
      <c r="D376" s="27" t="n">
        <v>0.04533337748582267</v>
      </c>
      <c r="E376" s="26" t="n">
        <v>234.6842111976329</v>
      </c>
      <c r="F376" s="27" t="n">
        <v>0.03489849683250122</v>
      </c>
      <c r="G376" s="26" t="n">
        <v>256.5774282053654</v>
      </c>
      <c r="H376" s="27" t="n">
        <v>0.02708386228401578</v>
      </c>
      <c r="I376" s="26" t="n">
        <v>261.6824235471782</v>
      </c>
      <c r="J376" s="27" t="n">
        <v>0.02680159098947808</v>
      </c>
      <c r="K376" s="26" t="n">
        <v>253.1899390241094</v>
      </c>
      <c r="L376" s="27" t="n">
        <v>0.02854442008718515</v>
      </c>
      <c r="M376" s="26" t="n">
        <v>237.8352857894704</v>
      </c>
      <c r="N376" s="27" t="n">
        <v>0.03479022210895048</v>
      </c>
      <c r="O376" s="26" t="n">
        <v>192.2277556137363</v>
      </c>
      <c r="P376" s="27" t="n">
        <v>0.03720380383748606</v>
      </c>
      <c r="Q376" s="26" t="n">
        <v>222.442206752923</v>
      </c>
      <c r="R376" s="27" t="n">
        <v>0.04716263568141766</v>
      </c>
      <c r="S376" s="26" t="n">
        <v>208.261026107681</v>
      </c>
      <c r="T376" s="27" t="n">
        <v>0.05574700259357914</v>
      </c>
      <c r="U376" s="26" t="n">
        <v>228.3908332794339</v>
      </c>
      <c r="V376" s="27" t="n">
        <v>0.042036377036049</v>
      </c>
      <c r="W376" s="26" t="n">
        <v>232.8535178852554</v>
      </c>
      <c r="X376" s="27" t="n">
        <v>0.03508445382965385</v>
      </c>
      <c r="Y376" s="26" t="n">
        <v>208.513391313173</v>
      </c>
      <c r="Z376" s="27" t="n">
        <v>0.02865096966606631</v>
      </c>
      <c r="AA376" s="26" t="n">
        <v>223.2355641948814</v>
      </c>
      <c r="AB376" s="27" t="n">
        <v>0.04745260953704376</v>
      </c>
    </row>
    <row r="377">
      <c r="A377" s="26" t="n">
        <v>196.8334145251447</v>
      </c>
      <c r="B377" s="27" t="n">
        <v>0.04779022435086179</v>
      </c>
      <c r="C377" s="26" t="n">
        <v>202.677555978644</v>
      </c>
      <c r="D377" s="27" t="n">
        <v>0.04556724580884407</v>
      </c>
      <c r="E377" s="26" t="n">
        <v>234.7972688519897</v>
      </c>
      <c r="F377" s="27" t="n">
        <v>0.03507860342949761</v>
      </c>
      <c r="G377" s="26" t="n">
        <v>256.664150635971</v>
      </c>
      <c r="H377" s="27" t="n">
        <v>0.02721717802367462</v>
      </c>
      <c r="I377" s="26" t="n">
        <v>261.7628079756782</v>
      </c>
      <c r="J377" s="27" t="n">
        <v>0.02693498073294786</v>
      </c>
      <c r="K377" s="26" t="n">
        <v>253.2661815184657</v>
      </c>
      <c r="L377" s="27" t="n">
        <v>0.02868881376334937</v>
      </c>
      <c r="M377" s="26" t="n">
        <v>237.9265914915563</v>
      </c>
      <c r="N377" s="27" t="n">
        <v>0.03497390471056401</v>
      </c>
      <c r="O377" s="26" t="n">
        <v>192.3521603078249</v>
      </c>
      <c r="P377" s="27" t="n">
        <v>0.03737811924287628</v>
      </c>
      <c r="Q377" s="26" t="n">
        <v>222.536293528556</v>
      </c>
      <c r="R377" s="27" t="n">
        <v>0.04742719247183215</v>
      </c>
      <c r="S377" s="26" t="n">
        <v>208.3674497157124</v>
      </c>
      <c r="T377" s="27" t="n">
        <v>0.05606009852913955</v>
      </c>
      <c r="U377" s="26" t="n">
        <v>228.4758785738862</v>
      </c>
      <c r="V377" s="27" t="n">
        <v>0.04226955370074474</v>
      </c>
      <c r="W377" s="26" t="n">
        <v>232.9317033773082</v>
      </c>
      <c r="X377" s="27" t="n">
        <v>0.03527047819336204</v>
      </c>
      <c r="Y377" s="26" t="n">
        <v>208.6188324797799</v>
      </c>
      <c r="Z377" s="27" t="n">
        <v>0.02877556371310267</v>
      </c>
      <c r="AA377" s="26" t="n">
        <v>223.315751856588</v>
      </c>
      <c r="AB377" s="27" t="n">
        <v>0.04772233762896263</v>
      </c>
    </row>
    <row r="378">
      <c r="A378" s="26" t="n">
        <v>196.99917618835</v>
      </c>
      <c r="B378" s="27" t="n">
        <v>0.04803083162051594</v>
      </c>
      <c r="C378" s="26" t="n">
        <v>202.8176054924588</v>
      </c>
      <c r="D378" s="27" t="n">
        <v>0.0458022626490007</v>
      </c>
      <c r="E378" s="26" t="n">
        <v>234.9103265063463</v>
      </c>
      <c r="F378" s="27" t="n">
        <v>0.03525961927082032</v>
      </c>
      <c r="G378" s="26" t="n">
        <v>256.7508730665766</v>
      </c>
      <c r="H378" s="27" t="n">
        <v>0.02735115062344112</v>
      </c>
      <c r="I378" s="26" t="n">
        <v>261.8431924041781</v>
      </c>
      <c r="J378" s="27" t="n">
        <v>0.02706903392450052</v>
      </c>
      <c r="K378" s="26" t="n">
        <v>253.3424240128221</v>
      </c>
      <c r="L378" s="27" t="n">
        <v>0.02883393503643068</v>
      </c>
      <c r="M378" s="26" t="n">
        <v>238.0178971936421</v>
      </c>
      <c r="N378" s="27" t="n">
        <v>0.03515853146278441</v>
      </c>
      <c r="O378" s="26" t="n">
        <v>192.4765650019134</v>
      </c>
      <c r="P378" s="27" t="n">
        <v>0.03755326113170175</v>
      </c>
      <c r="Q378" s="26" t="n">
        <v>222.6303803041889</v>
      </c>
      <c r="R378" s="27" t="n">
        <v>0.04769309065482437</v>
      </c>
      <c r="S378" s="26" t="n">
        <v>208.4738733237438</v>
      </c>
      <c r="T378" s="27" t="n">
        <v>0.05637471812554165</v>
      </c>
      <c r="U378" s="26" t="n">
        <v>228.5609238683385</v>
      </c>
      <c r="V378" s="27" t="n">
        <v>0.04250393682528125</v>
      </c>
      <c r="W378" s="26" t="n">
        <v>233.009888869361</v>
      </c>
      <c r="X378" s="27" t="n">
        <v>0.03545746491030137</v>
      </c>
      <c r="Y378" s="26" t="n">
        <v>208.7242736463868</v>
      </c>
      <c r="Z378" s="27" t="n">
        <v>0.02890070695852058</v>
      </c>
      <c r="AA378" s="26" t="n">
        <v>223.3959395182946</v>
      </c>
      <c r="AB378" s="27" t="n">
        <v>0.04799344749633542</v>
      </c>
    </row>
    <row r="379">
      <c r="A379" s="26" t="n">
        <v>197.1649378515554</v>
      </c>
      <c r="B379" s="27" t="n">
        <v>0.0482725911322637</v>
      </c>
      <c r="C379" s="26" t="n">
        <v>202.9576550062736</v>
      </c>
      <c r="D379" s="27" t="n">
        <v>0.04603843282337338</v>
      </c>
      <c r="E379" s="26" t="n">
        <v>235.0233841607031</v>
      </c>
      <c r="F379" s="27" t="n">
        <v>0.03544154861557244</v>
      </c>
      <c r="G379" s="26" t="n">
        <v>256.8375954971822</v>
      </c>
      <c r="H379" s="27" t="n">
        <v>0.02748578329166933</v>
      </c>
      <c r="I379" s="26" t="n">
        <v>261.9235768326781</v>
      </c>
      <c r="J379" s="27" t="n">
        <v>0.02720375382649541</v>
      </c>
      <c r="K379" s="26" t="n">
        <v>253.4186665071784</v>
      </c>
      <c r="L379" s="27" t="n">
        <v>0.02897978750042435</v>
      </c>
      <c r="M379" s="26" t="n">
        <v>238.1092028957279</v>
      </c>
      <c r="N379" s="27" t="n">
        <v>0.03534410684635835</v>
      </c>
      <c r="O379" s="26" t="n">
        <v>192.600969696002</v>
      </c>
      <c r="P379" s="27" t="n">
        <v>0.0377292333836803</v>
      </c>
      <c r="Q379" s="26" t="n">
        <v>222.7244670798219</v>
      </c>
      <c r="R379" s="27" t="n">
        <v>0.04796033544731938</v>
      </c>
      <c r="S379" s="26" t="n">
        <v>208.5802969317751</v>
      </c>
      <c r="T379" s="27" t="n">
        <v>0.05669086634284086</v>
      </c>
      <c r="U379" s="26" t="n">
        <v>228.6459691627908</v>
      </c>
      <c r="V379" s="27" t="n">
        <v>0.04273953162146036</v>
      </c>
      <c r="W379" s="26" t="n">
        <v>233.0880743614139</v>
      </c>
      <c r="X379" s="27" t="n">
        <v>0.03564541861193594</v>
      </c>
      <c r="Y379" s="26" t="n">
        <v>208.8297148129938</v>
      </c>
      <c r="Z379" s="27" t="n">
        <v>0.02902640184727762</v>
      </c>
      <c r="AA379" s="26" t="n">
        <v>223.4761271800012</v>
      </c>
      <c r="AB379" s="27" t="n">
        <v>0.048265944551368</v>
      </c>
    </row>
    <row r="380">
      <c r="A380" s="26" t="n">
        <v>197.3306995147606</v>
      </c>
      <c r="B380" s="27" t="n">
        <v>0.04851550749401799</v>
      </c>
      <c r="C380" s="26" t="n">
        <v>203.0977045200883</v>
      </c>
      <c r="D380" s="27" t="n">
        <v>0.04627576115889159</v>
      </c>
      <c r="E380" s="26" t="n">
        <v>235.1364418150598</v>
      </c>
      <c r="F380" s="27" t="n">
        <v>0.03562439573817234</v>
      </c>
      <c r="G380" s="26" t="n">
        <v>256.9243179277877</v>
      </c>
      <c r="H380" s="27" t="n">
        <v>0.02762107925175386</v>
      </c>
      <c r="I380" s="26" t="n">
        <v>262.003961261178</v>
      </c>
      <c r="J380" s="27" t="n">
        <v>0.02733914371658739</v>
      </c>
      <c r="K380" s="26" t="n">
        <v>253.4949090015347</v>
      </c>
      <c r="L380" s="27" t="n">
        <v>0.02912637476582773</v>
      </c>
      <c r="M380" s="26" t="n">
        <v>238.2005085978138</v>
      </c>
      <c r="N380" s="27" t="n">
        <v>0.03553063535823239</v>
      </c>
      <c r="O380" s="26" t="n">
        <v>192.7253743900905</v>
      </c>
      <c r="P380" s="27" t="n">
        <v>0.03790603989553756</v>
      </c>
      <c r="Q380" s="26" t="n">
        <v>222.8185538554549</v>
      </c>
      <c r="R380" s="27" t="n">
        <v>0.04822893206848204</v>
      </c>
      <c r="S380" s="26" t="n">
        <v>208.6867205398065</v>
      </c>
      <c r="T380" s="27" t="n">
        <v>0.05700854813051504</v>
      </c>
      <c r="U380" s="26" t="n">
        <v>228.7310144572431</v>
      </c>
      <c r="V380" s="27" t="n">
        <v>0.0429763433112634</v>
      </c>
      <c r="W380" s="26" t="n">
        <v>233.1662598534667</v>
      </c>
      <c r="X380" s="27" t="n">
        <v>0.03583434394725306</v>
      </c>
      <c r="Y380" s="26" t="n">
        <v>208.9351559796007</v>
      </c>
      <c r="Z380" s="27" t="n">
        <v>0.02915265083530082</v>
      </c>
      <c r="AA380" s="26" t="n">
        <v>223.5563148417078</v>
      </c>
      <c r="AB380" s="27" t="n">
        <v>0.04853983420856271</v>
      </c>
    </row>
    <row r="381">
      <c r="A381" s="26" t="n">
        <v>197.496461177966</v>
      </c>
      <c r="B381" s="27" t="n">
        <v>0.0487595853207402</v>
      </c>
      <c r="C381" s="26" t="n">
        <v>203.2377540339031</v>
      </c>
      <c r="D381" s="27" t="n">
        <v>0.04651425249221228</v>
      </c>
      <c r="E381" s="26" t="n">
        <v>235.2494994694165</v>
      </c>
      <c r="F381" s="27" t="n">
        <v>0.03580816492834251</v>
      </c>
      <c r="G381" s="26" t="n">
        <v>257.0110403583933</v>
      </c>
      <c r="H381" s="27" t="n">
        <v>0.02775704174218956</v>
      </c>
      <c r="I381" s="26" t="n">
        <v>262.084345689678</v>
      </c>
      <c r="J381" s="27" t="n">
        <v>0.02747520688778572</v>
      </c>
      <c r="K381" s="26" t="n">
        <v>253.5711514958911</v>
      </c>
      <c r="L381" s="27" t="n">
        <v>0.02927370045969586</v>
      </c>
      <c r="M381" s="26" t="n">
        <v>238.2918142998996</v>
      </c>
      <c r="N381" s="27" t="n">
        <v>0.03571812151153984</v>
      </c>
      <c r="O381" s="26" t="n">
        <v>192.849779084179</v>
      </c>
      <c r="P381" s="27" t="n">
        <v>0.03808368458106</v>
      </c>
      <c r="Q381" s="26" t="n">
        <v>222.9126406310878</v>
      </c>
      <c r="R381" s="27" t="n">
        <v>0.04849888573947098</v>
      </c>
      <c r="S381" s="26" t="n">
        <v>208.7931441478379</v>
      </c>
      <c r="T381" s="27" t="n">
        <v>0.05732776842709247</v>
      </c>
      <c r="U381" s="26" t="n">
        <v>228.8160597516954</v>
      </c>
      <c r="V381" s="27" t="n">
        <v>0.04321437712670443</v>
      </c>
      <c r="W381" s="26" t="n">
        <v>233.2444453455195</v>
      </c>
      <c r="X381" s="27" t="n">
        <v>0.03602424558276225</v>
      </c>
      <c r="Y381" s="26" t="n">
        <v>209.0405971462075</v>
      </c>
      <c r="Z381" s="27" t="n">
        <v>0.02927945638953609</v>
      </c>
      <c r="AA381" s="26" t="n">
        <v>223.6365025034144</v>
      </c>
      <c r="AB381" s="27" t="n">
        <v>0.04881512188446024</v>
      </c>
    </row>
    <row r="382">
      <c r="A382" s="26" t="n">
        <v>197.6622228411713</v>
      </c>
      <c r="B382" s="27" t="n">
        <v>0.04900482923429385</v>
      </c>
      <c r="C382" s="26" t="n">
        <v>203.3778035477179</v>
      </c>
      <c r="D382" s="27" t="n">
        <v>0.04675391166959475</v>
      </c>
      <c r="E382" s="26" t="n">
        <v>235.3625571237732</v>
      </c>
      <c r="F382" s="27" t="n">
        <v>0.03599286049109762</v>
      </c>
      <c r="G382" s="26" t="n">
        <v>257.0977627889989</v>
      </c>
      <c r="H382" s="27" t="n">
        <v>0.02789367401663045</v>
      </c>
      <c r="I382" s="26" t="n">
        <v>262.1647301181779</v>
      </c>
      <c r="J382" s="27" t="n">
        <v>0.02761194664851276</v>
      </c>
      <c r="K382" s="26" t="n">
        <v>253.6473939902475</v>
      </c>
      <c r="L382" s="27" t="n">
        <v>0.02942176822569637</v>
      </c>
      <c r="M382" s="26" t="n">
        <v>238.3831200019854</v>
      </c>
      <c r="N382" s="27" t="n">
        <v>0.03590656983558665</v>
      </c>
      <c r="O382" s="26" t="n">
        <v>192.9741837782676</v>
      </c>
      <c r="P382" s="27" t="n">
        <v>0.03826217137114816</v>
      </c>
      <c r="Q382" s="26" t="n">
        <v>223.0067274067207</v>
      </c>
      <c r="R382" s="27" t="n">
        <v>0.04877020168318823</v>
      </c>
      <c r="S382" s="26" t="n">
        <v>208.8995677558693</v>
      </c>
      <c r="T382" s="27" t="n">
        <v>0.05764853215977526</v>
      </c>
      <c r="U382" s="26" t="n">
        <v>228.9011050461477</v>
      </c>
      <c r="V382" s="27" t="n">
        <v>0.04345363830968103</v>
      </c>
      <c r="W382" s="26" t="n">
        <v>233.3226308375723</v>
      </c>
      <c r="X382" s="27" t="n">
        <v>0.03621512820249231</v>
      </c>
      <c r="Y382" s="26" t="n">
        <v>209.1460383128145</v>
      </c>
      <c r="Z382" s="27" t="n">
        <v>0.02940682098799822</v>
      </c>
      <c r="AA382" s="26" t="n">
        <v>223.716690165121</v>
      </c>
      <c r="AB382" s="27" t="n">
        <v>0.04909181299737817</v>
      </c>
    </row>
    <row r="383">
      <c r="A383" s="26" t="n">
        <v>197.8279845043766</v>
      </c>
      <c r="B383" s="27" t="n">
        <v>0.04925124386329576</v>
      </c>
      <c r="C383" s="26" t="n">
        <v>203.5178530615327</v>
      </c>
      <c r="D383" s="27" t="n">
        <v>0.04699474354677489</v>
      </c>
      <c r="E383" s="26" t="n">
        <v>235.47561477813</v>
      </c>
      <c r="F383" s="27" t="n">
        <v>0.03617848674673126</v>
      </c>
      <c r="G383" s="26" t="n">
        <v>257.1844852196044</v>
      </c>
      <c r="H383" s="27" t="n">
        <v>0.02803097934394892</v>
      </c>
      <c r="I383" s="26" t="n">
        <v>262.2451145466779</v>
      </c>
      <c r="J383" s="27" t="n">
        <v>0.02774936632266268</v>
      </c>
      <c r="K383" s="26" t="n">
        <v>253.7236364846038</v>
      </c>
      <c r="L383" s="27" t="n">
        <v>0.02957058172416508</v>
      </c>
      <c r="M383" s="26" t="n">
        <v>238.4744257040713</v>
      </c>
      <c r="N383" s="27" t="n">
        <v>0.03609598487583602</v>
      </c>
      <c r="O383" s="26" t="n">
        <v>193.0985884723561</v>
      </c>
      <c r="P383" s="27" t="n">
        <v>0.03844150421386942</v>
      </c>
      <c r="Q383" s="26" t="n">
        <v>223.1008141823536</v>
      </c>
      <c r="R383" s="27" t="n">
        <v>0.04904288512402538</v>
      </c>
      <c r="S383" s="26" t="n">
        <v>209.0059913639006</v>
      </c>
      <c r="T383" s="27" t="n">
        <v>0.05797084424405959</v>
      </c>
      <c r="U383" s="26" t="n">
        <v>228.9861503406</v>
      </c>
      <c r="V383" s="27" t="n">
        <v>0.0436941321118219</v>
      </c>
      <c r="W383" s="26" t="n">
        <v>233.4008163296251</v>
      </c>
      <c r="X383" s="27" t="n">
        <v>0.03640699650798752</v>
      </c>
      <c r="Y383" s="26" t="n">
        <v>209.2514794794213</v>
      </c>
      <c r="Z383" s="27" t="n">
        <v>0.02953474711982048</v>
      </c>
      <c r="AA383" s="26" t="n">
        <v>223.7968778268276</v>
      </c>
      <c r="AB383" s="27" t="n">
        <v>0.04936991296714582</v>
      </c>
    </row>
    <row r="384">
      <c r="A384" s="26" t="n">
        <v>197.9937461675819</v>
      </c>
      <c r="B384" s="27" t="n">
        <v>0.04949883384296475</v>
      </c>
      <c r="C384" s="26" t="n">
        <v>203.6579025753475</v>
      </c>
      <c r="D384" s="27" t="n">
        <v>0.04723675298883556</v>
      </c>
      <c r="E384" s="26" t="n">
        <v>235.5886724324867</v>
      </c>
      <c r="F384" s="27" t="n">
        <v>0.03636504803080134</v>
      </c>
      <c r="G384" s="26" t="n">
        <v>257.27120765021</v>
      </c>
      <c r="H384" s="27" t="n">
        <v>0.02816896100829536</v>
      </c>
      <c r="I384" s="26" t="n">
        <v>262.3254989751778</v>
      </c>
      <c r="J384" s="27" t="n">
        <v>0.0278874692496602</v>
      </c>
      <c r="K384" s="26" t="n">
        <v>253.7998789789602</v>
      </c>
      <c r="L384" s="27" t="n">
        <v>0.02972014463216034</v>
      </c>
      <c r="M384" s="26" t="n">
        <v>238.5657314061571</v>
      </c>
      <c r="N384" s="27" t="n">
        <v>0.0362863711938918</v>
      </c>
      <c r="O384" s="26" t="n">
        <v>193.2229931664447</v>
      </c>
      <c r="P384" s="27" t="n">
        <v>0.03862168707451086</v>
      </c>
      <c r="Q384" s="26" t="n">
        <v>223.1949009579866</v>
      </c>
      <c r="R384" s="27" t="n">
        <v>0.04931694128760718</v>
      </c>
      <c r="S384" s="26" t="n">
        <v>209.112414971932</v>
      </c>
      <c r="T384" s="27" t="n">
        <v>0.05829470958335269</v>
      </c>
      <c r="U384" s="26" t="n">
        <v>229.0711956350523</v>
      </c>
      <c r="V384" s="27" t="n">
        <v>0.0439358637943323</v>
      </c>
      <c r="W384" s="26" t="n">
        <v>233.4790018216779</v>
      </c>
      <c r="X384" s="27" t="n">
        <v>0.03659985521830277</v>
      </c>
      <c r="Y384" s="26" t="n">
        <v>209.3569206460282</v>
      </c>
      <c r="Z384" s="27" t="n">
        <v>0.02966323728530511</v>
      </c>
      <c r="AA384" s="26" t="n">
        <v>223.8770654885342</v>
      </c>
      <c r="AB384" s="27" t="n">
        <v>0.04964942721483656</v>
      </c>
    </row>
    <row r="385">
      <c r="A385" s="26" t="n">
        <v>198.1595078307872</v>
      </c>
      <c r="B385" s="27" t="n">
        <v>0.04974760381496773</v>
      </c>
      <c r="C385" s="26" t="n">
        <v>203.7979520891622</v>
      </c>
      <c r="D385" s="27" t="n">
        <v>0.04747994487007538</v>
      </c>
      <c r="E385" s="26" t="n">
        <v>235.7017300868434</v>
      </c>
      <c r="F385" s="27" t="n">
        <v>0.03655254869411435</v>
      </c>
      <c r="G385" s="26" t="n">
        <v>257.3579300808156</v>
      </c>
      <c r="H385" s="27" t="n">
        <v>0.02830762230915723</v>
      </c>
      <c r="I385" s="26" t="n">
        <v>262.4058834036778</v>
      </c>
      <c r="J385" s="27" t="n">
        <v>0.02802625878451929</v>
      </c>
      <c r="K385" s="26" t="n">
        <v>253.8761214733165</v>
      </c>
      <c r="L385" s="27" t="n">
        <v>0.0298704606435183</v>
      </c>
      <c r="M385" s="26" t="n">
        <v>238.6570371082429</v>
      </c>
      <c r="N385" s="27" t="n">
        <v>0.03647773336748011</v>
      </c>
      <c r="O385" s="26" t="n">
        <v>193.3473978605332</v>
      </c>
      <c r="P385" s="27" t="n">
        <v>0.03880272393563126</v>
      </c>
      <c r="Q385" s="26" t="n">
        <v>223.2889877336196</v>
      </c>
      <c r="R385" s="27" t="n">
        <v>0.049592375400531</v>
      </c>
      <c r="S385" s="26" t="n">
        <v>209.2188385799634</v>
      </c>
      <c r="T385" s="27" t="n">
        <v>0.05862013306858572</v>
      </c>
      <c r="U385" s="26" t="n">
        <v>229.1562409295046</v>
      </c>
      <c r="V385" s="27" t="n">
        <v>0.04417883862783627</v>
      </c>
      <c r="W385" s="26" t="n">
        <v>233.5571873137307</v>
      </c>
      <c r="X385" s="27" t="n">
        <v>0.03679370906999716</v>
      </c>
      <c r="Y385" s="26" t="n">
        <v>209.4623618126352</v>
      </c>
      <c r="Z385" s="27" t="n">
        <v>0.02979229399597352</v>
      </c>
      <c r="AA385" s="26" t="n">
        <v>223.9572531502408</v>
      </c>
      <c r="AB385" s="27" t="n">
        <v>0.04993036116249555</v>
      </c>
    </row>
    <row r="386">
      <c r="A386" s="26" t="n">
        <v>198.3252694939925</v>
      </c>
      <c r="B386" s="27" t="n">
        <v>0.04999755842726322</v>
      </c>
      <c r="C386" s="26" t="n">
        <v>203.938001602977</v>
      </c>
      <c r="D386" s="27" t="n">
        <v>0.04772432407387477</v>
      </c>
      <c r="E386" s="26" t="n">
        <v>235.8147877412001</v>
      </c>
      <c r="F386" s="27" t="n">
        <v>0.03674099310270826</v>
      </c>
      <c r="G386" s="26" t="n">
        <v>257.4446525114212</v>
      </c>
      <c r="H386" s="27" t="n">
        <v>0.02844696656141834</v>
      </c>
      <c r="I386" s="26" t="n">
        <v>262.4862678321776</v>
      </c>
      <c r="J386" s="27" t="n">
        <v>0.0281657382979019</v>
      </c>
      <c r="K386" s="26" t="n">
        <v>253.9523639676729</v>
      </c>
      <c r="L386" s="27" t="n">
        <v>0.03002153346890685</v>
      </c>
      <c r="M386" s="26" t="n">
        <v>238.7483428103288</v>
      </c>
      <c r="N386" s="27" t="n">
        <v>0.03667007599043007</v>
      </c>
      <c r="O386" s="26" t="n">
        <v>193.4718025546218</v>
      </c>
      <c r="P386" s="27" t="n">
        <v>0.03898461879711372</v>
      </c>
      <c r="Q386" s="26" t="n">
        <v>223.3830745092525</v>
      </c>
      <c r="R386" s="27" t="n">
        <v>0.04986919269010347</v>
      </c>
      <c r="S386" s="26" t="n">
        <v>209.3252621879948</v>
      </c>
      <c r="T386" s="27" t="n">
        <v>0.05894711957782293</v>
      </c>
      <c r="U386" s="26" t="n">
        <v>229.2412862239569</v>
      </c>
      <c r="V386" s="27" t="n">
        <v>0.04442306189221626</v>
      </c>
      <c r="W386" s="26" t="n">
        <v>233.6353728057835</v>
      </c>
      <c r="X386" s="27" t="n">
        <v>0.03698856281712666</v>
      </c>
      <c r="Y386" s="26" t="n">
        <v>209.5678029792421</v>
      </c>
      <c r="Z386" s="27" t="n">
        <v>0.02992191977461699</v>
      </c>
      <c r="AA386" s="26" t="n">
        <v>224.0374408119474</v>
      </c>
      <c r="AB386" s="27" t="n">
        <v>0.05021272023286408</v>
      </c>
    </row>
    <row r="387">
      <c r="A387" s="26" t="n">
        <v>198.4910311571978</v>
      </c>
      <c r="B387" s="27" t="n">
        <v>0.05024870233394209</v>
      </c>
      <c r="C387" s="26" t="n">
        <v>204.0780511167918</v>
      </c>
      <c r="D387" s="27" t="n">
        <v>0.04796989549255945</v>
      </c>
      <c r="E387" s="26" t="n">
        <v>235.9278453955569</v>
      </c>
      <c r="F387" s="27" t="n">
        <v>0.03693038563783461</v>
      </c>
      <c r="G387" s="26" t="n">
        <v>257.5313749420267</v>
      </c>
      <c r="H387" s="27" t="n">
        <v>0.02858699709541817</v>
      </c>
      <c r="I387" s="26" t="n">
        <v>262.5666522606776</v>
      </c>
      <c r="J387" s="27" t="n">
        <v>0.02830591117617655</v>
      </c>
      <c r="K387" s="26" t="n">
        <v>254.0286064620292</v>
      </c>
      <c r="L387" s="27" t="n">
        <v>0.03017336683588035</v>
      </c>
      <c r="M387" s="26" t="n">
        <v>238.8396485124146</v>
      </c>
      <c r="N387" s="27" t="n">
        <v>0.03686340367265301</v>
      </c>
      <c r="O387" s="26" t="n">
        <v>193.5962072487103</v>
      </c>
      <c r="P387" s="27" t="n">
        <v>0.03916737567621737</v>
      </c>
      <c r="Q387" s="26" t="n">
        <v>223.4771612848855</v>
      </c>
      <c r="R387" s="27" t="n">
        <v>0.05014739838407309</v>
      </c>
      <c r="S387" s="26" t="n">
        <v>209.4316857960262</v>
      </c>
      <c r="T387" s="27" t="n">
        <v>0.05927567397586736</v>
      </c>
      <c r="U387" s="26" t="n">
        <v>229.3263315184092</v>
      </c>
      <c r="V387" s="27" t="n">
        <v>0.04466853887644955</v>
      </c>
      <c r="W387" s="26" t="n">
        <v>233.7135582978363</v>
      </c>
      <c r="X387" s="27" t="n">
        <v>0.03718442123123485</v>
      </c>
      <c r="Y387" s="26" t="n">
        <v>209.673244145849</v>
      </c>
      <c r="Z387" s="27" t="n">
        <v>0.03005211715534766</v>
      </c>
      <c r="AA387" s="26" t="n">
        <v>224.117628473654</v>
      </c>
      <c r="AB387" s="27" t="n">
        <v>0.05049650984910132</v>
      </c>
    </row>
    <row r="388">
      <c r="A388" s="26" t="n">
        <v>198.6567928204031</v>
      </c>
      <c r="B388" s="27" t="n">
        <v>0.05050104019506634</v>
      </c>
      <c r="C388" s="26" t="n">
        <v>204.2181006306066</v>
      </c>
      <c r="D388" s="27" t="n">
        <v>0.04821666402726178</v>
      </c>
      <c r="E388" s="26" t="n">
        <v>236.0409030499136</v>
      </c>
      <c r="F388" s="27" t="n">
        <v>0.03712073069593847</v>
      </c>
      <c r="G388" s="26" t="n">
        <v>257.6180973726323</v>
      </c>
      <c r="H388" s="27" t="n">
        <v>0.02872771725701133</v>
      </c>
      <c r="I388" s="26" t="n">
        <v>262.6470366891775</v>
      </c>
      <c r="J388" s="27" t="n">
        <v>0.02844678082147692</v>
      </c>
      <c r="K388" s="26" t="n">
        <v>254.1048489563855</v>
      </c>
      <c r="L388" s="27" t="n">
        <v>0.03032596448893378</v>
      </c>
      <c r="M388" s="26" t="n">
        <v>238.9309542145004</v>
      </c>
      <c r="N388" s="27" t="n">
        <v>0.03705772104012014</v>
      </c>
      <c r="O388" s="26" t="n">
        <v>193.7206119427989</v>
      </c>
      <c r="P388" s="27" t="n">
        <v>0.03935099860762896</v>
      </c>
      <c r="Q388" s="26" t="n">
        <v>223.5712480605185</v>
      </c>
      <c r="R388" s="27" t="n">
        <v>0.05042699771036027</v>
      </c>
      <c r="S388" s="26" t="n">
        <v>209.5381094040575</v>
      </c>
      <c r="T388" s="27" t="n">
        <v>0.05960580111386295</v>
      </c>
      <c r="U388" s="26" t="n">
        <v>229.4113768128615</v>
      </c>
      <c r="V388" s="27" t="n">
        <v>0.04491527487844277</v>
      </c>
      <c r="W388" s="26" t="n">
        <v>233.7917437898891</v>
      </c>
      <c r="X388" s="27" t="n">
        <v>0.03738128910134315</v>
      </c>
      <c r="Y388" s="26" t="n">
        <v>209.7786853124559</v>
      </c>
      <c r="Z388" s="27" t="n">
        <v>0.03018288868364935</v>
      </c>
      <c r="AA388" s="26" t="n">
        <v>224.1978161353605</v>
      </c>
      <c r="AB388" s="27" t="n">
        <v>0.05078173543450142</v>
      </c>
    </row>
    <row r="389">
      <c r="A389" s="26" t="n">
        <v>198.8225544836084</v>
      </c>
      <c r="B389" s="27" t="n">
        <v>0.05075457667650456</v>
      </c>
      <c r="C389" s="26" t="n">
        <v>204.3581501444214</v>
      </c>
      <c r="D389" s="27" t="n">
        <v>0.04846463458777885</v>
      </c>
      <c r="E389" s="26" t="n">
        <v>236.1539607042703</v>
      </c>
      <c r="F389" s="27" t="n">
        <v>0.03731203268863802</v>
      </c>
      <c r="G389" s="26" t="n">
        <v>257.7048198032379</v>
      </c>
      <c r="H389" s="27" t="n">
        <v>0.02886913040762685</v>
      </c>
      <c r="I389" s="26" t="n">
        <v>262.7274211176775</v>
      </c>
      <c r="J389" s="27" t="n">
        <v>0.02858835065176043</v>
      </c>
      <c r="K389" s="26" t="n">
        <v>254.1810914507419</v>
      </c>
      <c r="L389" s="27" t="n">
        <v>0.03047933018955626</v>
      </c>
      <c r="M389" s="26" t="n">
        <v>239.0222599165863</v>
      </c>
      <c r="N389" s="27" t="n">
        <v>0.03725303273483897</v>
      </c>
      <c r="O389" s="26" t="n">
        <v>193.8450166368874</v>
      </c>
      <c r="P389" s="27" t="n">
        <v>0.03953549164351436</v>
      </c>
      <c r="Q389" s="26" t="n">
        <v>223.6653348361514</v>
      </c>
      <c r="R389" s="27" t="n">
        <v>0.05070799589678305</v>
      </c>
      <c r="S389" s="26" t="n">
        <v>209.6445330120889</v>
      </c>
      <c r="T389" s="27" t="n">
        <v>0.05993750582889254</v>
      </c>
      <c r="U389" s="26" t="n">
        <v>229.4964221073138</v>
      </c>
      <c r="V389" s="27" t="n">
        <v>0.04516327520486233</v>
      </c>
      <c r="W389" s="26" t="n">
        <v>233.8699292819419</v>
      </c>
      <c r="X389" s="27" t="n">
        <v>0.03757917123393922</v>
      </c>
      <c r="Y389" s="26" t="n">
        <v>209.8841264790628</v>
      </c>
      <c r="Z389" s="27" t="n">
        <v>0.03031423691642913</v>
      </c>
      <c r="AA389" s="26" t="n">
        <v>224.2780037970672</v>
      </c>
      <c r="AB389" s="27" t="n">
        <v>0.05106840241220741</v>
      </c>
    </row>
    <row r="390">
      <c r="A390" s="26" t="n">
        <v>198.9883161468138</v>
      </c>
      <c r="B390" s="27" t="n">
        <v>0.05100931644976503</v>
      </c>
      <c r="C390" s="26" t="n">
        <v>204.4981996582361</v>
      </c>
      <c r="D390" s="27" t="n">
        <v>0.04871381209242857</v>
      </c>
      <c r="E390" s="26" t="n">
        <v>236.267018358627</v>
      </c>
      <c r="F390" s="27" t="n">
        <v>0.03750429604270186</v>
      </c>
      <c r="G390" s="26" t="n">
        <v>257.7915422338434</v>
      </c>
      <c r="H390" s="27" t="n">
        <v>0.02901123992432705</v>
      </c>
      <c r="I390" s="26" t="n">
        <v>262.8078055461774</v>
      </c>
      <c r="J390" s="27" t="n">
        <v>0.02873062410086703</v>
      </c>
      <c r="K390" s="26" t="n">
        <v>254.2573339450983</v>
      </c>
      <c r="L390" s="27" t="n">
        <v>0.03063346771628508</v>
      </c>
      <c r="M390" s="26" t="n">
        <v>239.1135656186721</v>
      </c>
      <c r="N390" s="27" t="n">
        <v>0.03744934341482832</v>
      </c>
      <c r="O390" s="26" t="n">
        <v>193.969421330976</v>
      </c>
      <c r="P390" s="27" t="n">
        <v>0.03972085885356993</v>
      </c>
      <c r="Q390" s="26" t="n">
        <v>223.7594216117843</v>
      </c>
      <c r="R390" s="27" t="n">
        <v>0.05099039817077963</v>
      </c>
      <c r="S390" s="26" t="n">
        <v>209.7509566201203</v>
      </c>
      <c r="T390" s="27" t="n">
        <v>0.06027079294357241</v>
      </c>
      <c r="U390" s="26" t="n">
        <v>229.5814674017661</v>
      </c>
      <c r="V390" s="27" t="n">
        <v>0.04541254517096265</v>
      </c>
      <c r="W390" s="26" t="n">
        <v>233.9481147739947</v>
      </c>
      <c r="X390" s="27" t="n">
        <v>0.03777807245296404</v>
      </c>
      <c r="Y390" s="26" t="n">
        <v>209.9895676456698</v>
      </c>
      <c r="Z390" s="27" t="n">
        <v>0.03044616442206873</v>
      </c>
      <c r="AA390" s="26" t="n">
        <v>224.3581914587738</v>
      </c>
      <c r="AB390" s="27" t="n">
        <v>0.05135651620492145</v>
      </c>
    </row>
    <row r="391">
      <c r="A391" s="26" t="n">
        <v>199.154077810019</v>
      </c>
      <c r="B391" s="27" t="n">
        <v>0.05126526419182622</v>
      </c>
      <c r="C391" s="26" t="n">
        <v>204.6382491720509</v>
      </c>
      <c r="D391" s="27" t="n">
        <v>0.04896420146790355</v>
      </c>
      <c r="E391" s="26" t="n">
        <v>236.3800760129837</v>
      </c>
      <c r="F391" s="27" t="n">
        <v>0.03769752520002584</v>
      </c>
      <c r="G391" s="26" t="n">
        <v>257.878264664449</v>
      </c>
      <c r="H391" s="27" t="n">
        <v>0.02915404919986769</v>
      </c>
      <c r="I391" s="26" t="n">
        <v>262.8881899746774</v>
      </c>
      <c r="J391" s="27" t="n">
        <v>0.02887360461857726</v>
      </c>
      <c r="K391" s="26" t="n">
        <v>254.3335764394546</v>
      </c>
      <c r="L391" s="27" t="n">
        <v>0.03078838086475885</v>
      </c>
      <c r="M391" s="26" t="n">
        <v>239.2048713207579</v>
      </c>
      <c r="N391" s="27" t="n">
        <v>0.03764665775409153</v>
      </c>
      <c r="O391" s="26" t="n">
        <v>194.0938260250645</v>
      </c>
      <c r="P391" s="27" t="n">
        <v>0.03990710432507295</v>
      </c>
      <c r="Q391" s="26" t="n">
        <v>223.8535083874173</v>
      </c>
      <c r="R391" s="27" t="n">
        <v>0.05127420975912764</v>
      </c>
      <c r="S391" s="26" t="n">
        <v>209.8573802281516</v>
      </c>
      <c r="T391" s="27" t="n">
        <v>0.0606056672656433</v>
      </c>
      <c r="U391" s="26" t="n">
        <v>229.6665126962184</v>
      </c>
      <c r="V391" s="27" t="n">
        <v>0.04566309010041141</v>
      </c>
      <c r="W391" s="26" t="n">
        <v>234.0263002660475</v>
      </c>
      <c r="X391" s="27" t="n">
        <v>0.03797799759979771</v>
      </c>
      <c r="Y391" s="26" t="n">
        <v>210.0950088122767</v>
      </c>
      <c r="Z391" s="27" t="n">
        <v>0.03057867378047652</v>
      </c>
      <c r="AA391" s="26" t="n">
        <v>224.4383791204804</v>
      </c>
      <c r="AB391" s="27" t="n">
        <v>0.05164608223461158</v>
      </c>
    </row>
    <row r="392">
      <c r="A392" s="26" t="n">
        <v>199.3198394732244</v>
      </c>
      <c r="B392" s="27" t="n">
        <v>0.0515224245849645</v>
      </c>
      <c r="C392" s="26" t="n">
        <v>204.7782986858656</v>
      </c>
      <c r="D392" s="27" t="n">
        <v>0.04921580764912133</v>
      </c>
      <c r="E392" s="26" t="n">
        <v>236.4931336673405</v>
      </c>
      <c r="F392" s="27" t="n">
        <v>0.03789172461760794</v>
      </c>
      <c r="G392" s="26" t="n">
        <v>257.9649870950545</v>
      </c>
      <c r="H392" s="27" t="n">
        <v>0.02929756164275657</v>
      </c>
      <c r="I392" s="26" t="n">
        <v>262.9685744031773</v>
      </c>
      <c r="J392" s="27" t="n">
        <v>0.0290172956706711</v>
      </c>
      <c r="K392" s="26" t="n">
        <v>254.409818933811</v>
      </c>
      <c r="L392" s="27" t="n">
        <v>0.03094407344777108</v>
      </c>
      <c r="M392" s="26" t="n">
        <v>239.2961770228438</v>
      </c>
      <c r="N392" s="27" t="n">
        <v>0.03784498044258876</v>
      </c>
      <c r="O392" s="26" t="n">
        <v>194.2182307191531</v>
      </c>
      <c r="P392" s="27" t="n">
        <v>0.04009423216293243</v>
      </c>
      <c r="Q392" s="26" t="n">
        <v>223.9475951630502</v>
      </c>
      <c r="R392" s="27" t="n">
        <v>0.05155943588765948</v>
      </c>
      <c r="S392" s="26" t="n">
        <v>209.963803836183</v>
      </c>
      <c r="T392" s="27" t="n">
        <v>0.06094213358755739</v>
      </c>
      <c r="U392" s="26" t="n">
        <v>229.7515579906708</v>
      </c>
      <c r="V392" s="27" t="n">
        <v>0.04591491532511132</v>
      </c>
      <c r="W392" s="26" t="n">
        <v>234.1044857581003</v>
      </c>
      <c r="X392" s="27" t="n">
        <v>0.03817895153324394</v>
      </c>
      <c r="Y392" s="26" t="n">
        <v>210.2004499788836</v>
      </c>
      <c r="Z392" s="27" t="n">
        <v>0.03071176758313923</v>
      </c>
      <c r="AA392" s="26" t="n">
        <v>224.518566782187</v>
      </c>
      <c r="AB392" s="27" t="n">
        <v>0.05193710592221481</v>
      </c>
    </row>
    <row r="393">
      <c r="A393" s="26" t="n">
        <v>199.4856011364297</v>
      </c>
      <c r="B393" s="27" t="n">
        <v>0.05178080231657878</v>
      </c>
      <c r="C393" s="26" t="n">
        <v>204.9183481996805</v>
      </c>
      <c r="D393" s="27" t="n">
        <v>0.04946863557907234</v>
      </c>
      <c r="E393" s="26" t="n">
        <v>236.6061913216972</v>
      </c>
      <c r="F393" s="27" t="n">
        <v>0.03808689876752194</v>
      </c>
      <c r="G393" s="26" t="n">
        <v>258.0517095256601</v>
      </c>
      <c r="H393" s="27" t="n">
        <v>0.02944178067731311</v>
      </c>
      <c r="I393" s="26" t="n">
        <v>263.0489588316773</v>
      </c>
      <c r="J393" s="27" t="n">
        <v>0.02916170073898591</v>
      </c>
      <c r="K393" s="26" t="n">
        <v>254.4860614281673</v>
      </c>
      <c r="L393" s="27" t="n">
        <v>0.03110054929532258</v>
      </c>
      <c r="M393" s="26" t="n">
        <v>239.3874827249296</v>
      </c>
      <c r="N393" s="27" t="n">
        <v>0.03804431618620726</v>
      </c>
      <c r="O393" s="26" t="n">
        <v>194.3426354132416</v>
      </c>
      <c r="P393" s="27" t="n">
        <v>0.04028224648973934</v>
      </c>
      <c r="Q393" s="26" t="n">
        <v>224.0416819386832</v>
      </c>
      <c r="R393" s="27" t="n">
        <v>0.05184608178097436</v>
      </c>
      <c r="S393" s="26" t="n">
        <v>210.0702274442144</v>
      </c>
      <c r="T393" s="27" t="n">
        <v>0.06128019668606139</v>
      </c>
      <c r="U393" s="26" t="n">
        <v>229.8366032851231</v>
      </c>
      <c r="V393" s="27" t="n">
        <v>0.04616802618501974</v>
      </c>
      <c r="W393" s="26" t="n">
        <v>234.1826712501531</v>
      </c>
      <c r="X393" s="27" t="n">
        <v>0.03838093912951302</v>
      </c>
      <c r="Y393" s="26" t="n">
        <v>210.3058911454905</v>
      </c>
      <c r="Z393" s="27" t="n">
        <v>0.03084544843317455</v>
      </c>
      <c r="AA393" s="26" t="n">
        <v>224.5987544438936</v>
      </c>
      <c r="AB393" s="27" t="n">
        <v>0.05222959268733564</v>
      </c>
    </row>
    <row r="394">
      <c r="A394" s="26" t="n">
        <v>199.651362799635</v>
      </c>
      <c r="B394" s="27" t="n">
        <v>0.05204040207901316</v>
      </c>
      <c r="C394" s="26" t="n">
        <v>205.0583977134952</v>
      </c>
      <c r="D394" s="27" t="n">
        <v>0.04972269020866581</v>
      </c>
      <c r="E394" s="26" t="n">
        <v>236.719248976054</v>
      </c>
      <c r="F394" s="27" t="n">
        <v>0.03828305213688969</v>
      </c>
      <c r="G394" s="26" t="n">
        <v>258.1384319562657</v>
      </c>
      <c r="H394" s="27" t="n">
        <v>0.02958670974372748</v>
      </c>
      <c r="I394" s="26" t="n">
        <v>263.1293432601772</v>
      </c>
      <c r="J394" s="27" t="n">
        <v>0.02930682332147509</v>
      </c>
      <c r="K394" s="26" t="n">
        <v>254.5623039225237</v>
      </c>
      <c r="L394" s="27" t="n">
        <v>0.03125781225467464</v>
      </c>
      <c r="M394" s="26" t="n">
        <v>239.4787884270155</v>
      </c>
      <c r="N394" s="27" t="n">
        <v>0.03824466970673043</v>
      </c>
      <c r="O394" s="26" t="n">
        <v>194.4670401073301</v>
      </c>
      <c r="P394" s="27" t="n">
        <v>0.04047115144581674</v>
      </c>
      <c r="Q394" s="26" t="n">
        <v>224.1357687143161</v>
      </c>
      <c r="R394" s="27" t="n">
        <v>0.05213415266214653</v>
      </c>
      <c r="S394" s="26" t="n">
        <v>210.1766510522457</v>
      </c>
      <c r="T394" s="27" t="n">
        <v>0.0616198613217764</v>
      </c>
      <c r="U394" s="26" t="n">
        <v>229.9216485795754</v>
      </c>
      <c r="V394" s="27" t="n">
        <v>0.04642242802796438</v>
      </c>
      <c r="W394" s="26" t="n">
        <v>234.2608567422059</v>
      </c>
      <c r="X394" s="27" t="n">
        <v>0.03858396528220311</v>
      </c>
      <c r="Y394" s="26" t="n">
        <v>210.4113323120974</v>
      </c>
      <c r="Z394" s="27" t="n">
        <v>0.03097971894538324</v>
      </c>
      <c r="AA394" s="26" t="n">
        <v>224.6789421056002</v>
      </c>
      <c r="AB394" s="27" t="n">
        <v>0.05252354794794265</v>
      </c>
    </row>
    <row r="395">
      <c r="A395" s="26" t="n">
        <v>199.8171244628403</v>
      </c>
      <c r="B395" s="27" t="n">
        <v>0.05230122856937609</v>
      </c>
      <c r="C395" s="26" t="n">
        <v>205.19844722731</v>
      </c>
      <c r="D395" s="27" t="n">
        <v>0.04997797649657221</v>
      </c>
      <c r="E395" s="26" t="n">
        <v>236.8323066304107</v>
      </c>
      <c r="F395" s="27" t="n">
        <v>0.03848018922785165</v>
      </c>
      <c r="G395" s="26" t="n">
        <v>258.2251543868713</v>
      </c>
      <c r="H395" s="27" t="n">
        <v>0.02973235229811972</v>
      </c>
      <c r="I395" s="26" t="n">
        <v>263.2097276886772</v>
      </c>
      <c r="J395" s="27" t="n">
        <v>0.02945266693226625</v>
      </c>
      <c r="K395" s="26" t="n">
        <v>254.63854641688</v>
      </c>
      <c r="L395" s="27" t="n">
        <v>0.03141586619040106</v>
      </c>
      <c r="M395" s="26" t="n">
        <v>239.5700941291013</v>
      </c>
      <c r="N395" s="27" t="n">
        <v>0.03844604574180496</v>
      </c>
      <c r="O395" s="26" t="n">
        <v>194.5914448014187</v>
      </c>
      <c r="P395" s="27" t="n">
        <v>0.04066095118926893</v>
      </c>
      <c r="Q395" s="26" t="n">
        <v>224.229855489949</v>
      </c>
      <c r="R395" s="27" t="n">
        <v>0.0524236537524302</v>
      </c>
      <c r="S395" s="26" t="n">
        <v>210.2830746602771</v>
      </c>
      <c r="T395" s="27" t="n">
        <v>0.06196113223877367</v>
      </c>
      <c r="U395" s="26" t="n">
        <v>230.0066938740277</v>
      </c>
      <c r="V395" s="27" t="n">
        <v>0.04667812620945663</v>
      </c>
      <c r="W395" s="26" t="n">
        <v>234.3390422342588</v>
      </c>
      <c r="X395" s="27" t="n">
        <v>0.03878803490228033</v>
      </c>
      <c r="Y395" s="26" t="n">
        <v>210.5167734787043</v>
      </c>
      <c r="Z395" s="27" t="n">
        <v>0.03111458174630232</v>
      </c>
      <c r="AA395" s="26" t="n">
        <v>224.7591297673067</v>
      </c>
      <c r="AB395" s="27" t="n">
        <v>0.05281897712005944</v>
      </c>
    </row>
    <row r="396">
      <c r="A396" s="26" t="n">
        <v>199.9828861260456</v>
      </c>
      <c r="B396" s="27" t="n">
        <v>0.05256328648935681</v>
      </c>
      <c r="C396" s="26" t="n">
        <v>205.3384967411248</v>
      </c>
      <c r="D396" s="27" t="n">
        <v>0.05023449940906315</v>
      </c>
      <c r="E396" s="26" t="n">
        <v>236.9453642847674</v>
      </c>
      <c r="F396" s="27" t="n">
        <v>0.03867831455753679</v>
      </c>
      <c r="G396" s="26" t="n">
        <v>258.3118768174769</v>
      </c>
      <c r="H396" s="27" t="n">
        <v>0.0298787118125992</v>
      </c>
      <c r="I396" s="26" t="n">
        <v>263.290112117177</v>
      </c>
      <c r="J396" s="27" t="n">
        <v>0.02959923510171918</v>
      </c>
      <c r="K396" s="26" t="n">
        <v>254.7147889112364</v>
      </c>
      <c r="L396" s="27" t="n">
        <v>0.03157471498444051</v>
      </c>
      <c r="M396" s="26" t="n">
        <v>239.6613998311872</v>
      </c>
      <c r="N396" s="27" t="n">
        <v>0.03864844904490706</v>
      </c>
      <c r="O396" s="26" t="n">
        <v>194.7158494955073</v>
      </c>
      <c r="P396" s="27" t="n">
        <v>0.04085164989603125</v>
      </c>
      <c r="Q396" s="26" t="n">
        <v>224.323942265582</v>
      </c>
      <c r="R396" s="27" t="n">
        <v>0.05271459027096042</v>
      </c>
      <c r="S396" s="26" t="n">
        <v>210.3894982683086</v>
      </c>
      <c r="T396" s="27" t="n">
        <v>0.06230401416414642</v>
      </c>
      <c r="U396" s="26" t="n">
        <v>230.09173916848</v>
      </c>
      <c r="V396" s="27" t="n">
        <v>0.04693512609250124</v>
      </c>
      <c r="W396" s="26" t="n">
        <v>234.4172277263115</v>
      </c>
      <c r="X396" s="27" t="n">
        <v>0.03899315291805768</v>
      </c>
      <c r="Y396" s="26" t="n">
        <v>210.6222146453112</v>
      </c>
      <c r="Z396" s="27" t="n">
        <v>0.03125003947425769</v>
      </c>
      <c r="AA396" s="26" t="n">
        <v>224.8393174290133</v>
      </c>
      <c r="AB396" s="27" t="n">
        <v>0.0531158856174531</v>
      </c>
    </row>
    <row r="397">
      <c r="A397" s="26" t="n">
        <v>200.1486477892509</v>
      </c>
      <c r="B397" s="27" t="n">
        <v>0.05282658054503963</v>
      </c>
      <c r="C397" s="26" t="n">
        <v>205.4785462549395</v>
      </c>
      <c r="D397" s="27" t="n">
        <v>0.05049226391984877</v>
      </c>
      <c r="E397" s="26" t="n">
        <v>237.0584219391241</v>
      </c>
      <c r="F397" s="27" t="n">
        <v>0.03887743265802986</v>
      </c>
      <c r="G397" s="26" t="n">
        <v>258.3985992480824</v>
      </c>
      <c r="H397" s="27" t="n">
        <v>0.03002579177532357</v>
      </c>
      <c r="I397" s="26" t="n">
        <v>263.370496545677</v>
      </c>
      <c r="J397" s="27" t="n">
        <v>0.02974653137648397</v>
      </c>
      <c r="K397" s="26" t="n">
        <v>254.7910314055927</v>
      </c>
      <c r="L397" s="27" t="n">
        <v>0.0317343625361483</v>
      </c>
      <c r="M397" s="26" t="n">
        <v>239.752705533273</v>
      </c>
      <c r="N397" s="27" t="n">
        <v>0.03885188438530597</v>
      </c>
      <c r="O397" s="26" t="n">
        <v>194.8402541895958</v>
      </c>
      <c r="P397" s="27" t="n">
        <v>0.04104325175991865</v>
      </c>
      <c r="Q397" s="26" t="n">
        <v>224.4180290412149</v>
      </c>
      <c r="R397" s="27" t="n">
        <v>0.05300696743445076</v>
      </c>
      <c r="S397" s="26" t="n">
        <v>210.4959218763399</v>
      </c>
      <c r="T397" s="27" t="n">
        <v>0.06264851180757836</v>
      </c>
      <c r="U397" s="26" t="n">
        <v>230.1767844629323</v>
      </c>
      <c r="V397" s="27" t="n">
        <v>0.0471934330474033</v>
      </c>
      <c r="W397" s="26" t="n">
        <v>234.4954132183643</v>
      </c>
      <c r="X397" s="27" t="n">
        <v>0.03919932427517156</v>
      </c>
      <c r="Y397" s="26" t="n">
        <v>210.7276558119181</v>
      </c>
      <c r="Z397" s="27" t="n">
        <v>0.03138609477941731</v>
      </c>
      <c r="AA397" s="26" t="n">
        <v>224.91950509072</v>
      </c>
      <c r="AB397" s="27" t="n">
        <v>0.05341427885131782</v>
      </c>
    </row>
    <row r="398">
      <c r="A398" s="26" t="n">
        <v>200.3144094524562</v>
      </c>
      <c r="B398" s="27" t="n">
        <v>0.05309111544671401</v>
      </c>
      <c r="C398" s="26" t="n">
        <v>205.6185957687543</v>
      </c>
      <c r="D398" s="27" t="n">
        <v>0.05075127500991202</v>
      </c>
      <c r="E398" s="26" t="n">
        <v>237.1714795934809</v>
      </c>
      <c r="F398" s="27" t="n">
        <v>0.03907754807633806</v>
      </c>
      <c r="G398" s="26" t="n">
        <v>258.485321678688</v>
      </c>
      <c r="H398" s="27" t="n">
        <v>0.03017359569055782</v>
      </c>
      <c r="I398" s="26" t="n">
        <v>263.4508809741769</v>
      </c>
      <c r="J398" s="27" t="n">
        <v>0.02989455931955911</v>
      </c>
      <c r="K398" s="26" t="n">
        <v>254.8672738999491</v>
      </c>
      <c r="L398" s="27" t="n">
        <v>0.03189481276234771</v>
      </c>
      <c r="M398" s="26" t="n">
        <v>239.8440112353588</v>
      </c>
      <c r="N398" s="27" t="n">
        <v>0.03905635654802748</v>
      </c>
      <c r="O398" s="26" t="n">
        <v>194.9646588836843</v>
      </c>
      <c r="P398" s="27" t="n">
        <v>0.04123576099267481</v>
      </c>
      <c r="Q398" s="26" t="n">
        <v>224.5121158168479</v>
      </c>
      <c r="R398" s="27" t="n">
        <v>0.05330079045688697</v>
      </c>
      <c r="S398" s="26" t="n">
        <v>210.6023454843713</v>
      </c>
      <c r="T398" s="27" t="n">
        <v>0.06299462986090822</v>
      </c>
      <c r="U398" s="26" t="n">
        <v>230.2618297573846</v>
      </c>
      <c r="V398" s="27" t="n">
        <v>0.04745305245157176</v>
      </c>
      <c r="W398" s="26" t="n">
        <v>234.5735987104171</v>
      </c>
      <c r="X398" s="27" t="n">
        <v>0.03940655393655768</v>
      </c>
      <c r="Y398" s="26" t="n">
        <v>210.833096978525</v>
      </c>
      <c r="Z398" s="27" t="n">
        <v>0.03152275032384506</v>
      </c>
      <c r="AA398" s="26" t="n">
        <v>224.9996927524265</v>
      </c>
      <c r="AB398" s="27" t="n">
        <v>0.05371416222995618</v>
      </c>
    </row>
    <row r="399">
      <c r="A399" s="26" t="n">
        <v>200.4801711156615</v>
      </c>
      <c r="B399" s="27" t="n">
        <v>0.05335689590868337</v>
      </c>
      <c r="C399" s="26" t="n">
        <v>205.7586452825691</v>
      </c>
      <c r="D399" s="27" t="n">
        <v>0.05101153766734038</v>
      </c>
      <c r="E399" s="26" t="n">
        <v>237.2845372478376</v>
      </c>
      <c r="F399" s="27" t="n">
        <v>0.03927866537435567</v>
      </c>
      <c r="G399" s="26" t="n">
        <v>258.5720441092935</v>
      </c>
      <c r="H399" s="27" t="n">
        <v>0.03032212707873334</v>
      </c>
      <c r="I399" s="26" t="n">
        <v>263.5312654026769</v>
      </c>
      <c r="J399" s="27" t="n">
        <v>0.03004332251034932</v>
      </c>
      <c r="K399" s="26" t="n">
        <v>254.9435163943054</v>
      </c>
      <c r="L399" s="27" t="n">
        <v>0.03205606959738158</v>
      </c>
      <c r="M399" s="26" t="n">
        <v>239.9353169374447</v>
      </c>
      <c r="N399" s="27" t="n">
        <v>0.03926187033381402</v>
      </c>
      <c r="O399" s="26" t="n">
        <v>195.0890635777729</v>
      </c>
      <c r="P399" s="27" t="n">
        <v>0.04142918182401965</v>
      </c>
      <c r="Q399" s="26" t="n">
        <v>224.6062025924809</v>
      </c>
      <c r="R399" s="27" t="n">
        <v>0.05359606454921678</v>
      </c>
      <c r="S399" s="26" t="n">
        <v>210.7087690924026</v>
      </c>
      <c r="T399" s="27" t="n">
        <v>0.06334237299768984</v>
      </c>
      <c r="U399" s="26" t="n">
        <v>230.3468750518369</v>
      </c>
      <c r="V399" s="27" t="n">
        <v>0.04771398968932026</v>
      </c>
      <c r="W399" s="26" t="n">
        <v>234.65178420247</v>
      </c>
      <c r="X399" s="27" t="n">
        <v>0.03961484688242466</v>
      </c>
      <c r="Y399" s="26" t="n">
        <v>210.9385381451319</v>
      </c>
      <c r="Z399" s="27" t="n">
        <v>0.03166000878155393</v>
      </c>
      <c r="AA399" s="26" t="n">
        <v>225.0798804141331</v>
      </c>
      <c r="AB399" s="27" t="n">
        <v>0.05401554115845498</v>
      </c>
    </row>
    <row r="400">
      <c r="A400" s="26" t="n">
        <v>200.6459327788668</v>
      </c>
      <c r="B400" s="27" t="n">
        <v>0.0536239266490697</v>
      </c>
      <c r="C400" s="26" t="n">
        <v>205.8986947963839</v>
      </c>
      <c r="D400" s="27" t="n">
        <v>0.05127305688715442</v>
      </c>
      <c r="E400" s="26" t="n">
        <v>237.3975949021943</v>
      </c>
      <c r="F400" s="27" t="n">
        <v>0.03948078912882731</v>
      </c>
      <c r="G400" s="26" t="n">
        <v>258.6587665398991</v>
      </c>
      <c r="H400" s="27" t="n">
        <v>0.03047138947650703</v>
      </c>
      <c r="I400" s="26" t="n">
        <v>263.6116498311768</v>
      </c>
      <c r="J400" s="27" t="n">
        <v>0.0301928245447231</v>
      </c>
      <c r="K400" s="26" t="n">
        <v>255.0197588886618</v>
      </c>
      <c r="L400" s="27" t="n">
        <v>0.03221813699316289</v>
      </c>
      <c r="M400" s="26" t="n">
        <v>240.0266226395305</v>
      </c>
      <c r="N400" s="27" t="n">
        <v>0.03946843055908437</v>
      </c>
      <c r="O400" s="26" t="n">
        <v>195.2134682718614</v>
      </c>
      <c r="P400" s="27" t="n">
        <v>0.04162351850169782</v>
      </c>
      <c r="Q400" s="26" t="n">
        <v>224.7002893681138</v>
      </c>
      <c r="R400" s="27" t="n">
        <v>0.05389279491903666</v>
      </c>
      <c r="S400" s="26" t="n">
        <v>210.815192700434</v>
      </c>
      <c r="T400" s="27" t="n">
        <v>0.06369174587274985</v>
      </c>
      <c r="U400" s="26" t="n">
        <v>230.4319203462892</v>
      </c>
      <c r="V400" s="27" t="n">
        <v>0.04797625015166376</v>
      </c>
      <c r="W400" s="26" t="n">
        <v>234.7299696945228</v>
      </c>
      <c r="X400" s="27" t="n">
        <v>0.03982420811022663</v>
      </c>
      <c r="Y400" s="26" t="n">
        <v>211.0439793117388</v>
      </c>
      <c r="Z400" s="27" t="n">
        <v>0.0317978728385603</v>
      </c>
      <c r="AA400" s="26" t="n">
        <v>225.1600680758397</v>
      </c>
      <c r="AB400" s="27" t="n">
        <v>0.0543184210383579</v>
      </c>
    </row>
    <row r="401">
      <c r="A401" s="26" t="n">
        <v>200.8116944420722</v>
      </c>
      <c r="B401" s="27" t="n">
        <v>0.05389221238961549</v>
      </c>
      <c r="C401" s="26" t="n">
        <v>206.0387443101987</v>
      </c>
      <c r="D401" s="27" t="n">
        <v>0.05153583767113384</v>
      </c>
      <c r="E401" s="26" t="n">
        <v>237.510652556551</v>
      </c>
      <c r="F401" s="27" t="n">
        <v>0.03968392393130996</v>
      </c>
      <c r="G401" s="26" t="n">
        <v>258.7454889705048</v>
      </c>
      <c r="H401" s="27" t="n">
        <v>0.03062138643681977</v>
      </c>
      <c r="I401" s="26" t="n">
        <v>263.6920342596768</v>
      </c>
      <c r="J401" s="27" t="n">
        <v>0.03034306903507059</v>
      </c>
      <c r="K401" s="26" t="n">
        <v>255.0960013830181</v>
      </c>
      <c r="L401" s="27" t="n">
        <v>0.03238101891922548</v>
      </c>
      <c r="M401" s="26" t="n">
        <v>240.1179283416163</v>
      </c>
      <c r="N401" s="27" t="n">
        <v>0.03967604205589116</v>
      </c>
      <c r="O401" s="26" t="n">
        <v>195.3378729659499</v>
      </c>
      <c r="P401" s="27" t="n">
        <v>0.04181877529152588</v>
      </c>
      <c r="Q401" s="26" t="n">
        <v>224.7943761437467</v>
      </c>
      <c r="R401" s="27" t="n">
        <v>0.0541909867702741</v>
      </c>
      <c r="S401" s="26" t="n">
        <v>210.9216163084654</v>
      </c>
      <c r="T401" s="27" t="n">
        <v>0.0640427531217401</v>
      </c>
      <c r="U401" s="26" t="n">
        <v>230.5169656407415</v>
      </c>
      <c r="V401" s="27" t="n">
        <v>0.04823983923611305</v>
      </c>
      <c r="W401" s="26" t="n">
        <v>234.8081551865756</v>
      </c>
      <c r="X401" s="27" t="n">
        <v>0.0400346426346338</v>
      </c>
      <c r="Y401" s="26" t="n">
        <v>211.1494204783457</v>
      </c>
      <c r="Z401" s="27" t="n">
        <v>0.03193634519293789</v>
      </c>
      <c r="AA401" s="26" t="n">
        <v>225.2402557375463</v>
      </c>
      <c r="AB401" s="27" t="n">
        <v>0.05462280726733487</v>
      </c>
    </row>
    <row r="402">
      <c r="A402" s="26" t="n">
        <v>200.9774561052774</v>
      </c>
      <c r="B402" s="27" t="n">
        <v>0.05416175785548357</v>
      </c>
      <c r="C402" s="26" t="n">
        <v>206.1787938240134</v>
      </c>
      <c r="D402" s="27" t="n">
        <v>0.05179988502764044</v>
      </c>
      <c r="E402" s="26" t="n">
        <v>237.6237102109077</v>
      </c>
      <c r="F402" s="27" t="n">
        <v>0.03988807438813241</v>
      </c>
      <c r="G402" s="26" t="n">
        <v>258.8322114011103</v>
      </c>
      <c r="H402" s="27" t="n">
        <v>0.0307721215289559</v>
      </c>
      <c r="I402" s="26" t="n">
        <v>263.7724186881767</v>
      </c>
      <c r="J402" s="27" t="n">
        <v>0.03049405961036118</v>
      </c>
      <c r="K402" s="26" t="n">
        <v>255.1722438773745</v>
      </c>
      <c r="L402" s="27" t="n">
        <v>0.03254471936277419</v>
      </c>
      <c r="M402" s="26" t="n">
        <v>240.2092340437022</v>
      </c>
      <c r="N402" s="27" t="n">
        <v>0.0398847096718764</v>
      </c>
      <c r="O402" s="26" t="n">
        <v>195.4622776600385</v>
      </c>
      <c r="P402" s="27" t="n">
        <v>0.04201495647743948</v>
      </c>
      <c r="Q402" s="26" t="n">
        <v>224.8884629193797</v>
      </c>
      <c r="R402" s="27" t="n">
        <v>0.05449064530286642</v>
      </c>
      <c r="S402" s="26" t="n">
        <v>211.0280399164968</v>
      </c>
      <c r="T402" s="27" t="n">
        <v>0.06439539936068715</v>
      </c>
      <c r="U402" s="26" t="n">
        <v>230.6020109351938</v>
      </c>
      <c r="V402" s="27" t="n">
        <v>0.04850476234646554</v>
      </c>
      <c r="W402" s="26" t="n">
        <v>234.8863406786284</v>
      </c>
      <c r="X402" s="27" t="n">
        <v>0.04024615548750179</v>
      </c>
      <c r="Y402" s="26" t="n">
        <v>211.2548616449527</v>
      </c>
      <c r="Z402" s="27" t="n">
        <v>0.03207542855487239</v>
      </c>
      <c r="AA402" s="26" t="n">
        <v>225.320443399253</v>
      </c>
      <c r="AB402" s="27" t="n">
        <v>0.05492870523884637</v>
      </c>
    </row>
    <row r="403">
      <c r="A403" s="26" t="n">
        <v>201.1432177684828</v>
      </c>
      <c r="B403" s="27" t="n">
        <v>0.05443256777505256</v>
      </c>
      <c r="C403" s="26" t="n">
        <v>206.3188433378282</v>
      </c>
      <c r="D403" s="27" t="n">
        <v>0.05206520397143789</v>
      </c>
      <c r="E403" s="26" t="n">
        <v>237.7367678652644</v>
      </c>
      <c r="F403" s="27" t="n">
        <v>0.04009324512035432</v>
      </c>
      <c r="G403" s="26" t="n">
        <v>258.9189338317159</v>
      </c>
      <c r="H403" s="27" t="n">
        <v>0.0309235983386014</v>
      </c>
      <c r="I403" s="26" t="n">
        <v>263.8528031166767</v>
      </c>
      <c r="J403" s="27" t="n">
        <v>0.03064579991620046</v>
      </c>
      <c r="K403" s="26" t="n">
        <v>255.2484863717308</v>
      </c>
      <c r="L403" s="27" t="n">
        <v>0.03270924232873483</v>
      </c>
      <c r="M403" s="26" t="n">
        <v>240.300539745788</v>
      </c>
      <c r="N403" s="27" t="n">
        <v>0.04009443827022607</v>
      </c>
      <c r="O403" s="26" t="n">
        <v>195.586682354127</v>
      </c>
      <c r="P403" s="27" t="n">
        <v>0.04221206636153994</v>
      </c>
      <c r="Q403" s="26" t="n">
        <v>224.9825496950126</v>
      </c>
      <c r="R403" s="27" t="n">
        <v>0.05479177571243581</v>
      </c>
      <c r="S403" s="26" t="n">
        <v>211.1344635245281</v>
      </c>
      <c r="T403" s="27" t="n">
        <v>0.0647496891855377</v>
      </c>
      <c r="U403" s="26" t="n">
        <v>230.6870562296461</v>
      </c>
      <c r="V403" s="27" t="n">
        <v>0.04877102489259236</v>
      </c>
      <c r="W403" s="26" t="n">
        <v>234.9645261706812</v>
      </c>
      <c r="X403" s="27" t="n">
        <v>0.04045875171783865</v>
      </c>
      <c r="Y403" s="26" t="n">
        <v>211.3603028115596</v>
      </c>
      <c r="Z403" s="27" t="n">
        <v>0.03221512564671594</v>
      </c>
      <c r="AA403" s="26" t="n">
        <v>225.4006310609595</v>
      </c>
      <c r="AB403" s="27" t="n">
        <v>0.05523612034180461</v>
      </c>
    </row>
    <row r="404">
      <c r="A404" s="26" t="n">
        <v>201.3089794316881</v>
      </c>
      <c r="B404" s="27" t="n">
        <v>0.05470464687971011</v>
      </c>
      <c r="C404" s="26" t="n">
        <v>206.458892851643</v>
      </c>
      <c r="D404" s="27" t="n">
        <v>0.05233179952350921</v>
      </c>
      <c r="E404" s="26" t="n">
        <v>237.8498255196212</v>
      </c>
      <c r="F404" s="27" t="n">
        <v>0.0402994407637226</v>
      </c>
      <c r="G404" s="26" t="n">
        <v>259.0056562623214</v>
      </c>
      <c r="H404" s="27" t="n">
        <v>0.0310758204679029</v>
      </c>
      <c r="I404" s="26" t="n">
        <v>263.9331875451766</v>
      </c>
      <c r="J404" s="27" t="n">
        <v>0.03079829361488814</v>
      </c>
      <c r="K404" s="26" t="n">
        <v>255.3247288660872</v>
      </c>
      <c r="L404" s="27" t="n">
        <v>0.03287459183980356</v>
      </c>
      <c r="M404" s="26" t="n">
        <v>240.3918454478738</v>
      </c>
      <c r="N404" s="27" t="n">
        <v>0.04030523272962198</v>
      </c>
      <c r="O404" s="26" t="n">
        <v>195.7110870482156</v>
      </c>
      <c r="P404" s="27" t="n">
        <v>0.04241010926414076</v>
      </c>
      <c r="Q404" s="26" t="n">
        <v>225.0766364706456</v>
      </c>
      <c r="R404" s="27" t="n">
        <v>0.0550943831899605</v>
      </c>
      <c r="S404" s="26" t="n">
        <v>211.2408871325595</v>
      </c>
      <c r="T404" s="27" t="n">
        <v>0.06510562717169992</v>
      </c>
      <c r="U404" s="26" t="n">
        <v>230.7721015240984</v>
      </c>
      <c r="V404" s="27" t="n">
        <v>0.0490386322902225</v>
      </c>
      <c r="W404" s="26" t="n">
        <v>235.042711662734</v>
      </c>
      <c r="X404" s="27" t="n">
        <v>0.04067243639177102</v>
      </c>
      <c r="Y404" s="26" t="n">
        <v>211.4657439781665</v>
      </c>
      <c r="Z404" s="27" t="n">
        <v>0.03235543920304221</v>
      </c>
      <c r="AA404" s="26" t="n">
        <v>225.4808187226661</v>
      </c>
      <c r="AB404" s="27" t="n">
        <v>0.05554505796023027</v>
      </c>
    </row>
    <row r="405">
      <c r="A405" s="26" t="n">
        <v>201.4747410948934</v>
      </c>
      <c r="B405" s="27" t="n">
        <v>0.05497799990364349</v>
      </c>
      <c r="C405" s="26" t="n">
        <v>206.5989423654578</v>
      </c>
      <c r="D405" s="27" t="n">
        <v>0.05259967671087024</v>
      </c>
      <c r="E405" s="26" t="n">
        <v>237.9628831739779</v>
      </c>
      <c r="F405" s="27" t="n">
        <v>0.04050666596862677</v>
      </c>
      <c r="G405" s="26" t="n">
        <v>259.092378692927</v>
      </c>
      <c r="H405" s="27" t="n">
        <v>0.03122879153552603</v>
      </c>
      <c r="I405" s="26" t="n">
        <v>264.0135719736766</v>
      </c>
      <c r="J405" s="27" t="n">
        <v>0.03095154438547452</v>
      </c>
      <c r="K405" s="26" t="n">
        <v>255.4009713604435</v>
      </c>
      <c r="L405" s="27" t="n">
        <v>0.03304077193649624</v>
      </c>
      <c r="M405" s="26" t="n">
        <v>240.4831511499597</v>
      </c>
      <c r="N405" s="27" t="n">
        <v>0.04051709794419253</v>
      </c>
      <c r="O405" s="26" t="n">
        <v>195.8354917423041</v>
      </c>
      <c r="P405" s="27" t="n">
        <v>0.04260908952381295</v>
      </c>
      <c r="Q405" s="26" t="n">
        <v>225.1707232462785</v>
      </c>
      <c r="R405" s="27" t="n">
        <v>0.05539847292144197</v>
      </c>
      <c r="S405" s="26" t="n">
        <v>211.3473107405909</v>
      </c>
      <c r="T405" s="27" t="n">
        <v>0.0654632178735816</v>
      </c>
      <c r="U405" s="26" t="n">
        <v>230.8571468185507</v>
      </c>
      <c r="V405" s="27" t="n">
        <v>0.04930758996072396</v>
      </c>
      <c r="W405" s="26" t="n">
        <v>235.1208971547867</v>
      </c>
      <c r="X405" s="27" t="n">
        <v>0.04088721459250786</v>
      </c>
      <c r="Y405" s="26" t="n">
        <v>211.5711851447734</v>
      </c>
      <c r="Z405" s="27" t="n">
        <v>0.03249637197070139</v>
      </c>
      <c r="AA405" s="26" t="n">
        <v>225.5610063843727</v>
      </c>
      <c r="AB405" s="27" t="n">
        <v>0.0558555234729057</v>
      </c>
    </row>
    <row r="406">
      <c r="A406" s="26" t="n">
        <v>201.6405027580987</v>
      </c>
      <c r="B406" s="27" t="n">
        <v>0.05525263158362558</v>
      </c>
      <c r="C406" s="26" t="n">
        <v>206.7389918792726</v>
      </c>
      <c r="D406" s="27" t="n">
        <v>0.05286884056638126</v>
      </c>
      <c r="E406" s="26" t="n">
        <v>238.0759408283346</v>
      </c>
      <c r="F406" s="27" t="n">
        <v>0.04071492540005227</v>
      </c>
      <c r="G406" s="26" t="n">
        <v>259.1791011235326</v>
      </c>
      <c r="H406" s="27" t="n">
        <v>0.03138251517671421</v>
      </c>
      <c r="I406" s="26" t="n">
        <v>264.0939564021764</v>
      </c>
      <c r="J406" s="27" t="n">
        <v>0.03110555592381794</v>
      </c>
      <c r="K406" s="26" t="n">
        <v>255.4772138547999</v>
      </c>
      <c r="L406" s="27" t="n">
        <v>0.03320778667719675</v>
      </c>
      <c r="M406" s="26" t="n">
        <v>240.5744568520455</v>
      </c>
      <c r="N406" s="27" t="n">
        <v>0.04073003882346109</v>
      </c>
      <c r="O406" s="26" t="n">
        <v>195.9598964363927</v>
      </c>
      <c r="P406" s="27" t="n">
        <v>0.04280901149743092</v>
      </c>
      <c r="Q406" s="26" t="n">
        <v>225.2648100219115</v>
      </c>
      <c r="R406" s="27" t="n">
        <v>0.0557040500875681</v>
      </c>
      <c r="S406" s="26" t="n">
        <v>211.4537343486223</v>
      </c>
      <c r="T406" s="27" t="n">
        <v>0.06582246582412367</v>
      </c>
      <c r="U406" s="26" t="n">
        <v>230.942192113003</v>
      </c>
      <c r="V406" s="27" t="n">
        <v>0.0495779033308805</v>
      </c>
      <c r="W406" s="26" t="n">
        <v>235.1990826468396</v>
      </c>
      <c r="X406" s="27" t="n">
        <v>0.04110309142030307</v>
      </c>
      <c r="Y406" s="26" t="n">
        <v>211.6766263113803</v>
      </c>
      <c r="Z406" s="27" t="n">
        <v>0.03263792670887572</v>
      </c>
      <c r="AA406" s="26" t="n">
        <v>225.6411940460793</v>
      </c>
      <c r="AB406" s="27" t="n">
        <v>0.05616752225302391</v>
      </c>
    </row>
    <row r="407">
      <c r="A407" s="26" t="n">
        <v>201.806264421304</v>
      </c>
      <c r="B407" s="27" t="n">
        <v>0.05552854665879951</v>
      </c>
      <c r="C407" s="26" t="n">
        <v>206.8790413930873</v>
      </c>
      <c r="D407" s="27" t="n">
        <v>0.05313929612855458</v>
      </c>
      <c r="E407" s="26" t="n">
        <v>238.1889984826913</v>
      </c>
      <c r="F407" s="27" t="n">
        <v>0.04092422373753235</v>
      </c>
      <c r="G407" s="26" t="n">
        <v>259.2658235541381</v>
      </c>
      <c r="H407" s="27" t="n">
        <v>0.03153699504334642</v>
      </c>
      <c r="I407" s="26" t="n">
        <v>264.1743408306764</v>
      </c>
      <c r="J407" s="27" t="n">
        <v>0.03126033194264127</v>
      </c>
      <c r="K407" s="26" t="n">
        <v>255.5534563491562</v>
      </c>
      <c r="L407" s="27" t="n">
        <v>0.03337564013820599</v>
      </c>
      <c r="M407" s="26" t="n">
        <v>240.6657625541314</v>
      </c>
      <c r="N407" s="27" t="n">
        <v>0.04094406029229332</v>
      </c>
      <c r="O407" s="26" t="n">
        <v>196.0843011304812</v>
      </c>
      <c r="P407" s="27" t="n">
        <v>0.04300987956021728</v>
      </c>
      <c r="Q407" s="26" t="n">
        <v>225.3588967975444</v>
      </c>
      <c r="R407" s="27" t="n">
        <v>0.05601111986337351</v>
      </c>
      <c r="S407" s="26" t="n">
        <v>211.5601579566537</v>
      </c>
      <c r="T407" s="27" t="n">
        <v>0.06618337553433053</v>
      </c>
      <c r="U407" s="26" t="n">
        <v>231.0272374074553</v>
      </c>
      <c r="V407" s="27" t="n">
        <v>0.04984957783266596</v>
      </c>
      <c r="W407" s="26" t="n">
        <v>235.2772681388924</v>
      </c>
      <c r="X407" s="27" t="n">
        <v>0.04132007199241541</v>
      </c>
      <c r="Y407" s="26" t="n">
        <v>211.7820674779872</v>
      </c>
      <c r="Z407" s="27" t="n">
        <v>0.03278010618913516</v>
      </c>
      <c r="AA407" s="26" t="n">
        <v>225.7213817077859</v>
      </c>
      <c r="AB407" s="27" t="n">
        <v>0.05648105966783322</v>
      </c>
    </row>
    <row r="408">
      <c r="A408" s="26" t="n">
        <v>201.9720260845093</v>
      </c>
      <c r="B408" s="27" t="n">
        <v>0.05580574987045903</v>
      </c>
      <c r="C408" s="26" t="n">
        <v>207.0190909069021</v>
      </c>
      <c r="D408" s="27" t="n">
        <v>0.05341104844135956</v>
      </c>
      <c r="E408" s="26" t="n">
        <v>238.3020561370481</v>
      </c>
      <c r="F408" s="27" t="n">
        <v>0.04113456567509767</v>
      </c>
      <c r="G408" s="26" t="n">
        <v>259.3525459847438</v>
      </c>
      <c r="H408" s="27" t="n">
        <v>0.03169223480399615</v>
      </c>
      <c r="I408" s="26" t="n">
        <v>264.2547252591763</v>
      </c>
      <c r="J408" s="27" t="n">
        <v>0.03141587617158876</v>
      </c>
      <c r="K408" s="26" t="n">
        <v>255.6296988435126</v>
      </c>
      <c r="L408" s="27" t="n">
        <v>0.03354433641378914</v>
      </c>
      <c r="M408" s="26" t="n">
        <v>240.7570682562172</v>
      </c>
      <c r="N408" s="27" t="n">
        <v>0.04115916729084163</v>
      </c>
      <c r="O408" s="26" t="n">
        <v>196.2087058245698</v>
      </c>
      <c r="P408" s="27" t="n">
        <v>0.043211698105787</v>
      </c>
      <c r="Q408" s="26" t="n">
        <v>225.4529835731774</v>
      </c>
      <c r="R408" s="27" t="n">
        <v>0.05631968741789434</v>
      </c>
      <c r="S408" s="26" t="n">
        <v>211.666581564685</v>
      </c>
      <c r="T408" s="27" t="n">
        <v>0.06654595149279595</v>
      </c>
      <c r="U408" s="26" t="n">
        <v>231.1122827019076</v>
      </c>
      <c r="V408" s="27" t="n">
        <v>0.05012261890301459</v>
      </c>
      <c r="W408" s="26" t="n">
        <v>235.3554536309452</v>
      </c>
      <c r="X408" s="27" t="n">
        <v>0.04153816144306794</v>
      </c>
      <c r="Y408" s="26" t="n">
        <v>211.8875086445941</v>
      </c>
      <c r="Z408" s="27" t="n">
        <v>0.03292291319549309</v>
      </c>
      <c r="AA408" s="26" t="n">
        <v>225.8015693694925</v>
      </c>
      <c r="AB408" s="27" t="n">
        <v>0.05679614107827834</v>
      </c>
    </row>
    <row r="409">
      <c r="A409" s="26" t="n">
        <v>202.1377877477146</v>
      </c>
      <c r="B409" s="27" t="n">
        <v>0.05608424596182595</v>
      </c>
      <c r="C409" s="26" t="n">
        <v>207.1591404207169</v>
      </c>
      <c r="D409" s="27" t="n">
        <v>0.05368410255402438</v>
      </c>
      <c r="E409" s="26" t="n">
        <v>238.4151137914048</v>
      </c>
      <c r="F409" s="27" t="n">
        <v>0.04134595592122486</v>
      </c>
      <c r="G409" s="26" t="n">
        <v>259.4392684153493</v>
      </c>
      <c r="H409" s="27" t="n">
        <v>0.0318482381439891</v>
      </c>
      <c r="I409" s="26" t="n">
        <v>264.3351096876763</v>
      </c>
      <c r="J409" s="27" t="n">
        <v>0.03157219235728247</v>
      </c>
      <c r="K409" s="26" t="n">
        <v>255.705941337869</v>
      </c>
      <c r="L409" s="27" t="n">
        <v>0.03371387961622355</v>
      </c>
      <c r="M409" s="26" t="n">
        <v>240.8483739583031</v>
      </c>
      <c r="N409" s="27" t="n">
        <v>0.04137536477448853</v>
      </c>
      <c r="O409" s="26" t="n">
        <v>196.3331105186583</v>
      </c>
      <c r="P409" s="27" t="n">
        <v>0.04341447154619178</v>
      </c>
      <c r="Q409" s="26" t="n">
        <v>225.5470703488103</v>
      </c>
      <c r="R409" s="27" t="n">
        <v>0.0566297579138204</v>
      </c>
      <c r="S409" s="26" t="n">
        <v>211.7730051727164</v>
      </c>
      <c r="T409" s="27" t="n">
        <v>0.06691019816522575</v>
      </c>
      <c r="U409" s="26" t="n">
        <v>231.1973279963599</v>
      </c>
      <c r="V409" s="27" t="n">
        <v>0.05039703198358783</v>
      </c>
      <c r="W409" s="26" t="n">
        <v>235.433639122998</v>
      </c>
      <c r="X409" s="27" t="n">
        <v>0.04175736492340445</v>
      </c>
      <c r="Y409" s="26" t="n">
        <v>211.992949811201</v>
      </c>
      <c r="Z409" s="27" t="n">
        <v>0.0330663505244628</v>
      </c>
      <c r="AA409" s="26" t="n">
        <v>225.8817570311991</v>
      </c>
      <c r="AB409" s="27" t="n">
        <v>0.05711277183863715</v>
      </c>
    </row>
    <row r="410">
      <c r="A410" s="26" t="n">
        <v>202.3035494109199</v>
      </c>
      <c r="B410" s="27" t="n">
        <v>0.0563640396778247</v>
      </c>
      <c r="C410" s="26" t="n">
        <v>207.2991899345317</v>
      </c>
      <c r="D410" s="27" t="n">
        <v>0.0539584635208344</v>
      </c>
      <c r="E410" s="26" t="n">
        <v>238.5281714457615</v>
      </c>
      <c r="F410" s="27" t="n">
        <v>0.04155839919878285</v>
      </c>
      <c r="G410" s="26" t="n">
        <v>259.5259908459549</v>
      </c>
      <c r="H410" s="27" t="n">
        <v>0.03200500876546133</v>
      </c>
      <c r="I410" s="26" t="n">
        <v>264.4154941161762</v>
      </c>
      <c r="J410" s="27" t="n">
        <v>0.03172928426337834</v>
      </c>
      <c r="K410" s="26" t="n">
        <v>255.7821838322253</v>
      </c>
      <c r="L410" s="27" t="n">
        <v>0.03388427387584587</v>
      </c>
      <c r="M410" s="26" t="n">
        <v>240.9396796603889</v>
      </c>
      <c r="N410" s="27" t="n">
        <v>0.04159265771378743</v>
      </c>
      <c r="O410" s="26" t="n">
        <v>196.4575152127469</v>
      </c>
      <c r="P410" s="27" t="n">
        <v>0.04361820431196319</v>
      </c>
      <c r="Q410" s="26" t="n">
        <v>225.6411571244433</v>
      </c>
      <c r="R410" s="27" t="n">
        <v>0.05694133650714258</v>
      </c>
      <c r="S410" s="26" t="n">
        <v>211.8794287807478</v>
      </c>
      <c r="T410" s="27" t="n">
        <v>0.06727611999395583</v>
      </c>
      <c r="U410" s="26" t="n">
        <v>231.2823732908122</v>
      </c>
      <c r="V410" s="27" t="n">
        <v>0.05067282252053812</v>
      </c>
      <c r="W410" s="26" t="n">
        <v>235.5118246150508</v>
      </c>
      <c r="X410" s="27" t="n">
        <v>0.04197768760144476</v>
      </c>
      <c r="Y410" s="26" t="n">
        <v>212.098390977808</v>
      </c>
      <c r="Z410" s="27" t="n">
        <v>0.03321042098511374</v>
      </c>
      <c r="AA410" s="26" t="n">
        <v>225.9619446929057</v>
      </c>
      <c r="AB410" s="27" t="n">
        <v>0.05743095729615349</v>
      </c>
    </row>
    <row r="411">
      <c r="A411" s="26" t="n">
        <v>202.4693110741252</v>
      </c>
      <c r="B411" s="27" t="n">
        <v>0.05664513576485322</v>
      </c>
      <c r="C411" s="26" t="n">
        <v>207.4392394483464</v>
      </c>
      <c r="D411" s="27" t="n">
        <v>0.05423413640092823</v>
      </c>
      <c r="E411" s="26" t="n">
        <v>238.6412291001183</v>
      </c>
      <c r="F411" s="27" t="n">
        <v>0.04177190024497712</v>
      </c>
      <c r="G411" s="26" t="n">
        <v>259.6127132765604</v>
      </c>
      <c r="H411" s="27" t="n">
        <v>0.03216255038741726</v>
      </c>
      <c r="I411" s="26" t="n">
        <v>264.4958785446762</v>
      </c>
      <c r="J411" s="27" t="n">
        <v>0.03188715567062266</v>
      </c>
      <c r="K411" s="26" t="n">
        <v>255.8584263265817</v>
      </c>
      <c r="L411" s="27" t="n">
        <v>0.03405552334109842</v>
      </c>
      <c r="M411" s="26" t="n">
        <v>241.0309853624747</v>
      </c>
      <c r="N411" s="27" t="n">
        <v>0.04181105109440216</v>
      </c>
      <c r="O411" s="26" t="n">
        <v>196.5819199068354</v>
      </c>
      <c r="P411" s="27" t="n">
        <v>0.04382290085215599</v>
      </c>
      <c r="Q411" s="26" t="n">
        <v>225.7352439000762</v>
      </c>
      <c r="R411" s="27" t="n">
        <v>0.05725442834679687</v>
      </c>
      <c r="S411" s="26" t="n">
        <v>211.9858523887792</v>
      </c>
      <c r="T411" s="27" t="n">
        <v>0.06764372139746744</v>
      </c>
      <c r="U411" s="26" t="n">
        <v>231.3674185852645</v>
      </c>
      <c r="V411" s="27" t="n">
        <v>0.05094999596426845</v>
      </c>
      <c r="W411" s="26" t="n">
        <v>235.5900101071036</v>
      </c>
      <c r="X411" s="27" t="n">
        <v>0.04219913466203747</v>
      </c>
      <c r="Y411" s="26" t="n">
        <v>212.2038321444149</v>
      </c>
      <c r="Z411" s="27" t="n">
        <v>0.03335512739912808</v>
      </c>
      <c r="AA411" s="26" t="n">
        <v>226.0421323546123</v>
      </c>
      <c r="AB411" s="27" t="n">
        <v>0.0577507027906652</v>
      </c>
    </row>
    <row r="412">
      <c r="A412" s="26" t="n">
        <v>202.6350727373306</v>
      </c>
      <c r="B412" s="27" t="n">
        <v>0.0569275389705507</v>
      </c>
      <c r="C412" s="26" t="n">
        <v>207.5792889621612</v>
      </c>
      <c r="D412" s="27" t="n">
        <v>0.05451112625808909</v>
      </c>
      <c r="E412" s="26" t="n">
        <v>238.7542867544749</v>
      </c>
      <c r="F412" s="27" t="n">
        <v>0.04198646381129286</v>
      </c>
      <c r="G412" s="26" t="n">
        <v>259.699435707166</v>
      </c>
      <c r="H412" s="27" t="n">
        <v>0.03232086674578682</v>
      </c>
      <c r="I412" s="26" t="n">
        <v>264.5762629731761</v>
      </c>
      <c r="J412" s="27" t="n">
        <v>0.0320458103769077</v>
      </c>
      <c r="K412" s="26" t="n">
        <v>255.934668820938</v>
      </c>
      <c r="L412" s="27" t="n">
        <v>0.03422763217857568</v>
      </c>
      <c r="M412" s="26" t="n">
        <v>241.1222910645606</v>
      </c>
      <c r="N412" s="27" t="n">
        <v>0.04203054991704362</v>
      </c>
      <c r="O412" s="26" t="n">
        <v>196.7063246009239</v>
      </c>
      <c r="P412" s="27" t="n">
        <v>0.04402856563439022</v>
      </c>
      <c r="Q412" s="26" t="n">
        <v>225.8293306757092</v>
      </c>
      <c r="R412" s="27" t="n">
        <v>0.0575690385743037</v>
      </c>
      <c r="S412" s="26" t="n">
        <v>212.0922759968105</v>
      </c>
      <c r="T412" s="27" t="n">
        <v>0.06801300676989717</v>
      </c>
      <c r="U412" s="26" t="n">
        <v>231.4524638797168</v>
      </c>
      <c r="V412" s="27" t="n">
        <v>0.05122855776918857</v>
      </c>
      <c r="W412" s="26" t="n">
        <v>235.6681955991564</v>
      </c>
      <c r="X412" s="27" t="n">
        <v>0.04242171130681179</v>
      </c>
      <c r="Y412" s="26" t="n">
        <v>212.3092733110217</v>
      </c>
      <c r="Z412" s="27" t="n">
        <v>0.03350047260085779</v>
      </c>
      <c r="AA412" s="26" t="n">
        <v>226.1223200163189</v>
      </c>
      <c r="AB412" s="27" t="n">
        <v>0.05807201365422929</v>
      </c>
    </row>
    <row r="413">
      <c r="A413" s="26" t="n">
        <v>202.8008344005358</v>
      </c>
      <c r="B413" s="27" t="n">
        <v>0.05721125404356246</v>
      </c>
      <c r="C413" s="26" t="n">
        <v>207.719338475976</v>
      </c>
      <c r="D413" s="27" t="n">
        <v>0.05478943816053448</v>
      </c>
      <c r="E413" s="26" t="n">
        <v>238.8673444088317</v>
      </c>
      <c r="F413" s="27" t="n">
        <v>0.04220209466343537</v>
      </c>
      <c r="G413" s="26" t="n">
        <v>259.7861581377716</v>
      </c>
      <c r="H413" s="27" t="n">
        <v>0.03247996159348376</v>
      </c>
      <c r="I413" s="26" t="n">
        <v>264.6566474016761</v>
      </c>
      <c r="J413" s="27" t="n">
        <v>0.03220525219732736</v>
      </c>
      <c r="K413" s="26" t="n">
        <v>256.0109113152943</v>
      </c>
      <c r="L413" s="27" t="n">
        <v>0.03440060457306972</v>
      </c>
      <c r="M413" s="26" t="n">
        <v>241.2135967666464</v>
      </c>
      <c r="N413" s="27" t="n">
        <v>0.04225115919740544</v>
      </c>
      <c r="O413" s="26" t="n">
        <v>196.8307292950125</v>
      </c>
      <c r="P413" s="27" t="n">
        <v>0.04423520314489345</v>
      </c>
      <c r="Q413" s="26" t="n">
        <v>225.9234174513421</v>
      </c>
      <c r="R413" s="27" t="n">
        <v>0.05788517232340414</v>
      </c>
      <c r="S413" s="26" t="n">
        <v>212.1986996048419</v>
      </c>
      <c r="T413" s="27" t="n">
        <v>0.06838398048054432</v>
      </c>
      <c r="U413" s="26" t="n">
        <v>231.5375091741691</v>
      </c>
      <c r="V413" s="27" t="n">
        <v>0.05150851339346802</v>
      </c>
      <c r="W413" s="26" t="n">
        <v>235.7463810912092</v>
      </c>
      <c r="X413" s="27" t="n">
        <v>0.04264542275412677</v>
      </c>
      <c r="Y413" s="26" t="n">
        <v>212.4147144776286</v>
      </c>
      <c r="Z413" s="27" t="n">
        <v>0.03364645943738178</v>
      </c>
      <c r="AA413" s="26" t="n">
        <v>226.2025076780255</v>
      </c>
      <c r="AB413" s="27" t="n">
        <v>0.05839489521074191</v>
      </c>
    </row>
    <row r="414">
      <c r="A414" s="26" t="n">
        <v>202.9665960637412</v>
      </c>
      <c r="B414" s="27" t="n">
        <v>0.05749628573330085</v>
      </c>
      <c r="C414" s="26" t="n">
        <v>207.8593879897907</v>
      </c>
      <c r="D414" s="27" t="n">
        <v>0.05506907718070161</v>
      </c>
      <c r="E414" s="26" t="n">
        <v>238.9804020631884</v>
      </c>
      <c r="F414" s="27" t="n">
        <v>0.04241879758126935</v>
      </c>
      <c r="G414" s="26" t="n">
        <v>259.8728805683771</v>
      </c>
      <c r="H414" s="27" t="n">
        <v>0.03263983870046275</v>
      </c>
      <c r="I414" s="26" t="n">
        <v>264.737031830176</v>
      </c>
      <c r="J414" s="27" t="n">
        <v>0.03236548496423277</v>
      </c>
      <c r="K414" s="26" t="n">
        <v>256.0871538096507</v>
      </c>
      <c r="L414" s="27" t="n">
        <v>0.03457444472761551</v>
      </c>
      <c r="M414" s="26" t="n">
        <v>241.3049024687322</v>
      </c>
      <c r="N414" s="27" t="n">
        <v>0.04247288396609669</v>
      </c>
      <c r="O414" s="26" t="n">
        <v>196.9551339891011</v>
      </c>
      <c r="P414" s="27" t="n">
        <v>0.04444281788854178</v>
      </c>
      <c r="Q414" s="26" t="n">
        <v>226.0175042269751</v>
      </c>
      <c r="R414" s="27" t="n">
        <v>0.05820283471969074</v>
      </c>
      <c r="S414" s="26" t="n">
        <v>212.3051232128733</v>
      </c>
      <c r="T414" s="27" t="n">
        <v>0.06875664687337379</v>
      </c>
      <c r="U414" s="26" t="n">
        <v>231.6225544686214</v>
      </c>
      <c r="V414" s="27" t="n">
        <v>0.05178986829878501</v>
      </c>
      <c r="W414" s="26" t="n">
        <v>235.824566583262</v>
      </c>
      <c r="X414" s="27" t="n">
        <v>0.04287027423901796</v>
      </c>
      <c r="Y414" s="26" t="n">
        <v>212.5201556442356</v>
      </c>
      <c r="Z414" s="27" t="n">
        <v>0.03379309076856335</v>
      </c>
      <c r="AA414" s="26" t="n">
        <v>226.2826953397321</v>
      </c>
      <c r="AB414" s="27" t="n">
        <v>0.05871935277555385</v>
      </c>
    </row>
    <row r="415">
      <c r="A415" s="26" t="n">
        <v>203.1323577269465</v>
      </c>
      <c r="B415" s="27" t="n">
        <v>0.0577826387897032</v>
      </c>
      <c r="C415" s="26" t="n">
        <v>207.9994375036055</v>
      </c>
      <c r="D415" s="27" t="n">
        <v>0.05535004839502972</v>
      </c>
      <c r="E415" s="26" t="n">
        <v>239.0934597175452</v>
      </c>
      <c r="F415" s="27" t="n">
        <v>0.04263657735875576</v>
      </c>
      <c r="G415" s="26" t="n">
        <v>259.9596029989827</v>
      </c>
      <c r="H415" s="27" t="n">
        <v>0.03280050185377667</v>
      </c>
      <c r="I415" s="26" t="n">
        <v>264.817416258676</v>
      </c>
      <c r="J415" s="27" t="n">
        <v>0.03252651252728764</v>
      </c>
      <c r="K415" s="26" t="n">
        <v>256.1633963040071</v>
      </c>
      <c r="L415" s="27" t="n">
        <v>0.03474915686353604</v>
      </c>
      <c r="M415" s="26" t="n">
        <v>241.3962081708181</v>
      </c>
      <c r="N415" s="27" t="n">
        <v>0.04269572926857303</v>
      </c>
      <c r="O415" s="26" t="n">
        <v>197.0795386831896</v>
      </c>
      <c r="P415" s="27" t="n">
        <v>0.04465141438890111</v>
      </c>
      <c r="Q415" s="26" t="n">
        <v>226.111591002608</v>
      </c>
      <c r="R415" s="27" t="n">
        <v>0.05852203088023598</v>
      </c>
      <c r="S415" s="26" t="n">
        <v>212.4115468209046</v>
      </c>
      <c r="T415" s="27" t="n">
        <v>0.06913101026651534</v>
      </c>
      <c r="U415" s="26" t="n">
        <v>231.7075997630737</v>
      </c>
      <c r="V415" s="27" t="n">
        <v>0.05207262795007157</v>
      </c>
      <c r="W415" s="26" t="n">
        <v>235.9027520753148</v>
      </c>
      <c r="X415" s="27" t="n">
        <v>0.04309627101314385</v>
      </c>
      <c r="Y415" s="26" t="n">
        <v>212.6255968108425</v>
      </c>
      <c r="Z415" s="27" t="n">
        <v>0.03394036946710783</v>
      </c>
      <c r="AA415" s="26" t="n">
        <v>226.3628830014387</v>
      </c>
      <c r="AB415" s="27" t="n">
        <v>0.0590453916550832</v>
      </c>
    </row>
    <row r="416">
      <c r="A416" s="26" t="n">
        <v>203.2981193901518</v>
      </c>
      <c r="B416" s="27" t="n">
        <v>0.05807031796298651</v>
      </c>
      <c r="C416" s="26" t="n">
        <v>208.1394870174203</v>
      </c>
      <c r="D416" s="27" t="n">
        <v>0.0556323568837394</v>
      </c>
      <c r="E416" s="26" t="n">
        <v>239.2065173719019</v>
      </c>
      <c r="F416" s="27" t="n">
        <v>0.04285543880388674</v>
      </c>
      <c r="G416" s="26" t="n">
        <v>260.0463254295883</v>
      </c>
      <c r="H416" s="27" t="n">
        <v>0.03296195485763342</v>
      </c>
      <c r="I416" s="26" t="n">
        <v>264.8978006871758</v>
      </c>
      <c r="J416" s="27" t="n">
        <v>0.032688338753523</v>
      </c>
      <c r="K416" s="26" t="n">
        <v>256.2396387983634</v>
      </c>
      <c r="L416" s="27" t="n">
        <v>0.0349247452204855</v>
      </c>
      <c r="M416" s="26" t="n">
        <v>241.4875138729039</v>
      </c>
      <c r="N416" s="27" t="n">
        <v>0.04291970016506541</v>
      </c>
      <c r="O416" s="26" t="n">
        <v>197.2039433772782</v>
      </c>
      <c r="P416" s="27" t="n">
        <v>0.04486099718826692</v>
      </c>
      <c r="Q416" s="26" t="n">
        <v>226.205677778241</v>
      </c>
      <c r="R416" s="27" t="n">
        <v>0.05884276591321494</v>
      </c>
      <c r="S416" s="26" t="n">
        <v>212.517970428936</v>
      </c>
      <c r="T416" s="27" t="n">
        <v>0.06950707495175866</v>
      </c>
      <c r="U416" s="26" t="n">
        <v>231.7926450575261</v>
      </c>
      <c r="V416" s="27" t="n">
        <v>0.05235679781525552</v>
      </c>
      <c r="W416" s="26" t="n">
        <v>235.9809375673676</v>
      </c>
      <c r="X416" s="27" t="n">
        <v>0.04332341834472851</v>
      </c>
      <c r="Y416" s="26" t="n">
        <v>212.7310379774494</v>
      </c>
      <c r="Z416" s="27" t="n">
        <v>0.03408829841862064</v>
      </c>
      <c r="AA416" s="26" t="n">
        <v>226.4430706631453</v>
      </c>
      <c r="AB416" s="27" t="n">
        <v>0.05937301714642269</v>
      </c>
    </row>
    <row r="417">
      <c r="A417" s="26" t="n">
        <v>203.4638810533571</v>
      </c>
      <c r="B417" s="27" t="n">
        <v>0.05835932800339803</v>
      </c>
      <c r="C417" s="26" t="n">
        <v>208.2795365312351</v>
      </c>
      <c r="D417" s="27" t="n">
        <v>0.055916007730608</v>
      </c>
      <c r="E417" s="26" t="n">
        <v>239.3195750262586</v>
      </c>
      <c r="F417" s="27" t="n">
        <v>0.04307538673861894</v>
      </c>
      <c r="G417" s="26" t="n">
        <v>260.1330478601939</v>
      </c>
      <c r="H417" s="27" t="n">
        <v>0.03312420153345327</v>
      </c>
      <c r="I417" s="26" t="n">
        <v>264.9781851156758</v>
      </c>
      <c r="J417" s="27" t="n">
        <v>0.03285096752739207</v>
      </c>
      <c r="K417" s="26" t="n">
        <v>256.3158812927197</v>
      </c>
      <c r="L417" s="27" t="n">
        <v>0.03510121405649426</v>
      </c>
      <c r="M417" s="26" t="n">
        <v>241.5788195749897</v>
      </c>
      <c r="N417" s="27" t="n">
        <v>0.04314480173050719</v>
      </c>
      <c r="O417" s="26" t="n">
        <v>197.3283480713667</v>
      </c>
      <c r="P417" s="27" t="n">
        <v>0.04507157084770412</v>
      </c>
      <c r="Q417" s="26" t="n">
        <v>226.2997645538739</v>
      </c>
      <c r="R417" s="27" t="n">
        <v>0.05916504491752536</v>
      </c>
      <c r="S417" s="26" t="n">
        <v>212.6243940369674</v>
      </c>
      <c r="T417" s="27" t="n">
        <v>0.06988484519404461</v>
      </c>
      <c r="U417" s="26" t="n">
        <v>231.8776903519783</v>
      </c>
      <c r="V417" s="27" t="n">
        <v>0.0526423833649979</v>
      </c>
      <c r="W417" s="26" t="n">
        <v>236.0591230594204</v>
      </c>
      <c r="X417" s="27" t="n">
        <v>0.04355172151850312</v>
      </c>
      <c r="Y417" s="26" t="n">
        <v>212.8364791440563</v>
      </c>
      <c r="Z417" s="27" t="n">
        <v>0.03423688052166536</v>
      </c>
      <c r="AA417" s="26" t="n">
        <v>226.5232583248519</v>
      </c>
      <c r="AB417" s="27" t="n">
        <v>0.05970223453694299</v>
      </c>
    </row>
    <row r="418">
      <c r="A418" s="26" t="n">
        <v>203.6296427165624</v>
      </c>
      <c r="B418" s="27" t="n">
        <v>0.05864967366096369</v>
      </c>
      <c r="C418" s="26" t="n">
        <v>208.4195860450499</v>
      </c>
      <c r="D418" s="27" t="n">
        <v>0.05620100602274211</v>
      </c>
      <c r="E418" s="26" t="n">
        <v>239.4326326806153</v>
      </c>
      <c r="F418" s="27" t="n">
        <v>0.04329642599880421</v>
      </c>
      <c r="G418" s="26" t="n">
        <v>260.2197702907994</v>
      </c>
      <c r="H418" s="27" t="n">
        <v>0.03328724571992535</v>
      </c>
      <c r="I418" s="26" t="n">
        <v>265.0585695441757</v>
      </c>
      <c r="J418" s="27" t="n">
        <v>0.03301440275082477</v>
      </c>
      <c r="K418" s="26" t="n">
        <v>256.3921237870761</v>
      </c>
      <c r="L418" s="27" t="n">
        <v>0.03527856764801129</v>
      </c>
      <c r="M418" s="26" t="n">
        <v>241.6701252770756</v>
      </c>
      <c r="N418" s="27" t="n">
        <v>0.04337103905445841</v>
      </c>
      <c r="O418" s="26" t="n">
        <v>197.4527527654552</v>
      </c>
      <c r="P418" s="27" t="n">
        <v>0.04528313994708624</v>
      </c>
      <c r="Q418" s="26" t="n">
        <v>226.3938513295068</v>
      </c>
      <c r="R418" s="27" t="n">
        <v>0.05948887298240187</v>
      </c>
      <c r="S418" s="26" t="n">
        <v>212.7308176449988</v>
      </c>
      <c r="T418" s="27" t="n">
        <v>0.07026432523095323</v>
      </c>
      <c r="U418" s="26" t="n">
        <v>231.9627356464306</v>
      </c>
      <c r="V418" s="27" t="n">
        <v>0.05292939007242743</v>
      </c>
      <c r="W418" s="26" t="n">
        <v>236.1373085514732</v>
      </c>
      <c r="X418" s="27" t="n">
        <v>0.04378118583564534</v>
      </c>
      <c r="Y418" s="26" t="n">
        <v>212.9419203106632</v>
      </c>
      <c r="Z418" s="27" t="n">
        <v>0.03438611868782236</v>
      </c>
      <c r="AA418" s="26" t="n">
        <v>226.6034459865585</v>
      </c>
      <c r="AB418" s="27" t="n">
        <v>0.06003304910389138</v>
      </c>
    </row>
    <row r="419">
      <c r="A419" s="26" t="n">
        <v>203.7954043797677</v>
      </c>
      <c r="B419" s="27" t="n">
        <v>0.05894135968523166</v>
      </c>
      <c r="C419" s="26" t="n">
        <v>208.5596355588647</v>
      </c>
      <c r="D419" s="27" t="n">
        <v>0.05648735685034641</v>
      </c>
      <c r="E419" s="26" t="n">
        <v>239.5456903349721</v>
      </c>
      <c r="F419" s="27" t="n">
        <v>0.04351856143411868</v>
      </c>
      <c r="G419" s="26" t="n">
        <v>260.306492721405</v>
      </c>
      <c r="H419" s="27" t="n">
        <v>0.03345109127306384</v>
      </c>
      <c r="I419" s="26" t="n">
        <v>265.1389539726757</v>
      </c>
      <c r="J419" s="27" t="n">
        <v>0.03317864834328205</v>
      </c>
      <c r="K419" s="26" t="n">
        <v>256.4683662814325</v>
      </c>
      <c r="L419" s="27" t="n">
        <v>0.03545681028994655</v>
      </c>
      <c r="M419" s="26" t="n">
        <v>241.7614309791614</v>
      </c>
      <c r="N419" s="27" t="n">
        <v>0.04359841724102827</v>
      </c>
      <c r="O419" s="26" t="n">
        <v>197.5771574595438</v>
      </c>
      <c r="P419" s="27" t="n">
        <v>0.04549570908513351</v>
      </c>
      <c r="Q419" s="26" t="n">
        <v>226.4879381051398</v>
      </c>
      <c r="R419" s="27" t="n">
        <v>0.05981425518702791</v>
      </c>
      <c r="S419" s="26" t="n">
        <v>212.8372412530301</v>
      </c>
      <c r="T419" s="27" t="n">
        <v>0.07064551927218693</v>
      </c>
      <c r="U419" s="26" t="n">
        <v>232.0477809408829</v>
      </c>
      <c r="V419" s="27" t="n">
        <v>0.0532178234128709</v>
      </c>
      <c r="W419" s="26" t="n">
        <v>236.215494043526</v>
      </c>
      <c r="X419" s="27" t="n">
        <v>0.04401181661371587</v>
      </c>
      <c r="Y419" s="26" t="n">
        <v>213.0473614772702</v>
      </c>
      <c r="Z419" s="27" t="n">
        <v>0.03453601584174735</v>
      </c>
      <c r="AA419" s="26" t="n">
        <v>226.6836336482651</v>
      </c>
      <c r="AB419" s="27" t="n">
        <v>0.0603654661139872</v>
      </c>
    </row>
    <row r="420">
      <c r="A420" s="26" t="n">
        <v>203.961166042973</v>
      </c>
      <c r="B420" s="27" t="n">
        <v>0.05923439082501335</v>
      </c>
      <c r="C420" s="26" t="n">
        <v>208.6996850726794</v>
      </c>
      <c r="D420" s="27" t="n">
        <v>0.05677506530648906</v>
      </c>
      <c r="E420" s="26" t="n">
        <v>239.6587479893288</v>
      </c>
      <c r="F420" s="27" t="n">
        <v>0.04374179790799014</v>
      </c>
      <c r="G420" s="26" t="n">
        <v>260.3932151520106</v>
      </c>
      <c r="H420" s="27" t="n">
        <v>0.03361574206626484</v>
      </c>
      <c r="I420" s="26" t="n">
        <v>265.2193384011756</v>
      </c>
      <c r="J420" s="27" t="n">
        <v>0.03334370824180966</v>
      </c>
      <c r="K420" s="26" t="n">
        <v>256.5446087757888</v>
      </c>
      <c r="L420" s="27" t="n">
        <v>0.03563594629571363</v>
      </c>
      <c r="M420" s="26" t="n">
        <v>241.8527366812472</v>
      </c>
      <c r="N420" s="27" t="n">
        <v>0.04382694140879553</v>
      </c>
      <c r="O420" s="26" t="n">
        <v>197.7015621536323</v>
      </c>
      <c r="P420" s="27" t="n">
        <v>0.04570928287945077</v>
      </c>
      <c r="Q420" s="26" t="n">
        <v>226.5820248807728</v>
      </c>
      <c r="R420" s="27" t="n">
        <v>0.06014119660014228</v>
      </c>
      <c r="S420" s="26" t="n">
        <v>212.9436648610615</v>
      </c>
      <c r="T420" s="27" t="n">
        <v>0.07102843149905053</v>
      </c>
      <c r="U420" s="26" t="n">
        <v>232.1328262353353</v>
      </c>
      <c r="V420" s="27" t="n">
        <v>0.0535076888635792</v>
      </c>
      <c r="W420" s="26" t="n">
        <v>236.2936795355788</v>
      </c>
      <c r="X420" s="27" t="n">
        <v>0.04424361918659426</v>
      </c>
      <c r="Y420" s="26" t="n">
        <v>213.1528026438771</v>
      </c>
      <c r="Z420" s="27" t="n">
        <v>0.03468657492123076</v>
      </c>
      <c r="AA420" s="26" t="n">
        <v>226.7638213099717</v>
      </c>
      <c r="AB420" s="27" t="n">
        <v>0.06069949082301233</v>
      </c>
    </row>
    <row r="421">
      <c r="A421" s="26" t="n">
        <v>204.1269277061783</v>
      </c>
      <c r="B421" s="27" t="n">
        <v>0.05952877182812041</v>
      </c>
      <c r="C421" s="26" t="n">
        <v>208.8397345864942</v>
      </c>
      <c r="D421" s="27" t="n">
        <v>0.05706413648686347</v>
      </c>
      <c r="E421" s="26" t="n">
        <v>239.7718056436855</v>
      </c>
      <c r="F421" s="27" t="n">
        <v>0.04396614029752215</v>
      </c>
      <c r="G421" s="26" t="n">
        <v>260.4799375826161</v>
      </c>
      <c r="H421" s="27" t="n">
        <v>0.03378120199036207</v>
      </c>
      <c r="I421" s="26" t="n">
        <v>265.2997228296756</v>
      </c>
      <c r="J421" s="27" t="n">
        <v>0.03350958640109202</v>
      </c>
      <c r="K421" s="26" t="n">
        <v>256.6208512701452</v>
      </c>
      <c r="L421" s="27" t="n">
        <v>0.03581597999727101</v>
      </c>
      <c r="M421" s="26" t="n">
        <v>241.9440423833331</v>
      </c>
      <c r="N421" s="27" t="n">
        <v>0.04405661669072592</v>
      </c>
      <c r="O421" s="26" t="n">
        <v>197.8259668477209</v>
      </c>
      <c r="P421" s="27" t="n">
        <v>0.04592386596656473</v>
      </c>
      <c r="Q421" s="26" t="n">
        <v>226.6761116564057</v>
      </c>
      <c r="R421" s="27" t="n">
        <v>0.06046970227964166</v>
      </c>
      <c r="S421" s="26" t="n">
        <v>213.0500884690929</v>
      </c>
      <c r="T421" s="27" t="n">
        <v>0.07141306606392701</v>
      </c>
      <c r="U421" s="26" t="n">
        <v>232.2178715297876</v>
      </c>
      <c r="V421" s="27" t="n">
        <v>0.05379899190345028</v>
      </c>
      <c r="W421" s="26" t="n">
        <v>236.3718650276316</v>
      </c>
      <c r="X421" s="27" t="n">
        <v>0.04447659890441107</v>
      </c>
      <c r="Y421" s="26" t="n">
        <v>213.2582438104839</v>
      </c>
      <c r="Z421" s="27" t="n">
        <v>0.03483779887725642</v>
      </c>
      <c r="AA421" s="26" t="n">
        <v>226.8440089716783</v>
      </c>
      <c r="AB421" s="27" t="n">
        <v>0.06103512847539631</v>
      </c>
    </row>
    <row r="422">
      <c r="A422" s="26" t="n">
        <v>204.2926893693837</v>
      </c>
      <c r="B422" s="27" t="n">
        <v>0.05982450744109868</v>
      </c>
      <c r="C422" s="26" t="n">
        <v>208.979784100309</v>
      </c>
      <c r="D422" s="27" t="n">
        <v>0.05735457548954687</v>
      </c>
      <c r="E422" s="26" t="n">
        <v>239.8848632980423</v>
      </c>
      <c r="F422" s="27" t="n">
        <v>0.04419159349341722</v>
      </c>
      <c r="G422" s="26" t="n">
        <v>260.5666600132217</v>
      </c>
      <c r="H422" s="27" t="n">
        <v>0.03394747495368281</v>
      </c>
      <c r="I422" s="26" t="n">
        <v>265.3801072581755</v>
      </c>
      <c r="J422" s="27" t="n">
        <v>0.03367628679350555</v>
      </c>
      <c r="K422" s="26" t="n">
        <v>256.6970937645015</v>
      </c>
      <c r="L422" s="27" t="n">
        <v>0.03599691574516276</v>
      </c>
      <c r="M422" s="26" t="n">
        <v>242.0353480854189</v>
      </c>
      <c r="N422" s="27" t="n">
        <v>0.04428744823408828</v>
      </c>
      <c r="O422" s="26" t="n">
        <v>197.9503715418094</v>
      </c>
      <c r="P422" s="27" t="n">
        <v>0.04613946300196033</v>
      </c>
      <c r="Q422" s="26" t="n">
        <v>226.7701984320387</v>
      </c>
      <c r="R422" s="27" t="n">
        <v>0.06079977727217896</v>
      </c>
      <c r="S422" s="26" t="n">
        <v>213.1565120771243</v>
      </c>
      <c r="T422" s="27" t="n">
        <v>0.07179942708974954</v>
      </c>
      <c r="U422" s="26" t="n">
        <v>232.3029168242398</v>
      </c>
      <c r="V422" s="27" t="n">
        <v>0.05409173801274754</v>
      </c>
      <c r="W422" s="26" t="n">
        <v>236.4500505196844</v>
      </c>
      <c r="X422" s="27" t="n">
        <v>0.0447107611334785</v>
      </c>
      <c r="Y422" s="26" t="n">
        <v>213.3636849770909</v>
      </c>
      <c r="Z422" s="27" t="n">
        <v>0.0349896906740618</v>
      </c>
      <c r="AA422" s="26" t="n">
        <v>226.9241966333849</v>
      </c>
      <c r="AB422" s="27" t="n">
        <v>0.06137238430379932</v>
      </c>
    </row>
    <row r="423">
      <c r="A423" s="26" t="n">
        <v>204.458451032589</v>
      </c>
      <c r="B423" s="27" t="n">
        <v>0.06012160240895782</v>
      </c>
      <c r="C423" s="26" t="n">
        <v>209.1198336141238</v>
      </c>
      <c r="D423" s="27" t="n">
        <v>0.05764638741475499</v>
      </c>
      <c r="E423" s="26" t="n">
        <v>239.9979209523989</v>
      </c>
      <c r="F423" s="27" t="n">
        <v>0.04441816239989702</v>
      </c>
      <c r="G423" s="26" t="n">
        <v>260.6533824438273</v>
      </c>
      <c r="H423" s="27" t="n">
        <v>0.0341145648821035</v>
      </c>
      <c r="I423" s="26" t="n">
        <v>265.4604916866755</v>
      </c>
      <c r="J423" s="27" t="n">
        <v>0.0338438134091716</v>
      </c>
      <c r="K423" s="26" t="n">
        <v>256.7733362588579</v>
      </c>
      <c r="L423" s="27" t="n">
        <v>0.03617875790855855</v>
      </c>
      <c r="M423" s="26" t="n">
        <v>242.1266537875048</v>
      </c>
      <c r="N423" s="27" t="n">
        <v>0.04451944120036758</v>
      </c>
      <c r="O423" s="26" t="n">
        <v>198.074776235898</v>
      </c>
      <c r="P423" s="27" t="n">
        <v>0.0463560786601162</v>
      </c>
      <c r="Q423" s="26" t="n">
        <v>226.8642852076716</v>
      </c>
      <c r="R423" s="27" t="n">
        <v>0.0611314266127578</v>
      </c>
      <c r="S423" s="26" t="n">
        <v>213.2629356851556</v>
      </c>
      <c r="T423" s="27" t="n">
        <v>0.07218751866946985</v>
      </c>
      <c r="U423" s="26" t="n">
        <v>232.3879621186921</v>
      </c>
      <c r="V423" s="27" t="n">
        <v>0.05438593267281484</v>
      </c>
      <c r="W423" s="26" t="n">
        <v>236.5282360117372</v>
      </c>
      <c r="X423" s="27" t="n">
        <v>0.04494611125621908</v>
      </c>
      <c r="Y423" s="26" t="n">
        <v>213.4691261436977</v>
      </c>
      <c r="Z423" s="27" t="n">
        <v>0.03514225328919721</v>
      </c>
      <c r="AA423" s="26" t="n">
        <v>227.0043842950915</v>
      </c>
      <c r="AB423" s="27" t="n">
        <v>0.06171126352868885</v>
      </c>
    </row>
    <row r="424">
      <c r="A424" s="26" t="n">
        <v>204.6242126957943</v>
      </c>
      <c r="B424" s="27" t="n">
        <v>0.06042006147489827</v>
      </c>
      <c r="C424" s="26" t="n">
        <v>209.2598831279385</v>
      </c>
      <c r="D424" s="27" t="n">
        <v>0.0579395773645935</v>
      </c>
      <c r="E424" s="26" t="n">
        <v>240.1109786067557</v>
      </c>
      <c r="F424" s="27" t="n">
        <v>0.04464585193462114</v>
      </c>
      <c r="G424" s="26" t="n">
        <v>260.7401048744329</v>
      </c>
      <c r="H424" s="27" t="n">
        <v>0.03428247571910498</v>
      </c>
      <c r="I424" s="26" t="n">
        <v>265.5408761151754</v>
      </c>
      <c r="J424" s="27" t="n">
        <v>0.03401217025600946</v>
      </c>
      <c r="K424" s="26" t="n">
        <v>256.8495787532142</v>
      </c>
      <c r="L424" s="27" t="n">
        <v>0.03636151087529404</v>
      </c>
      <c r="M424" s="26" t="n">
        <v>242.2179594895906</v>
      </c>
      <c r="N424" s="27" t="n">
        <v>0.04475260076517605</v>
      </c>
      <c r="O424" s="26" t="n">
        <v>198.1991809299865</v>
      </c>
      <c r="P424" s="27" t="n">
        <v>0.04657371763454053</v>
      </c>
      <c r="Q424" s="26" t="n">
        <v>226.9583719833046</v>
      </c>
      <c r="R424" s="27" t="n">
        <v>0.06146465532432217</v>
      </c>
      <c r="S424" s="26" t="n">
        <v>213.369359293187</v>
      </c>
      <c r="T424" s="27" t="n">
        <v>0.07257734486552206</v>
      </c>
      <c r="U424" s="26" t="n">
        <v>232.4730074131445</v>
      </c>
      <c r="V424" s="27" t="n">
        <v>0.05468158136578712</v>
      </c>
      <c r="W424" s="26" t="n">
        <v>236.60642150379</v>
      </c>
      <c r="X424" s="27" t="n">
        <v>0.04518265467109173</v>
      </c>
      <c r="Y424" s="26" t="n">
        <v>213.5745673103046</v>
      </c>
      <c r="Z424" s="27" t="n">
        <v>0.03529548971358623</v>
      </c>
      <c r="AA424" s="26" t="n">
        <v>227.0845719567981</v>
      </c>
      <c r="AB424" s="27" t="n">
        <v>0.06205177135791302</v>
      </c>
    </row>
    <row r="425">
      <c r="A425" s="26" t="n">
        <v>204.7899743589996</v>
      </c>
      <c r="B425" s="27" t="n">
        <v>0.0607198893800335</v>
      </c>
      <c r="C425" s="26" t="n">
        <v>209.3999326417533</v>
      </c>
      <c r="D425" s="27" t="n">
        <v>0.05823415044280527</v>
      </c>
      <c r="E425" s="26" t="n">
        <v>240.2240362611124</v>
      </c>
      <c r="F425" s="27" t="n">
        <v>0.04487466702860262</v>
      </c>
      <c r="G425" s="26" t="n">
        <v>260.8268273050385</v>
      </c>
      <c r="H425" s="27" t="n">
        <v>0.03445121142582772</v>
      </c>
      <c r="I425" s="26" t="n">
        <v>265.6212605436754</v>
      </c>
      <c r="J425" s="27" t="n">
        <v>0.03418136135978862</v>
      </c>
      <c r="K425" s="26" t="n">
        <v>256.9258212475705</v>
      </c>
      <c r="L425" s="27" t="n">
        <v>0.03654517905190908</v>
      </c>
      <c r="M425" s="26" t="n">
        <v>242.3092651916764</v>
      </c>
      <c r="N425" s="27" t="n">
        <v>0.04498693211816172</v>
      </c>
      <c r="O425" s="26" t="n">
        <v>198.3235856240751</v>
      </c>
      <c r="P425" s="27" t="n">
        <v>0.04679238463780448</v>
      </c>
      <c r="Q425" s="26" t="n">
        <v>227.0524587589375</v>
      </c>
      <c r="R425" s="27" t="n">
        <v>0.06179946841734211</v>
      </c>
      <c r="S425" s="26" t="n">
        <v>213.4757829012184</v>
      </c>
      <c r="T425" s="27" t="n">
        <v>0.07296890970928382</v>
      </c>
      <c r="U425" s="26" t="n">
        <v>232.5580527075968</v>
      </c>
      <c r="V425" s="27" t="n">
        <v>0.05497868957429697</v>
      </c>
      <c r="W425" s="26" t="n">
        <v>236.6846069958428</v>
      </c>
      <c r="X425" s="27" t="n">
        <v>0.04542039679251499</v>
      </c>
      <c r="Y425" s="26" t="n">
        <v>213.6800084769116</v>
      </c>
      <c r="Z425" s="27" t="n">
        <v>0.03544940295158587</v>
      </c>
      <c r="AA425" s="26" t="n">
        <v>227.1647596185047</v>
      </c>
      <c r="AB425" s="27" t="n">
        <v>0.06239391298626846</v>
      </c>
    </row>
    <row r="426">
      <c r="A426" s="26" t="n">
        <v>204.9557360222049</v>
      </c>
      <c r="B426" s="27" t="n">
        <v>0.06102109086310951</v>
      </c>
      <c r="C426" s="26" t="n">
        <v>209.5399821555681</v>
      </c>
      <c r="D426" s="27" t="n">
        <v>0.05853011175451456</v>
      </c>
      <c r="E426" s="26" t="n">
        <v>240.3370939154692</v>
      </c>
      <c r="F426" s="27" t="n">
        <v>0.04510461262612247</v>
      </c>
      <c r="G426" s="26" t="n">
        <v>260.913549735644</v>
      </c>
      <c r="H426" s="27" t="n">
        <v>0.03462077598112678</v>
      </c>
      <c r="I426" s="26" t="n">
        <v>265.7016449721752</v>
      </c>
      <c r="J426" s="27" t="n">
        <v>0.03435139076418089</v>
      </c>
      <c r="K426" s="26" t="n">
        <v>257.0020637419269</v>
      </c>
      <c r="L426" s="27" t="n">
        <v>0.03672976686368665</v>
      </c>
      <c r="M426" s="26" t="n">
        <v>242.4005708937623</v>
      </c>
      <c r="N426" s="27" t="n">
        <v>0.04522244046291442</v>
      </c>
      <c r="O426" s="26" t="n">
        <v>198.4479903181636</v>
      </c>
      <c r="P426" s="27" t="n">
        <v>0.04701208440157643</v>
      </c>
      <c r="Q426" s="26" t="n">
        <v>227.1465455345705</v>
      </c>
      <c r="R426" s="27" t="n">
        <v>0.06213587088939489</v>
      </c>
      <c r="S426" s="26" t="n">
        <v>213.5822065092498</v>
      </c>
      <c r="T426" s="27" t="n">
        <v>0.07336221720053228</v>
      </c>
      <c r="U426" s="26" t="n">
        <v>232.6430980020491</v>
      </c>
      <c r="V426" s="27" t="n">
        <v>0.05527726278117768</v>
      </c>
      <c r="W426" s="26" t="n">
        <v>236.7627924878956</v>
      </c>
      <c r="X426" s="27" t="n">
        <v>0.04565934305078941</v>
      </c>
      <c r="Y426" s="26" t="n">
        <v>213.7854496435185</v>
      </c>
      <c r="Z426" s="27" t="n">
        <v>0.03560399602104732</v>
      </c>
      <c r="AA426" s="26" t="n">
        <v>227.2449472802112</v>
      </c>
      <c r="AB426" s="27" t="n">
        <v>0.06273769359506549</v>
      </c>
    </row>
    <row r="427">
      <c r="A427" s="26" t="n">
        <v>205.1214976854102</v>
      </c>
      <c r="B427" s="27" t="n">
        <v>0.06132367066022042</v>
      </c>
      <c r="C427" s="26" t="n">
        <v>209.6800316693829</v>
      </c>
      <c r="D427" s="27" t="n">
        <v>0.058827466405967</v>
      </c>
      <c r="E427" s="26" t="n">
        <v>240.4501515698259</v>
      </c>
      <c r="F427" s="27" t="n">
        <v>0.0453356936846406</v>
      </c>
      <c r="G427" s="26" t="n">
        <v>261.0002721662496</v>
      </c>
      <c r="H427" s="27" t="n">
        <v>0.03479117338162611</v>
      </c>
      <c r="I427" s="26" t="n">
        <v>265.7820294006752</v>
      </c>
      <c r="J427" s="27" t="n">
        <v>0.03452226253081217</v>
      </c>
      <c r="K427" s="26" t="n">
        <v>257.0783062362833</v>
      </c>
      <c r="L427" s="27" t="n">
        <v>0.03691527875468966</v>
      </c>
      <c r="M427" s="26" t="n">
        <v>242.4918765958481</v>
      </c>
      <c r="N427" s="27" t="n">
        <v>0.04545913101686949</v>
      </c>
      <c r="O427" s="26" t="n">
        <v>198.5723950122521</v>
      </c>
      <c r="P427" s="27" t="n">
        <v>0.04723282167665458</v>
      </c>
      <c r="Q427" s="26" t="n">
        <v>227.2406323102034</v>
      </c>
      <c r="R427" s="27" t="n">
        <v>0.06247386772474221</v>
      </c>
      <c r="S427" s="26" t="n">
        <v>213.6886301172811</v>
      </c>
      <c r="T427" s="27" t="n">
        <v>0.07375727130689705</v>
      </c>
      <c r="U427" s="26" t="n">
        <v>232.7281432965014</v>
      </c>
      <c r="V427" s="27" t="n">
        <v>0.05557730646916179</v>
      </c>
      <c r="W427" s="26" t="n">
        <v>236.8409779799484</v>
      </c>
      <c r="X427" s="27" t="n">
        <v>0.04589949889201548</v>
      </c>
      <c r="Y427" s="26" t="n">
        <v>213.8908908101254</v>
      </c>
      <c r="Z427" s="27" t="n">
        <v>0.03575927195337682</v>
      </c>
      <c r="AA427" s="26" t="n">
        <v>227.3251349419178</v>
      </c>
      <c r="AB427" s="27" t="n">
        <v>0.06308311835168702</v>
      </c>
    </row>
    <row r="428">
      <c r="A428" s="26" t="n">
        <v>205.2872593486155</v>
      </c>
      <c r="B428" s="27" t="n">
        <v>0.06162763350451941</v>
      </c>
      <c r="C428" s="26" t="n">
        <v>209.8200811831976</v>
      </c>
      <c r="D428" s="27" t="n">
        <v>0.05912621950426641</v>
      </c>
      <c r="E428" s="26" t="n">
        <v>240.5632092241826</v>
      </c>
      <c r="F428" s="27" t="n">
        <v>0.04556791517470562</v>
      </c>
      <c r="G428" s="26" t="n">
        <v>261.0869945968551</v>
      </c>
      <c r="H428" s="27" t="n">
        <v>0.03496240764177284</v>
      </c>
      <c r="I428" s="26" t="n">
        <v>265.8624138291751</v>
      </c>
      <c r="J428" s="27" t="n">
        <v>0.034693980739314</v>
      </c>
      <c r="K428" s="26" t="n">
        <v>257.1545487306396</v>
      </c>
      <c r="L428" s="27" t="n">
        <v>0.03710171918779901</v>
      </c>
      <c r="M428" s="26" t="n">
        <v>242.5831822979339</v>
      </c>
      <c r="N428" s="27" t="n">
        <v>0.04569700901120945</v>
      </c>
      <c r="O428" s="26" t="n">
        <v>198.6967997063407</v>
      </c>
      <c r="P428" s="27" t="n">
        <v>0.04745460123299933</v>
      </c>
      <c r="Q428" s="26" t="n">
        <v>227.3347190858364</v>
      </c>
      <c r="R428" s="27" t="n">
        <v>0.06281346389390279</v>
      </c>
      <c r="S428" s="26" t="n">
        <v>213.7950537253125</v>
      </c>
      <c r="T428" s="27" t="n">
        <v>0.07415407596330911</v>
      </c>
      <c r="U428" s="26" t="n">
        <v>232.8131885909537</v>
      </c>
      <c r="V428" s="27" t="n">
        <v>0.05587882612057562</v>
      </c>
      <c r="W428" s="26" t="n">
        <v>236.9191634720012</v>
      </c>
      <c r="X428" s="27" t="n">
        <v>0.04614086977801147</v>
      </c>
      <c r="Y428" s="26" t="n">
        <v>213.9963319767323</v>
      </c>
      <c r="Z428" s="27" t="n">
        <v>0.03591523379359664</v>
      </c>
      <c r="AA428" s="26" t="n">
        <v>227.4053226036245</v>
      </c>
      <c r="AB428" s="27" t="n">
        <v>0.06343019240914359</v>
      </c>
    </row>
    <row r="429">
      <c r="A429" s="26" t="n">
        <v>205.4530210118208</v>
      </c>
      <c r="B429" s="27" t="n">
        <v>0.06193298412592772</v>
      </c>
      <c r="C429" s="26" t="n">
        <v>209.9601306970124</v>
      </c>
      <c r="D429" s="27" t="n">
        <v>0.05942637615710754</v>
      </c>
      <c r="E429" s="26" t="n">
        <v>240.6762668785393</v>
      </c>
      <c r="F429" s="27" t="n">
        <v>0.04580128207986156</v>
      </c>
      <c r="G429" s="26" t="n">
        <v>261.1737170274607</v>
      </c>
      <c r="H429" s="27" t="n">
        <v>0.03513448279389148</v>
      </c>
      <c r="I429" s="26" t="n">
        <v>265.9427982576751</v>
      </c>
      <c r="J429" s="27" t="n">
        <v>0.0348665494873741</v>
      </c>
      <c r="K429" s="26" t="n">
        <v>257.230791224996</v>
      </c>
      <c r="L429" s="27" t="n">
        <v>0.0372890926447491</v>
      </c>
      <c r="M429" s="26" t="n">
        <v>242.6744880000198</v>
      </c>
      <c r="N429" s="27" t="n">
        <v>0.0459360796907622</v>
      </c>
      <c r="O429" s="26" t="n">
        <v>198.8212044004292</v>
      </c>
      <c r="P429" s="27" t="n">
        <v>0.04767742785976425</v>
      </c>
      <c r="Q429" s="26" t="n">
        <v>227.4288058614693</v>
      </c>
      <c r="R429" s="27" t="n">
        <v>0.06315466435322055</v>
      </c>
      <c r="S429" s="26" t="n">
        <v>213.9014773333439</v>
      </c>
      <c r="T429" s="27" t="n">
        <v>0.07455263507144581</v>
      </c>
      <c r="U429" s="26" t="n">
        <v>232.898233885406</v>
      </c>
      <c r="V429" s="27" t="n">
        <v>0.0561818272170294</v>
      </c>
      <c r="W429" s="26" t="n">
        <v>236.997348964054</v>
      </c>
      <c r="X429" s="27" t="n">
        <v>0.04638346118622706</v>
      </c>
      <c r="Y429" s="26" t="n">
        <v>214.1017731433392</v>
      </c>
      <c r="Z429" s="27" t="n">
        <v>0.03607188460040677</v>
      </c>
      <c r="AA429" s="26" t="n">
        <v>227.485510265331</v>
      </c>
      <c r="AB429" s="27" t="n">
        <v>0.06377892090562469</v>
      </c>
    </row>
    <row r="430">
      <c r="A430" s="26" t="n">
        <v>205.6187826750261</v>
      </c>
      <c r="B430" s="27" t="n">
        <v>0.06223972725083798</v>
      </c>
      <c r="C430" s="26" t="n">
        <v>210.1001802108272</v>
      </c>
      <c r="D430" s="27" t="n">
        <v>0.05972794147250467</v>
      </c>
      <c r="E430" s="26" t="n">
        <v>240.789324532896</v>
      </c>
      <c r="F430" s="27" t="n">
        <v>0.04603579939655236</v>
      </c>
      <c r="G430" s="26" t="n">
        <v>261.2604394580663</v>
      </c>
      <c r="H430" s="27" t="n">
        <v>0.03530740288823746</v>
      </c>
      <c r="I430" s="26" t="n">
        <v>266.023182686175</v>
      </c>
      <c r="J430" s="27" t="n">
        <v>0.0350399728907876</v>
      </c>
      <c r="K430" s="26" t="n">
        <v>257.3070337193524</v>
      </c>
      <c r="L430" s="27" t="n">
        <v>0.03747740362616316</v>
      </c>
      <c r="M430" s="26" t="n">
        <v>242.7657937021056</v>
      </c>
      <c r="N430" s="27" t="n">
        <v>0.04617634831389745</v>
      </c>
      <c r="O430" s="26" t="n">
        <v>198.9456090945178</v>
      </c>
      <c r="P430" s="27" t="n">
        <v>0.04790130636532669</v>
      </c>
      <c r="Q430" s="26" t="n">
        <v>227.5228926371022</v>
      </c>
      <c r="R430" s="27" t="n">
        <v>0.06349747404442867</v>
      </c>
      <c r="S430" s="26" t="n">
        <v>214.0079009413752</v>
      </c>
      <c r="T430" s="27" t="n">
        <v>0.07495295249917226</v>
      </c>
      <c r="U430" s="26" t="n">
        <v>232.9832791798583</v>
      </c>
      <c r="V430" s="27" t="n">
        <v>0.05648631523910418</v>
      </c>
      <c r="W430" s="26" t="n">
        <v>237.0755344561069</v>
      </c>
      <c r="X430" s="27" t="n">
        <v>0.04662727860965488</v>
      </c>
      <c r="Y430" s="26" t="n">
        <v>214.2072143099462</v>
      </c>
      <c r="Z430" s="27" t="n">
        <v>0.03622922744624651</v>
      </c>
      <c r="AA430" s="26" t="n">
        <v>227.5656979270377</v>
      </c>
      <c r="AB430" s="27" t="n">
        <v>0.06412930896404459</v>
      </c>
    </row>
    <row r="431">
      <c r="A431" s="26" t="n">
        <v>205.7845443382315</v>
      </c>
      <c r="B431" s="27" t="n">
        <v>0.06254786760181499</v>
      </c>
      <c r="C431" s="26" t="n">
        <v>210.2402297246419</v>
      </c>
      <c r="D431" s="27" t="n">
        <v>0.06003092055851727</v>
      </c>
      <c r="E431" s="26" t="n">
        <v>240.9023821872528</v>
      </c>
      <c r="F431" s="27" t="n">
        <v>0.04627147213402417</v>
      </c>
      <c r="G431" s="26" t="n">
        <v>261.3471618886718</v>
      </c>
      <c r="H431" s="27" t="n">
        <v>0.03548117199305013</v>
      </c>
      <c r="I431" s="26" t="n">
        <v>266.103567114675</v>
      </c>
      <c r="J431" s="27" t="n">
        <v>0.03521425508350685</v>
      </c>
      <c r="K431" s="26" t="n">
        <v>257.3832762137087</v>
      </c>
      <c r="L431" s="27" t="n">
        <v>0.03766665665158878</v>
      </c>
      <c r="M431" s="26" t="n">
        <v>242.8570994041914</v>
      </c>
      <c r="N431" s="27" t="n">
        <v>0.04641782015242028</v>
      </c>
      <c r="O431" s="26" t="n">
        <v>199.0700137886063</v>
      </c>
      <c r="P431" s="27" t="n">
        <v>0.04812624157731758</v>
      </c>
      <c r="Q431" s="26" t="n">
        <v>227.6169794127352</v>
      </c>
      <c r="R431" s="27" t="n">
        <v>0.06384189789420879</v>
      </c>
      <c r="S431" s="26" t="n">
        <v>214.1143245494066</v>
      </c>
      <c r="T431" s="27" t="n">
        <v>0.07535503207997842</v>
      </c>
      <c r="U431" s="26" t="n">
        <v>233.0683244743107</v>
      </c>
      <c r="V431" s="27" t="n">
        <v>0.05679229566603315</v>
      </c>
      <c r="W431" s="26" t="n">
        <v>237.1537199481596</v>
      </c>
      <c r="X431" s="27" t="n">
        <v>0.04687232755674056</v>
      </c>
      <c r="Y431" s="26" t="n">
        <v>214.3126554765531</v>
      </c>
      <c r="Z431" s="27" t="n">
        <v>0.03638726541735642</v>
      </c>
      <c r="AA431" s="26" t="n">
        <v>227.6458855887442</v>
      </c>
      <c r="AB431" s="27" t="n">
        <v>0.06448136169158399</v>
      </c>
    </row>
    <row r="432">
      <c r="A432" s="26" t="n">
        <v>205.9503060014367</v>
      </c>
      <c r="B432" s="27" t="n">
        <v>0.06285740989729199</v>
      </c>
      <c r="C432" s="26" t="n">
        <v>210.3802792384567</v>
      </c>
      <c r="D432" s="27" t="n">
        <v>0.06033531852297076</v>
      </c>
      <c r="E432" s="26" t="n">
        <v>241.0154398416095</v>
      </c>
      <c r="F432" s="27" t="n">
        <v>0.04650830531422467</v>
      </c>
      <c r="G432" s="26" t="n">
        <v>261.4338843192775</v>
      </c>
      <c r="H432" s="27" t="n">
        <v>0.03565579419460634</v>
      </c>
      <c r="I432" s="26" t="n">
        <v>266.1839515431749</v>
      </c>
      <c r="J432" s="27" t="n">
        <v>0.03538940021769136</v>
      </c>
      <c r="K432" s="26" t="n">
        <v>257.459518708065</v>
      </c>
      <c r="L432" s="27" t="n">
        <v>0.03785685625953147</v>
      </c>
      <c r="M432" s="26" t="n">
        <v>242.9484051062773</v>
      </c>
      <c r="N432" s="27" t="n">
        <v>0.04666050049146219</v>
      </c>
      <c r="O432" s="26" t="n">
        <v>199.1944184826949</v>
      </c>
      <c r="P432" s="27" t="n">
        <v>0.04835223834265047</v>
      </c>
      <c r="Q432" s="26" t="n">
        <v>227.7110661883681</v>
      </c>
      <c r="R432" s="27" t="n">
        <v>0.06418794081374637</v>
      </c>
      <c r="S432" s="26" t="n">
        <v>214.220748157438</v>
      </c>
      <c r="T432" s="27" t="n">
        <v>0.07575887761241308</v>
      </c>
      <c r="U432" s="26" t="n">
        <v>233.153369768763</v>
      </c>
      <c r="V432" s="27" t="n">
        <v>0.0570997739753801</v>
      </c>
      <c r="W432" s="26" t="n">
        <v>237.2319054402124</v>
      </c>
      <c r="X432" s="27" t="n">
        <v>0.04711861355128891</v>
      </c>
      <c r="Y432" s="26" t="n">
        <v>214.4180966431599</v>
      </c>
      <c r="Z432" s="27" t="n">
        <v>0.03654600161384063</v>
      </c>
      <c r="AA432" s="26" t="n">
        <v>227.7260732504508</v>
      </c>
      <c r="AB432" s="27" t="n">
        <v>0.06483508417922663</v>
      </c>
    </row>
    <row r="433">
      <c r="A433" s="26" t="n">
        <v>206.1160676646421</v>
      </c>
      <c r="B433" s="27" t="n">
        <v>0.06316835885126357</v>
      </c>
      <c r="C433" s="26" t="n">
        <v>210.5203287522715</v>
      </c>
      <c r="D433" s="27" t="n">
        <v>0.06064114047317411</v>
      </c>
      <c r="E433" s="26" t="n">
        <v>241.1284974959662</v>
      </c>
      <c r="F433" s="27" t="n">
        <v>0.04674630397170115</v>
      </c>
      <c r="G433" s="26" t="n">
        <v>261.520606749883</v>
      </c>
      <c r="H433" s="27" t="n">
        <v>0.03583127359727287</v>
      </c>
      <c r="I433" s="26" t="n">
        <v>266.2643359716749</v>
      </c>
      <c r="J433" s="27" t="n">
        <v>0.03556541246375716</v>
      </c>
      <c r="K433" s="26" t="n">
        <v>257.5357612024213</v>
      </c>
      <c r="L433" s="27" t="n">
        <v>0.03804800700748791</v>
      </c>
      <c r="M433" s="26" t="n">
        <v>243.0397108083631</v>
      </c>
      <c r="N433" s="27" t="n">
        <v>0.04690439462936919</v>
      </c>
      <c r="O433" s="26" t="n">
        <v>199.3188231767834</v>
      </c>
      <c r="P433" s="27" t="n">
        <v>0.04857930152754885</v>
      </c>
      <c r="Q433" s="26" t="n">
        <v>227.8051529640011</v>
      </c>
      <c r="R433" s="27" t="n">
        <v>0.06453560769828122</v>
      </c>
      <c r="S433" s="26" t="n">
        <v>214.3271717654694</v>
      </c>
      <c r="T433" s="27" t="n">
        <v>0.07616449285951309</v>
      </c>
      <c r="U433" s="26" t="n">
        <v>233.2384150632152</v>
      </c>
      <c r="V433" s="27" t="n">
        <v>0.05740875564271244</v>
      </c>
      <c r="W433" s="26" t="n">
        <v>237.3100909322652</v>
      </c>
      <c r="X433" s="27" t="n">
        <v>0.04736614213236812</v>
      </c>
      <c r="Y433" s="26" t="n">
        <v>214.5235378097669</v>
      </c>
      <c r="Z433" s="27" t="n">
        <v>0.03670543914972943</v>
      </c>
      <c r="AA433" s="26" t="n">
        <v>227.8062609121574</v>
      </c>
      <c r="AB433" s="27" t="n">
        <v>0.06519048150129281</v>
      </c>
    </row>
    <row r="434">
      <c r="A434" s="26" t="n">
        <v>206.2818293278474</v>
      </c>
      <c r="B434" s="27" t="n">
        <v>0.0634807191729737</v>
      </c>
      <c r="C434" s="26" t="n">
        <v>210.6603782660863</v>
      </c>
      <c r="D434" s="27" t="n">
        <v>0.0609483915156338</v>
      </c>
      <c r="E434" s="26" t="n">
        <v>241.2415551503229</v>
      </c>
      <c r="F434" s="27" t="n">
        <v>0.04698547315349405</v>
      </c>
      <c r="G434" s="26" t="n">
        <v>261.6073291804886</v>
      </c>
      <c r="H434" s="27" t="n">
        <v>0.03600761432355855</v>
      </c>
      <c r="I434" s="26" t="n">
        <v>266.3447204001748</v>
      </c>
      <c r="J434" s="27" t="n">
        <v>0.03574229601042591</v>
      </c>
      <c r="K434" s="26" t="n">
        <v>257.6120036967777</v>
      </c>
      <c r="L434" s="27" t="n">
        <v>0.03824011347197864</v>
      </c>
      <c r="M434" s="26" t="n">
        <v>243.1310165104489</v>
      </c>
      <c r="N434" s="27" t="n">
        <v>0.04714950787758766</v>
      </c>
      <c r="O434" s="26" t="n">
        <v>199.443227870872</v>
      </c>
      <c r="P434" s="27" t="n">
        <v>0.04880743601757399</v>
      </c>
      <c r="Q434" s="26" t="n">
        <v>227.899239739634</v>
      </c>
      <c r="R434" s="27" t="n">
        <v>0.06488490342665371</v>
      </c>
      <c r="S434" s="26" t="n">
        <v>214.4335953735007</v>
      </c>
      <c r="T434" s="27" t="n">
        <v>0.07657188154822968</v>
      </c>
      <c r="U434" s="26" t="n">
        <v>233.3234603576675</v>
      </c>
      <c r="V434" s="27" t="n">
        <v>0.05771924614127064</v>
      </c>
      <c r="W434" s="26" t="n">
        <v>237.3882764243181</v>
      </c>
      <c r="X434" s="27" t="n">
        <v>0.04761491885421162</v>
      </c>
      <c r="Y434" s="26" t="n">
        <v>214.6289789763738</v>
      </c>
      <c r="Z434" s="27" t="n">
        <v>0.03686558115304195</v>
      </c>
      <c r="AA434" s="26" t="n">
        <v>227.886448573864</v>
      </c>
      <c r="AB434" s="27" t="n">
        <v>0.06554755871496658</v>
      </c>
    </row>
    <row r="435">
      <c r="A435" s="26" t="n">
        <v>206.4475909910527</v>
      </c>
      <c r="B435" s="27" t="n">
        <v>0.06379449556660165</v>
      </c>
      <c r="C435" s="26" t="n">
        <v>210.8004277799011</v>
      </c>
      <c r="D435" s="27" t="n">
        <v>0.06125707675576211</v>
      </c>
      <c r="E435" s="26" t="n">
        <v>241.3546128046796</v>
      </c>
      <c r="F435" s="27" t="n">
        <v>0.04722581791903026</v>
      </c>
      <c r="G435" s="26" t="n">
        <v>261.6940516110942</v>
      </c>
      <c r="H435" s="27" t="n">
        <v>0.03618482051416656</v>
      </c>
      <c r="I435" s="26" t="n">
        <v>266.4251048286748</v>
      </c>
      <c r="J435" s="27" t="n">
        <v>0.03592005506477323</v>
      </c>
      <c r="K435" s="26" t="n">
        <v>257.6882461911341</v>
      </c>
      <c r="L435" s="27" t="n">
        <v>0.03843318024857909</v>
      </c>
      <c r="M435" s="26" t="n">
        <v>243.2223222125348</v>
      </c>
      <c r="N435" s="27" t="n">
        <v>0.04739584556054734</v>
      </c>
      <c r="O435" s="26" t="n">
        <v>199.5676325649605</v>
      </c>
      <c r="P435" s="27" t="n">
        <v>0.04903664671765089</v>
      </c>
      <c r="Q435" s="26" t="n">
        <v>227.993326515267</v>
      </c>
      <c r="R435" s="27" t="n">
        <v>0.06523583286084636</v>
      </c>
      <c r="S435" s="26" t="n">
        <v>214.5400189815321</v>
      </c>
      <c r="T435" s="27" t="n">
        <v>0.07698104736885077</v>
      </c>
      <c r="U435" s="26" t="n">
        <v>233.4085056521199</v>
      </c>
      <c r="V435" s="27" t="n">
        <v>0.05803125094163324</v>
      </c>
      <c r="W435" s="26" t="n">
        <v>237.4664619163709</v>
      </c>
      <c r="X435" s="27" t="n">
        <v>0.04786494928611663</v>
      </c>
      <c r="Y435" s="26" t="n">
        <v>214.7344201429806</v>
      </c>
      <c r="Z435" s="27" t="n">
        <v>0.03702643076584949</v>
      </c>
      <c r="AA435" s="26" t="n">
        <v>227.9666362355706</v>
      </c>
      <c r="AB435" s="27" t="n">
        <v>0.06590632085981879</v>
      </c>
    </row>
    <row r="436">
      <c r="A436" s="26" t="n">
        <v>206.613352654258</v>
      </c>
      <c r="B436" s="27" t="n">
        <v>0.06410969273094137</v>
      </c>
      <c r="C436" s="26" t="n">
        <v>210.9404772937158</v>
      </c>
      <c r="D436" s="27" t="n">
        <v>0.06156720129758379</v>
      </c>
      <c r="E436" s="26" t="n">
        <v>241.4676704590364</v>
      </c>
      <c r="F436" s="27" t="n">
        <v>0.04746734334001197</v>
      </c>
      <c r="G436" s="26" t="n">
        <v>261.7807740416997</v>
      </c>
      <c r="H436" s="27" t="n">
        <v>0.03636289632804556</v>
      </c>
      <c r="I436" s="26" t="n">
        <v>266.5054892571746</v>
      </c>
      <c r="J436" s="27" t="n">
        <v>0.03609869385227674</v>
      </c>
      <c r="K436" s="26" t="n">
        <v>257.7644886854904</v>
      </c>
      <c r="L436" s="27" t="n">
        <v>0.03862721195195124</v>
      </c>
      <c r="M436" s="26" t="n">
        <v>243.3136279146207</v>
      </c>
      <c r="N436" s="27" t="n">
        <v>0.04764341301554111</v>
      </c>
      <c r="O436" s="26" t="n">
        <v>199.6920372590491</v>
      </c>
      <c r="P436" s="27" t="n">
        <v>0.0492669385520934</v>
      </c>
      <c r="Q436" s="26" t="n">
        <v>228.0874132908999</v>
      </c>
      <c r="R436" s="27" t="n">
        <v>0.06558840084552132</v>
      </c>
      <c r="S436" s="26" t="n">
        <v>214.6464425895635</v>
      </c>
      <c r="T436" s="27" t="n">
        <v>0.07739199397441902</v>
      </c>
      <c r="U436" s="26" t="n">
        <v>233.4935509465722</v>
      </c>
      <c r="V436" s="27" t="n">
        <v>0.05834477551137747</v>
      </c>
      <c r="W436" s="26" t="n">
        <v>237.5446474084237</v>
      </c>
      <c r="X436" s="27" t="n">
        <v>0.04811623901234075</v>
      </c>
      <c r="Y436" s="26" t="n">
        <v>214.8398613095875</v>
      </c>
      <c r="Z436" s="27" t="n">
        <v>0.03718799114433865</v>
      </c>
      <c r="AA436" s="26" t="n">
        <v>228.0468238972772</v>
      </c>
      <c r="AB436" s="27" t="n">
        <v>0.06626677295732693</v>
      </c>
    </row>
    <row r="437">
      <c r="A437" s="26" t="n">
        <v>206.7791143174633</v>
      </c>
      <c r="B437" s="27" t="n">
        <v>0.06442631535907956</v>
      </c>
      <c r="C437" s="26" t="n">
        <v>211.0805268075306</v>
      </c>
      <c r="D437" s="27" t="n">
        <v>0.06187877024343712</v>
      </c>
      <c r="E437" s="26" t="n">
        <v>241.5807281133931</v>
      </c>
      <c r="F437" s="27" t="n">
        <v>0.04771005450030398</v>
      </c>
      <c r="G437" s="26" t="n">
        <v>261.8674964723053</v>
      </c>
      <c r="H437" s="27" t="n">
        <v>0.03654184594244126</v>
      </c>
      <c r="I437" s="26" t="n">
        <v>266.5858736856746</v>
      </c>
      <c r="J437" s="27" t="n">
        <v>0.03627821661686392</v>
      </c>
      <c r="K437" s="26" t="n">
        <v>257.8407311798468</v>
      </c>
      <c r="L437" s="27" t="n">
        <v>0.03882221321587319</v>
      </c>
      <c r="M437" s="26" t="n">
        <v>243.4049336167065</v>
      </c>
      <c r="N437" s="27" t="n">
        <v>0.04789221559260291</v>
      </c>
      <c r="O437" s="26" t="n">
        <v>199.8164419531376</v>
      </c>
      <c r="P437" s="27" t="n">
        <v>0.04949831646462858</v>
      </c>
      <c r="Q437" s="26" t="n">
        <v>228.1815000665329</v>
      </c>
      <c r="R437" s="27" t="n">
        <v>0.06594261220755288</v>
      </c>
      <c r="S437" s="26" t="n">
        <v>214.7528661975949</v>
      </c>
      <c r="T437" s="27" t="n">
        <v>0.07780472498014665</v>
      </c>
      <c r="U437" s="26" t="n">
        <v>233.5785962410245</v>
      </c>
      <c r="V437" s="27" t="n">
        <v>0.05865982531473497</v>
      </c>
      <c r="W437" s="26" t="n">
        <v>237.6228329004765</v>
      </c>
      <c r="X437" s="27" t="n">
        <v>0.04836879363199514</v>
      </c>
      <c r="Y437" s="26" t="n">
        <v>214.9453024761945</v>
      </c>
      <c r="Z437" s="27" t="n">
        <v>0.03735026545887529</v>
      </c>
      <c r="AA437" s="26" t="n">
        <v>228.1270115589838</v>
      </c>
      <c r="AB437" s="27" t="n">
        <v>0.06662892001038788</v>
      </c>
    </row>
    <row r="438">
      <c r="A438" s="26" t="n">
        <v>206.9448759806686</v>
      </c>
      <c r="B438" s="27" t="n">
        <v>0.06474436813806776</v>
      </c>
      <c r="C438" s="26" t="n">
        <v>211.2205763213454</v>
      </c>
      <c r="D438" s="27" t="n">
        <v>0.06219178869367104</v>
      </c>
      <c r="E438" s="26" t="n">
        <v>241.6937857677498</v>
      </c>
      <c r="F438" s="27" t="n">
        <v>0.04795395649581828</v>
      </c>
      <c r="G438" s="26" t="n">
        <v>261.9542189029108</v>
      </c>
      <c r="H438" s="27" t="n">
        <v>0.03672167355294704</v>
      </c>
      <c r="I438" s="26" t="n">
        <v>266.6662581141745</v>
      </c>
      <c r="J438" s="27" t="n">
        <v>0.03645862762095874</v>
      </c>
      <c r="K438" s="26" t="n">
        <v>257.9169736742032</v>
      </c>
      <c r="L438" s="27" t="n">
        <v>0.03901818869326771</v>
      </c>
      <c r="M438" s="26" t="n">
        <v>243.4962393187923</v>
      </c>
      <c r="N438" s="27" t="n">
        <v>0.04814225865438181</v>
      </c>
      <c r="O438" s="26" t="n">
        <v>199.9408466472261</v>
      </c>
      <c r="P438" s="27" t="n">
        <v>0.04973078541842074</v>
      </c>
      <c r="Q438" s="26" t="n">
        <v>228.2755868421658</v>
      </c>
      <c r="R438" s="27" t="n">
        <v>0.06629847175555557</v>
      </c>
      <c r="S438" s="26" t="n">
        <v>214.8592898056262</v>
      </c>
      <c r="T438" s="27" t="n">
        <v>0.07821924396282633</v>
      </c>
      <c r="U438" s="26" t="n">
        <v>233.6636415354768</v>
      </c>
      <c r="V438" s="27" t="n">
        <v>0.058976405812244</v>
      </c>
      <c r="W438" s="26" t="n">
        <v>237.7010183925293</v>
      </c>
      <c r="X438" s="27" t="n">
        <v>0.04862261875893555</v>
      </c>
      <c r="Y438" s="26" t="n">
        <v>215.0507436428014</v>
      </c>
      <c r="Z438" s="27" t="n">
        <v>0.03751325689406811</v>
      </c>
      <c r="AA438" s="26" t="n">
        <v>228.2071992206904</v>
      </c>
      <c r="AB438" s="27" t="n">
        <v>0.0669927670028284</v>
      </c>
    </row>
    <row r="439">
      <c r="A439" s="26" t="n">
        <v>207.1106376438739</v>
      </c>
      <c r="B439" s="27" t="n">
        <v>0.06506385574859094</v>
      </c>
      <c r="C439" s="26" t="n">
        <v>211.3606258351602</v>
      </c>
      <c r="D439" s="27" t="n">
        <v>0.062506261746339</v>
      </c>
      <c r="E439" s="26" t="n">
        <v>241.8068434221066</v>
      </c>
      <c r="F439" s="27" t="n">
        <v>0.04819905443439502</v>
      </c>
      <c r="G439" s="26" t="n">
        <v>262.0409413335165</v>
      </c>
      <c r="H439" s="27" t="n">
        <v>0.03690238337355425</v>
      </c>
      <c r="I439" s="26" t="n">
        <v>266.7466425426745</v>
      </c>
      <c r="J439" s="27" t="n">
        <v>0.03663993114552868</v>
      </c>
      <c r="K439" s="26" t="n">
        <v>257.9932161685595</v>
      </c>
      <c r="L439" s="27" t="n">
        <v>0.03921514305623153</v>
      </c>
      <c r="M439" s="26" t="n">
        <v>243.5875450208781</v>
      </c>
      <c r="N439" s="27" t="n">
        <v>0.04839354757601403</v>
      </c>
      <c r="O439" s="26" t="n">
        <v>200.0652513413147</v>
      </c>
      <c r="P439" s="27" t="n">
        <v>0.04996435039609284</v>
      </c>
      <c r="Q439" s="26" t="n">
        <v>228.3696736177988</v>
      </c>
      <c r="R439" s="27" t="n">
        <v>0.06665598427940815</v>
      </c>
      <c r="S439" s="26" t="n">
        <v>214.9657134136576</v>
      </c>
      <c r="T439" s="27" t="n">
        <v>0.07863555446023818</v>
      </c>
      <c r="U439" s="26" t="n">
        <v>233.7486868299291</v>
      </c>
      <c r="V439" s="27" t="n">
        <v>0.05929452246039654</v>
      </c>
      <c r="W439" s="26" t="n">
        <v>237.7792038845821</v>
      </c>
      <c r="X439" s="27" t="n">
        <v>0.04887772002165017</v>
      </c>
      <c r="Y439" s="26" t="n">
        <v>215.1561848094083</v>
      </c>
      <c r="Z439" s="27" t="n">
        <v>0.03767696864883324</v>
      </c>
      <c r="AA439" s="26" t="n">
        <v>228.287386882397</v>
      </c>
      <c r="AB439" s="27" t="n">
        <v>0.06735831889890888</v>
      </c>
    </row>
    <row r="440">
      <c r="A440" s="26" t="n">
        <v>207.2763993070792</v>
      </c>
      <c r="B440" s="27" t="n">
        <v>0.06538478286463252</v>
      </c>
      <c r="C440" s="26" t="n">
        <v>211.500675348975</v>
      </c>
      <c r="D440" s="27" t="n">
        <v>0.06282219449688732</v>
      </c>
      <c r="E440" s="26" t="n">
        <v>241.9199010764633</v>
      </c>
      <c r="F440" s="27" t="n">
        <v>0.04844535343568245</v>
      </c>
      <c r="G440" s="26" t="n">
        <v>262.127663764122</v>
      </c>
      <c r="H440" s="27" t="n">
        <v>0.03708397963670226</v>
      </c>
      <c r="I440" s="26" t="n">
        <v>266.8270269711744</v>
      </c>
      <c r="J440" s="27" t="n">
        <v>0.03682213149013056</v>
      </c>
      <c r="K440" s="26" t="n">
        <v>258.0694586629158</v>
      </c>
      <c r="L440" s="27" t="n">
        <v>0.03941308099606187</v>
      </c>
      <c r="M440" s="26" t="n">
        <v>243.6788507229639</v>
      </c>
      <c r="N440" s="27" t="n">
        <v>0.04864608774499148</v>
      </c>
      <c r="O440" s="26" t="n">
        <v>200.1896560354032</v>
      </c>
      <c r="P440" s="27" t="n">
        <v>0.05019901639974882</v>
      </c>
      <c r="Q440" s="26" t="n">
        <v>228.4637603934317</v>
      </c>
      <c r="R440" s="27" t="n">
        <v>0.06701515454977239</v>
      </c>
      <c r="S440" s="26" t="n">
        <v>215.072137021689</v>
      </c>
      <c r="T440" s="27" t="n">
        <v>0.07905365997055322</v>
      </c>
      <c r="U440" s="26" t="n">
        <v>233.8337321243814</v>
      </c>
      <c r="V440" s="27" t="n">
        <v>0.05961418071128085</v>
      </c>
      <c r="W440" s="26" t="n">
        <v>237.8573893766349</v>
      </c>
      <c r="X440" s="27" t="n">
        <v>0.04913410306314483</v>
      </c>
      <c r="Y440" s="26" t="n">
        <v>215.2616259760152</v>
      </c>
      <c r="Z440" s="27" t="n">
        <v>0.03784140393645873</v>
      </c>
      <c r="AA440" s="26" t="n">
        <v>228.3675745441036</v>
      </c>
      <c r="AB440" s="27" t="n">
        <v>0.06772558064282441</v>
      </c>
    </row>
    <row r="441">
      <c r="A441" s="26" t="n">
        <v>207.4421609702845</v>
      </c>
      <c r="B441" s="27" t="n">
        <v>0.06570715415313487</v>
      </c>
      <c r="C441" s="26" t="n">
        <v>211.6407248627898</v>
      </c>
      <c r="D441" s="27" t="n">
        <v>0.06313959203784156</v>
      </c>
      <c r="E441" s="26" t="n">
        <v>242.03295873082</v>
      </c>
      <c r="F441" s="27" t="n">
        <v>0.0486928586310123</v>
      </c>
      <c r="G441" s="26" t="n">
        <v>262.2143861947276</v>
      </c>
      <c r="H441" s="27" t="n">
        <v>0.037266466593328</v>
      </c>
      <c r="I441" s="26" t="n">
        <v>266.9074113996744</v>
      </c>
      <c r="J441" s="27" t="n">
        <v>0.03700523297295607</v>
      </c>
      <c r="K441" s="26" t="n">
        <v>258.1457011572722</v>
      </c>
      <c r="L441" s="27" t="n">
        <v>0.03961200722328268</v>
      </c>
      <c r="M441" s="26" t="n">
        <v>243.7701564250498</v>
      </c>
      <c r="N441" s="27" t="n">
        <v>0.04889988456102785</v>
      </c>
      <c r="O441" s="26" t="n">
        <v>200.3140607294918</v>
      </c>
      <c r="P441" s="27" t="n">
        <v>0.05043478845099337</v>
      </c>
      <c r="Q441" s="26" t="n">
        <v>228.5578471690647</v>
      </c>
      <c r="R441" s="27" t="n">
        <v>0.06737598731760781</v>
      </c>
      <c r="S441" s="26" t="n">
        <v>215.1785606297204</v>
      </c>
      <c r="T441" s="27" t="n">
        <v>0.07947356395173298</v>
      </c>
      <c r="U441" s="26" t="n">
        <v>233.9187774188337</v>
      </c>
      <c r="V441" s="27" t="n">
        <v>0.05993538601222026</v>
      </c>
      <c r="W441" s="26" t="n">
        <v>237.9355748686877</v>
      </c>
      <c r="X441" s="27" t="n">
        <v>0.04939177354082534</v>
      </c>
      <c r="Y441" s="26" t="n">
        <v>215.3670671426221</v>
      </c>
      <c r="Z441" s="27" t="n">
        <v>0.03800656598466904</v>
      </c>
      <c r="AA441" s="26" t="n">
        <v>228.4477622058102</v>
      </c>
      <c r="AB441" s="27" t="n">
        <v>0.06809455715819958</v>
      </c>
    </row>
    <row r="442">
      <c r="A442" s="26" t="n">
        <v>207.6079226334899</v>
      </c>
      <c r="B442" s="27" t="n">
        <v>0.06603097427365519</v>
      </c>
      <c r="C442" s="26" t="n">
        <v>211.7807743766045</v>
      </c>
      <c r="D442" s="27" t="n">
        <v>0.06345845945848561</v>
      </c>
      <c r="E442" s="26" t="n">
        <v>242.1460163851768</v>
      </c>
      <c r="F442" s="27" t="n">
        <v>0.04894157516327365</v>
      </c>
      <c r="G442" s="26" t="n">
        <v>262.3011086253332</v>
      </c>
      <c r="H442" s="27" t="n">
        <v>0.03744984851291441</v>
      </c>
      <c r="I442" s="26" t="n">
        <v>266.9877958281743</v>
      </c>
      <c r="J442" s="27" t="n">
        <v>0.03718923993087685</v>
      </c>
      <c r="K442" s="26" t="n">
        <v>258.2219436516285</v>
      </c>
      <c r="L442" s="27" t="n">
        <v>0.03981192646767072</v>
      </c>
      <c r="M442" s="26" t="n">
        <v>243.8614621271357</v>
      </c>
      <c r="N442" s="27" t="n">
        <v>0.04915494343592113</v>
      </c>
      <c r="O442" s="26" t="n">
        <v>200.4384654235803</v>
      </c>
      <c r="P442" s="27" t="n">
        <v>0.05067167159095164</v>
      </c>
      <c r="Q442" s="26" t="n">
        <v>228.6519339446976</v>
      </c>
      <c r="R442" s="27" t="n">
        <v>0.06773848731368172</v>
      </c>
      <c r="S442" s="26" t="n">
        <v>215.2849842377518</v>
      </c>
      <c r="T442" s="27" t="n">
        <v>0.07989526982092594</v>
      </c>
      <c r="U442" s="26" t="n">
        <v>234.003822713286</v>
      </c>
      <c r="V442" s="27" t="n">
        <v>0.06025814380540585</v>
      </c>
      <c r="W442" s="26" t="n">
        <v>238.0137603607405</v>
      </c>
      <c r="X442" s="27" t="n">
        <v>0.04965073712637641</v>
      </c>
      <c r="Y442" s="26" t="n">
        <v>215.4725083092291</v>
      </c>
      <c r="Z442" s="27" t="n">
        <v>0.03817245803569061</v>
      </c>
      <c r="AA442" s="26" t="n">
        <v>228.5279498675168</v>
      </c>
      <c r="AB442" s="27" t="n">
        <v>0.06846525334757893</v>
      </c>
    </row>
    <row r="443">
      <c r="A443" s="26" t="n">
        <v>207.7736842966951</v>
      </c>
      <c r="B443" s="27" t="n">
        <v>0.06635624787801814</v>
      </c>
      <c r="C443" s="26" t="n">
        <v>211.9208238904193</v>
      </c>
      <c r="D443" s="27" t="n">
        <v>0.06377880184453963</v>
      </c>
      <c r="E443" s="26" t="n">
        <v>242.2590740395335</v>
      </c>
      <c r="F443" s="27" t="n">
        <v>0.04919150818678353</v>
      </c>
      <c r="G443" s="26" t="n">
        <v>262.3878310559387</v>
      </c>
      <c r="H443" s="27" t="n">
        <v>0.03763412968353987</v>
      </c>
      <c r="I443" s="26" t="n">
        <v>267.0681802566743</v>
      </c>
      <c r="J443" s="27" t="n">
        <v>0.0373741567194888</v>
      </c>
      <c r="K443" s="26" t="n">
        <v>258.2981861459849</v>
      </c>
      <c r="L443" s="27" t="n">
        <v>0.04001284347827946</v>
      </c>
      <c r="M443" s="26" t="n">
        <v>243.9527678292215</v>
      </c>
      <c r="N443" s="27" t="n">
        <v>0.04941126979341384</v>
      </c>
      <c r="O443" s="26" t="n">
        <v>200.5628701176689</v>
      </c>
      <c r="P443" s="27" t="n">
        <v>0.05090967088028735</v>
      </c>
      <c r="Q443" s="26" t="n">
        <v>228.7460207203306</v>
      </c>
      <c r="R443" s="27" t="n">
        <v>0.06810265924807414</v>
      </c>
      <c r="S443" s="26" t="n">
        <v>215.3914078457831</v>
      </c>
      <c r="T443" s="27" t="n">
        <v>0.08031878095385922</v>
      </c>
      <c r="U443" s="26" t="n">
        <v>234.0888680077383</v>
      </c>
      <c r="V443" s="27" t="n">
        <v>0.06058245952752671</v>
      </c>
      <c r="W443" s="26" t="n">
        <v>238.0919458527933</v>
      </c>
      <c r="X443" s="27" t="n">
        <v>0.04991099950563875</v>
      </c>
      <c r="Y443" s="26" t="n">
        <v>215.577949475836</v>
      </c>
      <c r="Z443" s="27" t="n">
        <v>0.03833908334631692</v>
      </c>
      <c r="AA443" s="26" t="n">
        <v>228.6081375292234</v>
      </c>
      <c r="AB443" s="27" t="n">
        <v>0.06883767409191344</v>
      </c>
    </row>
    <row r="444">
      <c r="A444" s="26" t="n">
        <v>207.9394459599005</v>
      </c>
      <c r="B444" s="27" t="n">
        <v>0.0666829796099636</v>
      </c>
      <c r="C444" s="26" t="n">
        <v>212.0608734042341</v>
      </c>
      <c r="D444" s="27" t="n">
        <v>0.06410062427783186</v>
      </c>
      <c r="E444" s="26" t="n">
        <v>242.3721316938901</v>
      </c>
      <c r="F444" s="27" t="n">
        <v>0.04944266286715467</v>
      </c>
      <c r="G444" s="26" t="n">
        <v>262.4745534865443</v>
      </c>
      <c r="H444" s="27" t="n">
        <v>0.03781931441192583</v>
      </c>
      <c r="I444" s="26" t="n">
        <v>267.1485646851742</v>
      </c>
      <c r="J444" s="27" t="n">
        <v>0.03755998771315605</v>
      </c>
      <c r="K444" s="26" t="n">
        <v>258.3744286403412</v>
      </c>
      <c r="L444" s="27" t="n">
        <v>0.04021476302346279</v>
      </c>
      <c r="M444" s="26" t="n">
        <v>244.0440735313073</v>
      </c>
      <c r="N444" s="27" t="n">
        <v>0.04966886906904962</v>
      </c>
      <c r="O444" s="26" t="n">
        <v>200.6872748117574</v>
      </c>
      <c r="P444" s="27" t="n">
        <v>0.05114879139922006</v>
      </c>
      <c r="Q444" s="26" t="n">
        <v>228.8401074959635</v>
      </c>
      <c r="R444" s="27" t="n">
        <v>0.06846850780967902</v>
      </c>
      <c r="S444" s="26" t="n">
        <v>215.4978314538145</v>
      </c>
      <c r="T444" s="27" t="n">
        <v>0.08074410068422704</v>
      </c>
      <c r="U444" s="26" t="n">
        <v>234.1739133021906</v>
      </c>
      <c r="V444" s="27" t="n">
        <v>0.06090833860939358</v>
      </c>
      <c r="W444" s="26" t="n">
        <v>238.1701313448461</v>
      </c>
      <c r="X444" s="27" t="n">
        <v>0.05017256637848211</v>
      </c>
      <c r="Y444" s="26" t="n">
        <v>215.6833906424429</v>
      </c>
      <c r="Z444" s="27" t="n">
        <v>0.0385064451879743</v>
      </c>
      <c r="AA444" s="26" t="n">
        <v>228.68832519093</v>
      </c>
      <c r="AB444" s="27" t="n">
        <v>0.06921182425004162</v>
      </c>
    </row>
    <row r="445">
      <c r="A445" s="26" t="n">
        <v>208.1052076231058</v>
      </c>
      <c r="B445" s="27" t="n">
        <v>0.06701117410479031</v>
      </c>
      <c r="C445" s="26" t="n">
        <v>212.2009229180488</v>
      </c>
      <c r="D445" s="27" t="n">
        <v>0.0644239318359663</v>
      </c>
      <c r="E445" s="26" t="n">
        <v>242.4851893482469</v>
      </c>
      <c r="F445" s="27" t="n">
        <v>0.04969504438116021</v>
      </c>
      <c r="G445" s="26" t="n">
        <v>262.5612759171498</v>
      </c>
      <c r="H445" s="27" t="n">
        <v>0.0380054070234843</v>
      </c>
      <c r="I445" s="26" t="n">
        <v>267.2289491136742</v>
      </c>
      <c r="J445" s="27" t="n">
        <v>0.0377467373050541</v>
      </c>
      <c r="K445" s="26" t="n">
        <v>258.4506711346976</v>
      </c>
      <c r="L445" s="27" t="n">
        <v>0.04041768989089745</v>
      </c>
      <c r="M445" s="26" t="n">
        <v>244.1353792333932</v>
      </c>
      <c r="N445" s="27" t="n">
        <v>0.049927746710027</v>
      </c>
      <c r="O445" s="26" t="n">
        <v>200.811679505846</v>
      </c>
      <c r="P445" s="27" t="n">
        <v>0.05138903824754146</v>
      </c>
      <c r="Q445" s="26" t="n">
        <v>228.9341942715965</v>
      </c>
      <c r="R445" s="27" t="n">
        <v>0.0688360376656999</v>
      </c>
      <c r="S445" s="26" t="n">
        <v>215.6042550618459</v>
      </c>
      <c r="T445" s="27" t="n">
        <v>0.0811712323030766</v>
      </c>
      <c r="U445" s="26" t="n">
        <v>234.2589585966429</v>
      </c>
      <c r="V445" s="27" t="n">
        <v>0.06123578647555893</v>
      </c>
      <c r="W445" s="26" t="n">
        <v>238.2483168368989</v>
      </c>
      <c r="X445" s="27" t="n">
        <v>0.05043544345867559</v>
      </c>
      <c r="Y445" s="26" t="n">
        <v>215.7888318090498</v>
      </c>
      <c r="Z445" s="27" t="n">
        <v>0.0386745468467879</v>
      </c>
      <c r="AA445" s="26" t="n">
        <v>228.7685128526366</v>
      </c>
      <c r="AB445" s="27" t="n">
        <v>0.06958770865816562</v>
      </c>
    </row>
    <row r="446">
      <c r="A446" s="26" t="n">
        <v>208.2709692863111</v>
      </c>
      <c r="B446" s="27" t="n">
        <v>0.06734083598899555</v>
      </c>
      <c r="C446" s="26" t="n">
        <v>212.3409724318636</v>
      </c>
      <c r="D446" s="27" t="n">
        <v>0.06474872959198712</v>
      </c>
      <c r="E446" s="26" t="n">
        <v>242.5982470026036</v>
      </c>
      <c r="F446" s="27" t="n">
        <v>0.04994865791659583</v>
      </c>
      <c r="G446" s="26" t="n">
        <v>262.6479983477554</v>
      </c>
      <c r="H446" s="27" t="n">
        <v>0.03819241186236511</v>
      </c>
      <c r="I446" s="26" t="n">
        <v>267.309333542174</v>
      </c>
      <c r="J446" s="27" t="n">
        <v>0.03793440990721263</v>
      </c>
      <c r="K446" s="26" t="n">
        <v>258.526913629054</v>
      </c>
      <c r="L446" s="27" t="n">
        <v>0.04062162888760385</v>
      </c>
      <c r="M446" s="26" t="n">
        <v>244.226684935479</v>
      </c>
      <c r="N446" s="27" t="n">
        <v>0.05018790817504988</v>
      </c>
      <c r="O446" s="26" t="n">
        <v>200.9360841999345</v>
      </c>
      <c r="P446" s="27" t="n">
        <v>0.05163041654462973</v>
      </c>
      <c r="Q446" s="26" t="n">
        <v>229.0282810472294</v>
      </c>
      <c r="R446" s="27" t="n">
        <v>0.06920525346114188</v>
      </c>
      <c r="S446" s="26" t="n">
        <v>215.7106786698772</v>
      </c>
      <c r="T446" s="27" t="n">
        <v>0.08160017905818846</v>
      </c>
      <c r="U446" s="26" t="n">
        <v>234.3440038910952</v>
      </c>
      <c r="V446" s="27" t="n">
        <v>0.06156480854393204</v>
      </c>
      <c r="W446" s="26" t="n">
        <v>238.3265023289517</v>
      </c>
      <c r="X446" s="27" t="n">
        <v>0.05069963647375524</v>
      </c>
      <c r="Y446" s="26" t="n">
        <v>215.8942729756567</v>
      </c>
      <c r="Z446" s="27" t="n">
        <v>0.038843391623648</v>
      </c>
      <c r="AA446" s="26" t="n">
        <v>228.8487005143432</v>
      </c>
      <c r="AB446" s="27" t="n">
        <v>0.06996533212932304</v>
      </c>
    </row>
    <row r="447">
      <c r="A447" s="26" t="n">
        <v>208.4367309495164</v>
      </c>
      <c r="B447" s="27" t="n">
        <v>0.06767196987991003</v>
      </c>
      <c r="C447" s="26" t="n">
        <v>212.4810219456784</v>
      </c>
      <c r="D447" s="27" t="n">
        <v>0.06507502261403728</v>
      </c>
      <c r="E447" s="26" t="n">
        <v>242.7113046569604</v>
      </c>
      <c r="F447" s="27" t="n">
        <v>0.05020350867213873</v>
      </c>
      <c r="G447" s="26" t="n">
        <v>262.734720778361</v>
      </c>
      <c r="H447" s="27" t="n">
        <v>0.03838033329150243</v>
      </c>
      <c r="I447" s="26" t="n">
        <v>267.389717970674</v>
      </c>
      <c r="J447" s="27" t="n">
        <v>0.03812300995055722</v>
      </c>
      <c r="K447" s="26" t="n">
        <v>258.6031561234103</v>
      </c>
      <c r="L447" s="27" t="n">
        <v>0.04082658483996755</v>
      </c>
      <c r="M447" s="26" t="n">
        <v>244.3179906375648</v>
      </c>
      <c r="N447" s="27" t="n">
        <v>0.05044935893417514</v>
      </c>
      <c r="O447" s="26" t="n">
        <v>201.0604888940231</v>
      </c>
      <c r="P447" s="27" t="n">
        <v>0.05187293142946407</v>
      </c>
      <c r="Q447" s="26" t="n">
        <v>229.1223678228624</v>
      </c>
      <c r="R447" s="27" t="n">
        <v>0.06957615981829821</v>
      </c>
      <c r="S447" s="26" t="n">
        <v>215.8171022779086</v>
      </c>
      <c r="T447" s="27" t="n">
        <v>0.08203094415345472</v>
      </c>
      <c r="U447" s="26" t="n">
        <v>234.4290491855475</v>
      </c>
      <c r="V447" s="27" t="n">
        <v>0.06189541022538934</v>
      </c>
      <c r="W447" s="26" t="n">
        <v>238.4046878210045</v>
      </c>
      <c r="X447" s="27" t="n">
        <v>0.05096515116488824</v>
      </c>
      <c r="Y447" s="26" t="n">
        <v>215.9997141422636</v>
      </c>
      <c r="Z447" s="27" t="n">
        <v>0.03901298283427654</v>
      </c>
      <c r="AA447" s="26" t="n">
        <v>228.9288881760498</v>
      </c>
      <c r="AB447" s="27" t="n">
        <v>0.07034469945285411</v>
      </c>
    </row>
    <row r="448">
      <c r="A448" s="26" t="n">
        <v>208.6024926127217</v>
      </c>
      <c r="B448" s="27" t="n">
        <v>0.06800458038532878</v>
      </c>
      <c r="C448" s="26" t="n">
        <v>212.6210714594932</v>
      </c>
      <c r="D448" s="27" t="n">
        <v>0.06540281596501371</v>
      </c>
      <c r="E448" s="26" t="n">
        <v>242.8243623113171</v>
      </c>
      <c r="F448" s="27" t="n">
        <v>0.05045960185720343</v>
      </c>
      <c r="G448" s="26" t="n">
        <v>262.8214432089666</v>
      </c>
      <c r="H448" s="27" t="n">
        <v>0.03856917569266044</v>
      </c>
      <c r="I448" s="26" t="n">
        <v>267.4701023991739</v>
      </c>
      <c r="J448" s="27" t="n">
        <v>0.03831254188495097</v>
      </c>
      <c r="K448" s="26" t="n">
        <v>258.6793986177667</v>
      </c>
      <c r="L448" s="27" t="n">
        <v>0.04103256259375766</v>
      </c>
      <c r="M448" s="26" t="n">
        <v>244.4092963396507</v>
      </c>
      <c r="N448" s="27" t="n">
        <v>0.05071210446865658</v>
      </c>
      <c r="O448" s="26" t="n">
        <v>201.1848935881116</v>
      </c>
      <c r="P448" s="27" t="n">
        <v>0.05211658806063683</v>
      </c>
      <c r="Q448" s="26" t="n">
        <v>229.2164545984953</v>
      </c>
      <c r="R448" s="27" t="n">
        <v>0.06994876133623221</v>
      </c>
      <c r="S448" s="26" t="n">
        <v>215.92352588594</v>
      </c>
      <c r="T448" s="27" t="n">
        <v>0.08246353074825322</v>
      </c>
      <c r="U448" s="26" t="n">
        <v>234.5140944799998</v>
      </c>
      <c r="V448" s="27" t="n">
        <v>0.06222759692338018</v>
      </c>
      <c r="W448" s="26" t="n">
        <v>238.4828733130573</v>
      </c>
      <c r="X448" s="27" t="n">
        <v>0.05123199328673391</v>
      </c>
      <c r="Y448" s="26" t="n">
        <v>216.1051553088705</v>
      </c>
      <c r="Z448" s="27" t="n">
        <v>0.03918332380929396</v>
      </c>
      <c r="AA448" s="26" t="n">
        <v>229.0090758377564</v>
      </c>
      <c r="AB448" s="27" t="n">
        <v>0.07072581539386381</v>
      </c>
    </row>
    <row r="449">
      <c r="A449" s="26" t="n">
        <v>208.768254275927</v>
      </c>
      <c r="B449" s="27" t="n">
        <v>0.0683386721031377</v>
      </c>
      <c r="C449" s="26" t="n">
        <v>212.7611209733079</v>
      </c>
      <c r="D449" s="27" t="n">
        <v>0.06573211470221749</v>
      </c>
      <c r="E449" s="26" t="n">
        <v>242.9374199656738</v>
      </c>
      <c r="F449" s="27" t="n">
        <v>0.05071694269179508</v>
      </c>
      <c r="G449" s="26" t="n">
        <v>262.9081656395722</v>
      </c>
      <c r="H449" s="27" t="n">
        <v>0.03875894346647944</v>
      </c>
      <c r="I449" s="26" t="n">
        <v>267.5504868276739</v>
      </c>
      <c r="J449" s="27" t="n">
        <v>0.03850301017923519</v>
      </c>
      <c r="K449" s="26" t="n">
        <v>258.755641112123</v>
      </c>
      <c r="L449" s="27" t="n">
        <v>0.04123956701414486</v>
      </c>
      <c r="M449" s="26" t="n">
        <v>244.5006020417365</v>
      </c>
      <c r="N449" s="27" t="n">
        <v>0.05097615027078616</v>
      </c>
      <c r="O449" s="26" t="n">
        <v>201.3092982822001</v>
      </c>
      <c r="P449" s="27" t="n">
        <v>0.05236139161636507</v>
      </c>
      <c r="Q449" s="26" t="n">
        <v>229.3105413741283</v>
      </c>
      <c r="R449" s="27" t="n">
        <v>0.07032306259025527</v>
      </c>
      <c r="S449" s="26" t="n">
        <v>216.0299494939713</v>
      </c>
      <c r="T449" s="27" t="n">
        <v>0.08289794195681749</v>
      </c>
      <c r="U449" s="26" t="n">
        <v>234.5991397744521</v>
      </c>
      <c r="V449" s="27" t="n">
        <v>0.06256137403352725</v>
      </c>
      <c r="W449" s="26" t="n">
        <v>238.5610588051101</v>
      </c>
      <c r="X449" s="27" t="n">
        <v>0.05150016860730176</v>
      </c>
      <c r="Y449" s="26" t="n">
        <v>216.2105964754774</v>
      </c>
      <c r="Z449" s="27" t="n">
        <v>0.03935441789428649</v>
      </c>
      <c r="AA449" s="26" t="n">
        <v>229.089263499463</v>
      </c>
      <c r="AB449" s="27" t="n">
        <v>0.07110868469267863</v>
      </c>
    </row>
    <row r="450">
      <c r="A450" s="26" t="n">
        <v>208.9340159391323</v>
      </c>
      <c r="B450" s="27" t="n">
        <v>0.06867424962093545</v>
      </c>
      <c r="C450" s="26" t="n">
        <v>212.9011704871227</v>
      </c>
      <c r="D450" s="27" t="n">
        <v>0.06606292387700025</v>
      </c>
      <c r="E450" s="26" t="n">
        <v>243.0504776200305</v>
      </c>
      <c r="F450" s="27" t="n">
        <v>0.0509755364063588</v>
      </c>
      <c r="G450" s="26" t="n">
        <v>262.9948880701777</v>
      </c>
      <c r="H450" s="27" t="n">
        <v>0.03894964103252009</v>
      </c>
      <c r="I450" s="26" t="n">
        <v>267.6308712561738</v>
      </c>
      <c r="J450" s="27" t="n">
        <v>0.03869441932126942</v>
      </c>
      <c r="K450" s="26" t="n">
        <v>258.8318836064793</v>
      </c>
      <c r="L450" s="27" t="n">
        <v>0.04144760298571944</v>
      </c>
      <c r="M450" s="26" t="n">
        <v>244.5919077438223</v>
      </c>
      <c r="N450" s="27" t="n">
        <v>0.05124150184373132</v>
      </c>
      <c r="O450" s="26" t="n">
        <v>201.4337029762887</v>
      </c>
      <c r="P450" s="27" t="n">
        <v>0.05260734729450066</v>
      </c>
      <c r="Q450" s="26" t="n">
        <v>229.4046281497612</v>
      </c>
      <c r="R450" s="27" t="n">
        <v>0.07069906813139906</v>
      </c>
      <c r="S450" s="26" t="n">
        <v>216.1363731020027</v>
      </c>
      <c r="T450" s="27" t="n">
        <v>0.08333418084760437</v>
      </c>
      <c r="U450" s="26" t="n">
        <v>234.6841850689044</v>
      </c>
      <c r="V450" s="27" t="n">
        <v>0.0628967469432231</v>
      </c>
      <c r="W450" s="26" t="n">
        <v>238.6392442971629</v>
      </c>
      <c r="X450" s="27" t="n">
        <v>0.05176968290780572</v>
      </c>
      <c r="Y450" s="26" t="n">
        <v>216.3160376420843</v>
      </c>
      <c r="Z450" s="27" t="n">
        <v>0.0395262684498734</v>
      </c>
      <c r="AA450" s="26" t="n">
        <v>229.1694511611696</v>
      </c>
      <c r="AB450" s="27" t="n">
        <v>0.07149331206429972</v>
      </c>
    </row>
    <row r="451">
      <c r="A451" s="26" t="n">
        <v>209.0997776023376</v>
      </c>
      <c r="B451" s="27" t="n">
        <v>0.06901131751565118</v>
      </c>
      <c r="C451" s="26" t="n">
        <v>213.0412200009375</v>
      </c>
      <c r="D451" s="27" t="n">
        <v>0.0663952485344052</v>
      </c>
      <c r="E451" s="26" t="n">
        <v>243.1635352743872</v>
      </c>
      <c r="F451" s="27" t="n">
        <v>0.05123538824162672</v>
      </c>
      <c r="G451" s="26" t="n">
        <v>263.0816105007833</v>
      </c>
      <c r="H451" s="27" t="n">
        <v>0.03914127282930806</v>
      </c>
      <c r="I451" s="26" t="n">
        <v>267.7112556846738</v>
      </c>
      <c r="J451" s="27" t="n">
        <v>0.03888677381797061</v>
      </c>
      <c r="K451" s="26" t="n">
        <v>258.9081261008357</v>
      </c>
      <c r="L451" s="27" t="n">
        <v>0.0416566754125061</v>
      </c>
      <c r="M451" s="26" t="n">
        <v>244.6832134459082</v>
      </c>
      <c r="N451" s="27" t="n">
        <v>0.05150816470136978</v>
      </c>
      <c r="O451" s="26" t="n">
        <v>201.5581076703772</v>
      </c>
      <c r="P451" s="27" t="n">
        <v>0.05285446031253932</v>
      </c>
      <c r="Q451" s="26" t="n">
        <v>229.4987149253942</v>
      </c>
      <c r="R451" s="27" t="n">
        <v>0.07107678248588399</v>
      </c>
      <c r="S451" s="26" t="n">
        <v>216.2427967100341</v>
      </c>
      <c r="T451" s="27" t="n">
        <v>0.083772250442657</v>
      </c>
      <c r="U451" s="26" t="n">
        <v>234.7692303633567</v>
      </c>
      <c r="V451" s="27" t="n">
        <v>0.06323372103122105</v>
      </c>
      <c r="W451" s="26" t="n">
        <v>238.7174297892157</v>
      </c>
      <c r="X451" s="27" t="n">
        <v>0.0520405419825162</v>
      </c>
      <c r="Y451" s="26" t="n">
        <v>216.4214788086912</v>
      </c>
      <c r="Z451" s="27" t="n">
        <v>0.03969887885177503</v>
      </c>
      <c r="AA451" s="26" t="n">
        <v>229.2496388228761</v>
      </c>
      <c r="AB451" s="27" t="n">
        <v>0.07187970219785055</v>
      </c>
    </row>
    <row r="452">
      <c r="A452" s="26" t="n">
        <v>209.2655392655429</v>
      </c>
      <c r="B452" s="27" t="n">
        <v>0.06934988035315778</v>
      </c>
      <c r="C452" s="26" t="n">
        <v>213.1812695147523</v>
      </c>
      <c r="D452" s="27" t="n">
        <v>0.06672909371280422</v>
      </c>
      <c r="E452" s="26" t="n">
        <v>243.276592928744</v>
      </c>
      <c r="F452" s="27" t="n">
        <v>0.05149650344846163</v>
      </c>
      <c r="G452" s="26" t="n">
        <v>263.1683329313889</v>
      </c>
      <c r="H452" s="27" t="n">
        <v>0.03933384331437757</v>
      </c>
      <c r="I452" s="26" t="n">
        <v>267.7916401131737</v>
      </c>
      <c r="J452" s="27" t="n">
        <v>0.0390800781953521</v>
      </c>
      <c r="K452" s="26" t="n">
        <v>258.9843685951921</v>
      </c>
      <c r="L452" s="27" t="n">
        <v>0.04186678921797942</v>
      </c>
      <c r="M452" s="26" t="n">
        <v>244.774519147994</v>
      </c>
      <c r="N452" s="27" t="n">
        <v>0.05177614436811982</v>
      </c>
      <c r="O452" s="26" t="n">
        <v>201.6825123644658</v>
      </c>
      <c r="P452" s="27" t="n">
        <v>0.05310273590762834</v>
      </c>
      <c r="Q452" s="26" t="n">
        <v>229.5928017010271</v>
      </c>
      <c r="R452" s="27" t="n">
        <v>0.07145621015458267</v>
      </c>
      <c r="S452" s="26" t="n">
        <v>216.3492203180655</v>
      </c>
      <c r="T452" s="27" t="n">
        <v>0.08421215371696483</v>
      </c>
      <c r="U452" s="26" t="n">
        <v>234.854275657809</v>
      </c>
      <c r="V452" s="27" t="n">
        <v>0.0635723016672215</v>
      </c>
      <c r="W452" s="26" t="n">
        <v>238.7956152812685</v>
      </c>
      <c r="X452" s="27" t="n">
        <v>0.05231275163860785</v>
      </c>
      <c r="Y452" s="26" t="n">
        <v>216.5269199752981</v>
      </c>
      <c r="Z452" s="27" t="n">
        <v>0.03987225249088066</v>
      </c>
      <c r="AA452" s="26" t="n">
        <v>229.3298264845828</v>
      </c>
      <c r="AB452" s="27" t="n">
        <v>0.07226785975601958</v>
      </c>
    </row>
    <row r="453">
      <c r="A453" s="26" t="n">
        <v>209.4313009287483</v>
      </c>
      <c r="B453" s="27" t="n">
        <v>0.0696899426878804</v>
      </c>
      <c r="C453" s="26" t="n">
        <v>213.3213190285671</v>
      </c>
      <c r="D453" s="27" t="n">
        <v>0.0670644644435302</v>
      </c>
      <c r="E453" s="26" t="n">
        <v>243.3896505831007</v>
      </c>
      <c r="F453" s="27" t="n">
        <v>0.05175888728769723</v>
      </c>
      <c r="G453" s="26" t="n">
        <v>263.2550553619944</v>
      </c>
      <c r="H453" s="27" t="n">
        <v>0.03952735696431419</v>
      </c>
      <c r="I453" s="26" t="n">
        <v>267.8720245416737</v>
      </c>
      <c r="J453" s="27" t="n">
        <v>0.03927433699856116</v>
      </c>
      <c r="K453" s="26" t="n">
        <v>259.0606110895484</v>
      </c>
      <c r="L453" s="27" t="n">
        <v>0.04207794934507675</v>
      </c>
      <c r="M453" s="26" t="n">
        <v>244.8658248500799</v>
      </c>
      <c r="N453" s="27" t="n">
        <v>0.05204544637876832</v>
      </c>
      <c r="O453" s="26" t="n">
        <v>201.8069170585543</v>
      </c>
      <c r="P453" s="27" t="n">
        <v>0.05335217933657252</v>
      </c>
      <c r="Q453" s="26" t="n">
        <v>229.68688847666</v>
      </c>
      <c r="R453" s="27" t="n">
        <v>0.07183735561247813</v>
      </c>
      <c r="S453" s="26" t="n">
        <v>216.4556439260969</v>
      </c>
      <c r="T453" s="27" t="n">
        <v>0.08465389359781997</v>
      </c>
      <c r="U453" s="26" t="n">
        <v>234.9393209522613</v>
      </c>
      <c r="V453" s="27" t="n">
        <v>0.06391249421145327</v>
      </c>
      <c r="W453" s="26" t="n">
        <v>238.8738007733213</v>
      </c>
      <c r="X453" s="27" t="n">
        <v>0.0525863176960039</v>
      </c>
      <c r="Y453" s="26" t="n">
        <v>216.6323611419051</v>
      </c>
      <c r="Z453" s="27" t="n">
        <v>0.04004639277331694</v>
      </c>
      <c r="AA453" s="26" t="n">
        <v>229.4100141462894</v>
      </c>
      <c r="AB453" s="27" t="n">
        <v>0.07265778937449799</v>
      </c>
    </row>
    <row r="454">
      <c r="A454" s="26" t="n">
        <v>209.5970625919535</v>
      </c>
      <c r="B454" s="27" t="n">
        <v>0.07003150906240083</v>
      </c>
      <c r="C454" s="26" t="n">
        <v>213.4613685423818</v>
      </c>
      <c r="D454" s="27" t="n">
        <v>0.06740136575050437</v>
      </c>
      <c r="E454" s="26" t="n">
        <v>243.5027082374574</v>
      </c>
      <c r="F454" s="27" t="n">
        <v>0.05202254502997516</v>
      </c>
      <c r="G454" s="26" t="n">
        <v>263.3417777926001</v>
      </c>
      <c r="H454" s="27" t="n">
        <v>0.03972181827479794</v>
      </c>
      <c r="I454" s="26" t="n">
        <v>267.9524089701736</v>
      </c>
      <c r="J454" s="27" t="n">
        <v>0.03946955479191645</v>
      </c>
      <c r="K454" s="26" t="n">
        <v>259.1368535839048</v>
      </c>
      <c r="L454" s="27" t="n">
        <v>0.04229016075621113</v>
      </c>
      <c r="M454" s="26" t="n">
        <v>244.9571305521657</v>
      </c>
      <c r="N454" s="27" t="n">
        <v>0.05231607627829499</v>
      </c>
      <c r="O454" s="26" t="n">
        <v>201.9313217526429</v>
      </c>
      <c r="P454" s="27" t="n">
        <v>0.05360279587583951</v>
      </c>
      <c r="Q454" s="26" t="n">
        <v>229.780975252293</v>
      </c>
      <c r="R454" s="27" t="n">
        <v>0.07222022330811821</v>
      </c>
      <c r="S454" s="26" t="n">
        <v>216.5620675341282</v>
      </c>
      <c r="T454" s="27" t="n">
        <v>0.08509747296417031</v>
      </c>
      <c r="U454" s="26" t="n">
        <v>235.0243662467136</v>
      </c>
      <c r="V454" s="27" t="n">
        <v>0.06425430401424977</v>
      </c>
      <c r="W454" s="26" t="n">
        <v>238.9519862653741</v>
      </c>
      <c r="X454" s="27" t="n">
        <v>0.05286124598721831</v>
      </c>
      <c r="Y454" s="26" t="n">
        <v>216.737802308512</v>
      </c>
      <c r="Z454" s="27" t="n">
        <v>0.04022130312051655</v>
      </c>
      <c r="AA454" s="26" t="n">
        <v>229.490201807996</v>
      </c>
      <c r="AB454" s="27" t="n">
        <v>0.07304949566141374</v>
      </c>
    </row>
    <row r="455">
      <c r="A455" s="26" t="n">
        <v>209.7628242551589</v>
      </c>
      <c r="B455" s="27" t="n">
        <v>0.07037458400705709</v>
      </c>
      <c r="C455" s="26" t="n">
        <v>213.6014180561966</v>
      </c>
      <c r="D455" s="27" t="n">
        <v>0.06773980264985999</v>
      </c>
      <c r="E455" s="26" t="n">
        <v>243.6157658918141</v>
      </c>
      <c r="F455" s="27" t="n">
        <v>0.05228748195557892</v>
      </c>
      <c r="G455" s="26" t="n">
        <v>263.4285002232056</v>
      </c>
      <c r="H455" s="27" t="n">
        <v>0.03991723176064429</v>
      </c>
      <c r="I455" s="26" t="n">
        <v>268.0327933986736</v>
      </c>
      <c r="J455" s="27" t="n">
        <v>0.03966573615894417</v>
      </c>
      <c r="K455" s="26" t="n">
        <v>259.2130960782611</v>
      </c>
      <c r="L455" s="27" t="n">
        <v>0.04250342843328194</v>
      </c>
      <c r="M455" s="26" t="n">
        <v>245.0484362542515</v>
      </c>
      <c r="N455" s="27" t="n">
        <v>0.05258803962169244</v>
      </c>
      <c r="O455" s="26" t="n">
        <v>202.0557264467314</v>
      </c>
      <c r="P455" s="27" t="n">
        <v>0.05385459082156346</v>
      </c>
      <c r="Q455" s="26" t="n">
        <v>229.8750620279259</v>
      </c>
      <c r="R455" s="27" t="n">
        <v>0.07260481766306448</v>
      </c>
      <c r="S455" s="26" t="n">
        <v>216.6684911421596</v>
      </c>
      <c r="T455" s="27" t="n">
        <v>0.08554289464596895</v>
      </c>
      <c r="U455" s="26" t="n">
        <v>235.1094115411659</v>
      </c>
      <c r="V455" s="27" t="n">
        <v>0.06459773641562096</v>
      </c>
      <c r="W455" s="26" t="n">
        <v>239.0301717574269</v>
      </c>
      <c r="X455" s="27" t="n">
        <v>0.05313754235719288</v>
      </c>
      <c r="Y455" s="26" t="n">
        <v>216.8432434751189</v>
      </c>
      <c r="Z455" s="27" t="n">
        <v>0.04039698696928719</v>
      </c>
      <c r="AA455" s="26" t="n">
        <v>229.5703894697025</v>
      </c>
      <c r="AB455" s="27" t="n">
        <v>0.07344298319675936</v>
      </c>
    </row>
    <row r="456">
      <c r="A456" s="26" t="n">
        <v>209.9285859183642</v>
      </c>
      <c r="B456" s="27" t="n">
        <v>0.07071917203953826</v>
      </c>
      <c r="C456" s="26" t="n">
        <v>213.7414675700114</v>
      </c>
      <c r="D456" s="27" t="n">
        <v>0.06807978014956002</v>
      </c>
      <c r="E456" s="26" t="n">
        <v>243.7288235461709</v>
      </c>
      <c r="F456" s="27" t="n">
        <v>0.05255370335426476</v>
      </c>
      <c r="G456" s="26" t="n">
        <v>263.5152226538112</v>
      </c>
      <c r="H456" s="27" t="n">
        <v>0.04011360195584587</v>
      </c>
      <c r="I456" s="26" t="n">
        <v>268.1131778271734</v>
      </c>
      <c r="J456" s="27" t="n">
        <v>0.03986288570241389</v>
      </c>
      <c r="K456" s="26" t="n">
        <v>259.2893385726175</v>
      </c>
      <c r="L456" s="27" t="n">
        <v>0.04271775737768494</v>
      </c>
      <c r="M456" s="26" t="n">
        <v>245.1397419563374</v>
      </c>
      <c r="N456" s="27" t="n">
        <v>0.05286134197378362</v>
      </c>
      <c r="O456" s="26" t="n">
        <v>202.18013114082</v>
      </c>
      <c r="P456" s="27" t="n">
        <v>0.05410756948954708</v>
      </c>
      <c r="Q456" s="26" t="n">
        <v>229.9691488035589</v>
      </c>
      <c r="R456" s="27" t="n">
        <v>0.07299114307133697</v>
      </c>
      <c r="S456" s="26" t="n">
        <v>216.774914750191</v>
      </c>
      <c r="T456" s="27" t="n">
        <v>0.0859901614235199</v>
      </c>
      <c r="U456" s="26" t="n">
        <v>235.1944568356182</v>
      </c>
      <c r="V456" s="27" t="n">
        <v>0.06494279674481937</v>
      </c>
      <c r="W456" s="26" t="n">
        <v>239.1083572494797</v>
      </c>
      <c r="X456" s="27" t="n">
        <v>0.05341521266313227</v>
      </c>
      <c r="Y456" s="26" t="n">
        <v>216.9486846417258</v>
      </c>
      <c r="Z456" s="27" t="n">
        <v>0.04057344777188086</v>
      </c>
      <c r="AA456" s="26" t="n">
        <v>229.6505771314092</v>
      </c>
      <c r="AB456" s="27" t="n">
        <v>0.07383825653181514</v>
      </c>
    </row>
    <row r="457">
      <c r="A457" s="26" t="n">
        <v>210.0943475815695</v>
      </c>
      <c r="B457" s="27" t="n">
        <v>0.0710652776644758</v>
      </c>
      <c r="C457" s="26" t="n">
        <v>213.8815170838262</v>
      </c>
      <c r="D457" s="27" t="n">
        <v>0.06842130324901109</v>
      </c>
      <c r="E457" s="26" t="n">
        <v>243.8418812005276</v>
      </c>
      <c r="F457" s="27" t="n">
        <v>0.05282121452508812</v>
      </c>
      <c r="G457" s="26" t="n">
        <v>263.6019450844167</v>
      </c>
      <c r="H457" s="27" t="n">
        <v>0.04031093341361244</v>
      </c>
      <c r="I457" s="26" t="n">
        <v>268.1935622556734</v>
      </c>
      <c r="J457" s="27" t="n">
        <v>0.04006100804437317</v>
      </c>
      <c r="K457" s="26" t="n">
        <v>259.3655810669738</v>
      </c>
      <c r="L457" s="27" t="n">
        <v>0.04293315261032017</v>
      </c>
      <c r="M457" s="26" t="n">
        <v>245.2310476584232</v>
      </c>
      <c r="N457" s="27" t="n">
        <v>0.05313598890903492</v>
      </c>
      <c r="O457" s="26" t="n">
        <v>202.3045358349085</v>
      </c>
      <c r="P457" s="27" t="n">
        <v>0.05436173721526252</v>
      </c>
      <c r="Q457" s="26" t="n">
        <v>230.0632355791919</v>
      </c>
      <c r="R457" s="27" t="n">
        <v>0.07337920389885312</v>
      </c>
      <c r="S457" s="26" t="n">
        <v>216.8813383582224</v>
      </c>
      <c r="T457" s="27" t="n">
        <v>0.0864392760268214</v>
      </c>
      <c r="U457" s="26" t="n">
        <v>235.2795021300705</v>
      </c>
      <c r="V457" s="27" t="n">
        <v>0.0652894903199015</v>
      </c>
      <c r="W457" s="26" t="n">
        <v>239.1865427415325</v>
      </c>
      <c r="X457" s="27" t="n">
        <v>0.05369426277433437</v>
      </c>
      <c r="Y457" s="26" t="n">
        <v>217.0541258083327</v>
      </c>
      <c r="Z457" s="27" t="n">
        <v>0.04075068899606347</v>
      </c>
      <c r="AA457" s="26" t="n">
        <v>229.7307647931158</v>
      </c>
      <c r="AB457" s="27" t="n">
        <v>0.07423532018856868</v>
      </c>
    </row>
    <row r="458">
      <c r="A458" s="26" t="n">
        <v>210.2601092447748</v>
      </c>
      <c r="B458" s="27" t="n">
        <v>0.07141290537302819</v>
      </c>
      <c r="C458" s="26" t="n">
        <v>214.021566597641</v>
      </c>
      <c r="D458" s="27" t="n">
        <v>0.06876437693867253</v>
      </c>
      <c r="E458" s="26" t="n">
        <v>243.9549388548843</v>
      </c>
      <c r="F458" s="27" t="n">
        <v>0.05309002077622818</v>
      </c>
      <c r="G458" s="26" t="n">
        <v>263.6886675150223</v>
      </c>
      <c r="H458" s="27" t="n">
        <v>0.04050923070641069</v>
      </c>
      <c r="I458" s="26" t="n">
        <v>268.2739466841733</v>
      </c>
      <c r="J458" s="27" t="n">
        <v>0.04026010782618172</v>
      </c>
      <c r="K458" s="26" t="n">
        <v>259.4418235613301</v>
      </c>
      <c r="L458" s="27" t="n">
        <v>0.04314961917159984</v>
      </c>
      <c r="M458" s="26" t="n">
        <v>245.3223533605091</v>
      </c>
      <c r="N458" s="27" t="n">
        <v>0.05341198601136644</v>
      </c>
      <c r="O458" s="26" t="n">
        <v>202.428940528997</v>
      </c>
      <c r="P458" s="27" t="n">
        <v>0.05461709935385093</v>
      </c>
      <c r="Q458" s="26" t="n">
        <v>230.1573223548248</v>
      </c>
      <c r="R458" s="27" t="n">
        <v>0.07376900448286366</v>
      </c>
      <c r="S458" s="26" t="n">
        <v>216.9877619662537</v>
      </c>
      <c r="T458" s="27" t="n">
        <v>0.08689024113490462</v>
      </c>
      <c r="U458" s="26" t="n">
        <v>235.3645474245228</v>
      </c>
      <c r="V458" s="27" t="n">
        <v>0.06563782244728419</v>
      </c>
      <c r="W458" s="26" t="n">
        <v>239.2647282335853</v>
      </c>
      <c r="X458" s="27" t="n">
        <v>0.05397469857201754</v>
      </c>
      <c r="Y458" s="26" t="n">
        <v>217.1595669749396</v>
      </c>
      <c r="Z458" s="27" t="n">
        <v>0.04092871412518468</v>
      </c>
      <c r="AA458" s="26" t="n">
        <v>229.8109524548223</v>
      </c>
      <c r="AB458" s="27" t="n">
        <v>0.0746341786591278</v>
      </c>
    </row>
    <row r="459">
      <c r="A459" s="26" t="n">
        <v>210.4258709079801</v>
      </c>
      <c r="B459" s="27" t="n">
        <v>0.07176205964246322</v>
      </c>
      <c r="C459" s="26" t="n">
        <v>214.1616161114557</v>
      </c>
      <c r="D459" s="27" t="n">
        <v>0.06910900619966008</v>
      </c>
      <c r="E459" s="26" t="n">
        <v>244.0679965092411</v>
      </c>
      <c r="F459" s="27" t="n">
        <v>0.0533601274248077</v>
      </c>
      <c r="G459" s="26" t="n">
        <v>263.7753899456279</v>
      </c>
      <c r="H459" s="27" t="n">
        <v>0.04070849842600359</v>
      </c>
      <c r="I459" s="26" t="n">
        <v>268.3543311126733</v>
      </c>
      <c r="J459" s="27" t="n">
        <v>0.0404601897085444</v>
      </c>
      <c r="K459" s="26" t="n">
        <v>259.5180660556865</v>
      </c>
      <c r="L459" s="27" t="n">
        <v>0.04336716212145413</v>
      </c>
      <c r="M459" s="26" t="n">
        <v>245.4136590625949</v>
      </c>
      <c r="N459" s="27" t="n">
        <v>0.0536893388739579</v>
      </c>
      <c r="O459" s="26" t="n">
        <v>202.5533452230856</v>
      </c>
      <c r="P459" s="27" t="n">
        <v>0.0548736612801202</v>
      </c>
      <c r="Q459" s="26" t="n">
        <v>230.2514091304578</v>
      </c>
      <c r="R459" s="27" t="n">
        <v>0.07416054913138234</v>
      </c>
      <c r="S459" s="26" t="n">
        <v>217.0941855742851</v>
      </c>
      <c r="T459" s="27" t="n">
        <v>0.08734305937517023</v>
      </c>
      <c r="U459" s="26" t="n">
        <v>235.4495927189751</v>
      </c>
      <c r="V459" s="27" t="n">
        <v>0.06598779842129586</v>
      </c>
      <c r="W459" s="26" t="n">
        <v>239.3429137256381</v>
      </c>
      <c r="X459" s="27" t="n">
        <v>0.05425652594914487</v>
      </c>
      <c r="Y459" s="26" t="n">
        <v>217.2650081415466</v>
      </c>
      <c r="Z459" s="27" t="n">
        <v>0.0411075266582481</v>
      </c>
      <c r="AA459" s="26" t="n">
        <v>229.891140116529</v>
      </c>
      <c r="AB459" s="27" t="n">
        <v>0.07503483640512996</v>
      </c>
    </row>
    <row r="460">
      <c r="A460" s="26" t="n">
        <v>210.5916325711854</v>
      </c>
      <c r="B460" s="27" t="n">
        <v>0.07211274493573398</v>
      </c>
      <c r="C460" s="26" t="n">
        <v>214.3016656252705</v>
      </c>
      <c r="D460" s="27" t="n">
        <v>0.06945519600334531</v>
      </c>
      <c r="E460" s="26" t="n">
        <v>244.1810541635978</v>
      </c>
      <c r="F460" s="27" t="n">
        <v>0.05363153979671004</v>
      </c>
      <c r="G460" s="26" t="n">
        <v>263.8621123762334</v>
      </c>
      <c r="H460" s="27" t="n">
        <v>0.04090874118348772</v>
      </c>
      <c r="I460" s="26" t="n">
        <v>268.4347155411732</v>
      </c>
      <c r="J460" s="27" t="n">
        <v>0.0406612583715435</v>
      </c>
      <c r="K460" s="26" t="n">
        <v>259.5943085500429</v>
      </c>
      <c r="L460" s="27" t="n">
        <v>0.04358578653933447</v>
      </c>
      <c r="M460" s="26" t="n">
        <v>245.5049647646807</v>
      </c>
      <c r="N460" s="27" t="n">
        <v>0.05396805309905103</v>
      </c>
      <c r="O460" s="26" t="n">
        <v>202.6777499171741</v>
      </c>
      <c r="P460" s="27" t="n">
        <v>0.05513142838854111</v>
      </c>
      <c r="Q460" s="26" t="n">
        <v>230.3454959060907</v>
      </c>
      <c r="R460" s="27" t="n">
        <v>0.07455384212261096</v>
      </c>
      <c r="S460" s="26" t="n">
        <v>217.2006091823165</v>
      </c>
      <c r="T460" s="27" t="n">
        <v>0.08779773332272045</v>
      </c>
      <c r="U460" s="26" t="n">
        <v>235.5346380134274</v>
      </c>
      <c r="V460" s="27" t="n">
        <v>0.06633942352372242</v>
      </c>
      <c r="W460" s="26" t="n">
        <v>239.4210992176909</v>
      </c>
      <c r="X460" s="27" t="n">
        <v>0.05453975081024368</v>
      </c>
      <c r="Y460" s="26" t="n">
        <v>217.3704493081535</v>
      </c>
      <c r="Z460" s="27" t="n">
        <v>0.04128713010998204</v>
      </c>
      <c r="AA460" s="26" t="n">
        <v>229.9713277782355</v>
      </c>
      <c r="AB460" s="27" t="n">
        <v>0.07543729785714556</v>
      </c>
    </row>
    <row r="461">
      <c r="A461" s="26" t="n">
        <v>210.7573942343907</v>
      </c>
      <c r="B461" s="27" t="n">
        <v>0.07246496570105058</v>
      </c>
      <c r="C461" s="26" t="n">
        <v>214.4417151390853</v>
      </c>
      <c r="D461" s="27" t="n">
        <v>0.06980295131095013</v>
      </c>
      <c r="E461" s="26" t="n">
        <v>244.2941118179545</v>
      </c>
      <c r="F461" s="27" t="n">
        <v>0.05390426322639236</v>
      </c>
      <c r="G461" s="26" t="n">
        <v>263.948834806839</v>
      </c>
      <c r="H461" s="27" t="n">
        <v>0.04110996360933177</v>
      </c>
      <c r="I461" s="26" t="n">
        <v>268.5150999696732</v>
      </c>
      <c r="J461" s="27" t="n">
        <v>0.04086331851467023</v>
      </c>
      <c r="K461" s="26" t="n">
        <v>259.6705510443992</v>
      </c>
      <c r="L461" s="27" t="n">
        <v>0.04380549752421808</v>
      </c>
      <c r="M461" s="26" t="n">
        <v>245.5962704667666</v>
      </c>
      <c r="N461" s="27" t="n">
        <v>0.05424813429774855</v>
      </c>
      <c r="O461" s="26" t="n">
        <v>202.8021546112627</v>
      </c>
      <c r="P461" s="27" t="n">
        <v>0.05539040609324316</v>
      </c>
      <c r="Q461" s="26" t="n">
        <v>230.4395826817237</v>
      </c>
      <c r="R461" s="27" t="n">
        <v>0.07494888770436062</v>
      </c>
      <c r="S461" s="26" t="n">
        <v>217.3070327903479</v>
      </c>
      <c r="T461" s="27" t="n">
        <v>0.08825426549968871</v>
      </c>
      <c r="U461" s="26" t="n">
        <v>235.6196833078798</v>
      </c>
      <c r="V461" s="27" t="n">
        <v>0.06669270302334834</v>
      </c>
      <c r="W461" s="26" t="n">
        <v>239.4992847097438</v>
      </c>
      <c r="X461" s="27" t="n">
        <v>0.05482437907122162</v>
      </c>
      <c r="Y461" s="26" t="n">
        <v>217.4758904747603</v>
      </c>
      <c r="Z461" s="27" t="n">
        <v>0.04146752801090983</v>
      </c>
      <c r="AA461" s="26" t="n">
        <v>230.0515154399421</v>
      </c>
      <c r="AB461" s="27" t="n">
        <v>0.07584156741407802</v>
      </c>
    </row>
    <row r="462">
      <c r="A462" s="26" t="n">
        <v>210.923155897596</v>
      </c>
      <c r="B462" s="27" t="n">
        <v>0.07281872637144779</v>
      </c>
      <c r="C462" s="26" t="n">
        <v>214.5817646529</v>
      </c>
      <c r="D462" s="27" t="n">
        <v>0.07015227707313604</v>
      </c>
      <c r="E462" s="26" t="n">
        <v>244.4071694723112</v>
      </c>
      <c r="F462" s="27" t="n">
        <v>0.05417830305669552</v>
      </c>
      <c r="G462" s="26" t="n">
        <v>264.0355572374446</v>
      </c>
      <c r="H462" s="27" t="n">
        <v>0.04131217035341255</v>
      </c>
      <c r="I462" s="26" t="n">
        <v>268.5954843981731</v>
      </c>
      <c r="J462" s="27" t="n">
        <v>0.04106637485685517</v>
      </c>
      <c r="K462" s="26" t="n">
        <v>259.7467935387556</v>
      </c>
      <c r="L462" s="27" t="n">
        <v>0.04402630019460859</v>
      </c>
      <c r="M462" s="26" t="n">
        <v>245.6875761688524</v>
      </c>
      <c r="N462" s="27" t="n">
        <v>0.05452958808980868</v>
      </c>
      <c r="O462" s="26" t="n">
        <v>202.9265593053512</v>
      </c>
      <c r="P462" s="27" t="n">
        <v>0.05565059982800682</v>
      </c>
      <c r="Q462" s="26" t="n">
        <v>230.5336694573566</v>
      </c>
      <c r="R462" s="27" t="n">
        <v>0.07534569009346694</v>
      </c>
      <c r="S462" s="26" t="n">
        <v>217.4134563983793</v>
      </c>
      <c r="T462" s="27" t="n">
        <v>0.08871265837456584</v>
      </c>
      <c r="U462" s="26" t="n">
        <v>235.7047286023321</v>
      </c>
      <c r="V462" s="27" t="n">
        <v>0.06704764217549182</v>
      </c>
      <c r="W462" s="26" t="n">
        <v>239.5774702017966</v>
      </c>
      <c r="X462" s="27" t="n">
        <v>0.05511041665917964</v>
      </c>
      <c r="Y462" s="26" t="n">
        <v>217.5813316413673</v>
      </c>
      <c r="Z462" s="27" t="n">
        <v>0.04164872390742153</v>
      </c>
      <c r="AA462" s="26" t="n">
        <v>230.1317031016487</v>
      </c>
      <c r="AB462" s="27" t="n">
        <v>0.07624764944255742</v>
      </c>
    </row>
    <row r="463">
      <c r="A463" s="26" t="n">
        <v>211.0889175608013</v>
      </c>
      <c r="B463" s="27" t="n">
        <v>0.07317403136434661</v>
      </c>
      <c r="C463" s="26" t="n">
        <v>214.7218141667148</v>
      </c>
      <c r="D463" s="27" t="n">
        <v>0.07050317822958858</v>
      </c>
      <c r="E463" s="26" t="n">
        <v>244.520227126668</v>
      </c>
      <c r="F463" s="27" t="n">
        <v>0.05445366463865028</v>
      </c>
      <c r="G463" s="26" t="n">
        <v>264.1222796680502</v>
      </c>
      <c r="H463" s="27" t="n">
        <v>0.04151536608505118</v>
      </c>
      <c r="I463" s="26" t="n">
        <v>268.6758688266731</v>
      </c>
      <c r="J463" s="27" t="n">
        <v>0.04127043213649779</v>
      </c>
      <c r="K463" s="26" t="n">
        <v>259.8230360331119</v>
      </c>
      <c r="L463" s="27" t="n">
        <v>0.0442481996885367</v>
      </c>
      <c r="M463" s="26" t="n">
        <v>245.7788818709382</v>
      </c>
      <c r="N463" s="27" t="n">
        <v>0.05481242010343636</v>
      </c>
      <c r="O463" s="26" t="n">
        <v>203.0509639994398</v>
      </c>
      <c r="P463" s="27" t="n">
        <v>0.05591201504625572</v>
      </c>
      <c r="Q463" s="26" t="n">
        <v>230.6277562329896</v>
      </c>
      <c r="R463" s="27" t="n">
        <v>0.07574425347520146</v>
      </c>
      <c r="S463" s="26" t="n">
        <v>217.5198800064106</v>
      </c>
      <c r="T463" s="27" t="n">
        <v>0.08917291436152294</v>
      </c>
      <c r="U463" s="26" t="n">
        <v>235.7897738967844</v>
      </c>
      <c r="V463" s="27" t="n">
        <v>0.06740424622153622</v>
      </c>
      <c r="W463" s="26" t="n">
        <v>239.6556556938493</v>
      </c>
      <c r="X463" s="27" t="n">
        <v>0.05539786951222053</v>
      </c>
      <c r="Y463" s="26" t="n">
        <v>217.6867728079741</v>
      </c>
      <c r="Z463" s="27" t="n">
        <v>0.04183072136184507</v>
      </c>
      <c r="AA463" s="26" t="n">
        <v>230.2118907633553</v>
      </c>
      <c r="AB463" s="27" t="n">
        <v>0.07665554827632938</v>
      </c>
    </row>
    <row r="464">
      <c r="A464" s="26" t="n">
        <v>211.2546792240067</v>
      </c>
      <c r="B464" s="27" t="n">
        <v>0.07353088508111227</v>
      </c>
      <c r="C464" s="26" t="n">
        <v>214.8618636805296</v>
      </c>
      <c r="D464" s="27" t="n">
        <v>0.0708556597085977</v>
      </c>
      <c r="E464" s="26" t="n">
        <v>244.6332847810247</v>
      </c>
      <c r="F464" s="27" t="n">
        <v>0.05473035333127935</v>
      </c>
      <c r="G464" s="26" t="n">
        <v>264.2090020986557</v>
      </c>
      <c r="H464" s="27" t="n">
        <v>0.04171955549304805</v>
      </c>
      <c r="I464" s="26" t="n">
        <v>268.756253255173</v>
      </c>
      <c r="J464" s="27" t="n">
        <v>0.04147549511149513</v>
      </c>
      <c r="K464" s="26" t="n">
        <v>259.8992785274683</v>
      </c>
      <c r="L464" s="27" t="n">
        <v>0.04447120116355805</v>
      </c>
      <c r="M464" s="26" t="n">
        <v>245.8701875730241</v>
      </c>
      <c r="N464" s="27" t="n">
        <v>0.05509663597507061</v>
      </c>
      <c r="O464" s="26" t="n">
        <v>203.1753686935284</v>
      </c>
      <c r="P464" s="27" t="n">
        <v>0.05617465722104697</v>
      </c>
      <c r="Q464" s="26" t="n">
        <v>230.7218430086225</v>
      </c>
      <c r="R464" s="27" t="n">
        <v>0.07614458200267743</v>
      </c>
      <c r="S464" s="26" t="n">
        <v>217.626303614442</v>
      </c>
      <c r="T464" s="27" t="n">
        <v>0.08963503581973087</v>
      </c>
      <c r="U464" s="26" t="n">
        <v>235.8748191912366</v>
      </c>
      <c r="V464" s="27" t="n">
        <v>0.06776252038845423</v>
      </c>
      <c r="W464" s="26" t="n">
        <v>239.7338411859021</v>
      </c>
      <c r="X464" s="27" t="n">
        <v>0.05568674357925361</v>
      </c>
      <c r="Y464" s="26" t="n">
        <v>217.792213974581</v>
      </c>
      <c r="Z464" s="27" t="n">
        <v>0.04201352395251796</v>
      </c>
      <c r="AA464" s="26" t="n">
        <v>230.2920784250619</v>
      </c>
      <c r="AB464" s="27" t="n">
        <v>0.07706526821564061</v>
      </c>
    </row>
    <row r="465">
      <c r="A465" s="26" t="n">
        <v>211.420440887212</v>
      </c>
      <c r="B465" s="27" t="n">
        <v>0.07388929190660692</v>
      </c>
      <c r="C465" s="26" t="n">
        <v>215.0019131943444</v>
      </c>
      <c r="D465" s="27" t="n">
        <v>0.07120972642663131</v>
      </c>
      <c r="E465" s="26" t="n">
        <v>244.7463424353814</v>
      </c>
      <c r="F465" s="27" t="n">
        <v>0.05500837450139653</v>
      </c>
      <c r="G465" s="26" t="n">
        <v>264.2957245292613</v>
      </c>
      <c r="H465" s="27" t="n">
        <v>0.04192474328571665</v>
      </c>
      <c r="I465" s="26" t="n">
        <v>268.836637683673</v>
      </c>
      <c r="J465" s="27" t="n">
        <v>0.04168156855926933</v>
      </c>
      <c r="K465" s="26" t="n">
        <v>259.9755210218246</v>
      </c>
      <c r="L465" s="27" t="n">
        <v>0.04469530979675111</v>
      </c>
      <c r="M465" s="26" t="n">
        <v>245.9614932751099</v>
      </c>
      <c r="N465" s="27" t="n">
        <v>0.05538224134916721</v>
      </c>
      <c r="O465" s="26" t="n">
        <v>203.2997733876169</v>
      </c>
      <c r="P465" s="27" t="n">
        <v>0.0564385318450593</v>
      </c>
      <c r="Q465" s="26" t="n">
        <v>230.8159297842554</v>
      </c>
      <c r="R465" s="27" t="n">
        <v>0.0765466797962516</v>
      </c>
      <c r="S465" s="26" t="n">
        <v>217.7327272224733</v>
      </c>
      <c r="T465" s="27" t="n">
        <v>0.09009902505267749</v>
      </c>
      <c r="U465" s="26" t="n">
        <v>235.959864485689</v>
      </c>
      <c r="V465" s="27" t="n">
        <v>0.06812246988832851</v>
      </c>
      <c r="W465" s="26" t="n">
        <v>239.8120266779549</v>
      </c>
      <c r="X465" s="27" t="n">
        <v>0.05597704481979584</v>
      </c>
      <c r="Y465" s="26" t="n">
        <v>217.897655141188</v>
      </c>
      <c r="Z465" s="27" t="n">
        <v>0.04219713527385974</v>
      </c>
      <c r="AA465" s="26" t="n">
        <v>230.3722660867685</v>
      </c>
      <c r="AB465" s="27" t="n">
        <v>0.07747681352661745</v>
      </c>
    </row>
    <row r="466">
      <c r="A466" s="26" t="n">
        <v>211.5862025504173</v>
      </c>
      <c r="B466" s="27" t="n">
        <v>0.07424925620873718</v>
      </c>
      <c r="C466" s="26" t="n">
        <v>215.1419627081592</v>
      </c>
      <c r="D466" s="27" t="n">
        <v>0.07156538328790554</v>
      </c>
      <c r="E466" s="26" t="n">
        <v>244.8594000897381</v>
      </c>
      <c r="F466" s="27" t="n">
        <v>0.0552877335234017</v>
      </c>
      <c r="G466" s="26" t="n">
        <v>264.3824469598669</v>
      </c>
      <c r="H466" s="27" t="n">
        <v>0.04213093419091769</v>
      </c>
      <c r="I466" s="26" t="n">
        <v>268.9170221121728</v>
      </c>
      <c r="J466" s="27" t="n">
        <v>0.04188865727679439</v>
      </c>
      <c r="K466" s="26" t="n">
        <v>260.0517635161809</v>
      </c>
      <c r="L466" s="27" t="n">
        <v>0.0449205307847125</v>
      </c>
      <c r="M466" s="26" t="n">
        <v>246.0527989771957</v>
      </c>
      <c r="N466" s="27" t="n">
        <v>0.05566924187797854</v>
      </c>
      <c r="O466" s="26" t="n">
        <v>203.4241780817054</v>
      </c>
      <c r="P466" s="27" t="n">
        <v>0.05670364443058012</v>
      </c>
      <c r="Q466" s="26" t="n">
        <v>230.9100165598884</v>
      </c>
      <c r="R466" s="27" t="n">
        <v>0.07695055094292076</v>
      </c>
      <c r="S466" s="26" t="n">
        <v>217.8391508305047</v>
      </c>
      <c r="T466" s="27" t="n">
        <v>0.09056488430748028</v>
      </c>
      <c r="U466" s="26" t="n">
        <v>236.0449097801413</v>
      </c>
      <c r="V466" s="27" t="n">
        <v>0.06848409991786604</v>
      </c>
      <c r="W466" s="26" t="n">
        <v>239.8902121700078</v>
      </c>
      <c r="X466" s="27" t="n">
        <v>0.05626877920376843</v>
      </c>
      <c r="Y466" s="26" t="n">
        <v>218.0030963077949</v>
      </c>
      <c r="Z466" s="27" t="n">
        <v>0.04238155893644384</v>
      </c>
      <c r="AA466" s="26" t="n">
        <v>230.4524537484751</v>
      </c>
      <c r="AB466" s="27" t="n">
        <v>0.07789018844064119</v>
      </c>
    </row>
    <row r="467">
      <c r="A467" s="26" t="n">
        <v>211.7519642136226</v>
      </c>
      <c r="B467" s="27" t="n">
        <v>0.07461078233799701</v>
      </c>
      <c r="C467" s="26" t="n">
        <v>215.282012221974</v>
      </c>
      <c r="D467" s="27" t="n">
        <v>0.07192263518394906</v>
      </c>
      <c r="E467" s="26" t="n">
        <v>244.9724577440948</v>
      </c>
      <c r="F467" s="27" t="n">
        <v>0.05556843577907216</v>
      </c>
      <c r="G467" s="26" t="n">
        <v>264.4691693904724</v>
      </c>
      <c r="H467" s="27" t="n">
        <v>0.042338132956091</v>
      </c>
      <c r="I467" s="26" t="n">
        <v>268.9974065406728</v>
      </c>
      <c r="J467" s="27" t="n">
        <v>0.04209676608062187</v>
      </c>
      <c r="K467" s="26" t="n">
        <v>260.1280060105373</v>
      </c>
      <c r="L467" s="27" t="n">
        <v>0.04514686934355105</v>
      </c>
      <c r="M467" s="26" t="n">
        <v>246.1441046792816</v>
      </c>
      <c r="N467" s="27" t="n">
        <v>0.05595764322132817</v>
      </c>
      <c r="O467" s="26" t="n">
        <v>203.548582775794</v>
      </c>
      <c r="P467" s="27" t="n">
        <v>0.05697000050949012</v>
      </c>
      <c r="Q467" s="26" t="n">
        <v>231.0041033355213</v>
      </c>
      <c r="R467" s="27" t="n">
        <v>0.07735619949571336</v>
      </c>
      <c r="S467" s="26" t="n">
        <v>217.9455744385361</v>
      </c>
      <c r="T467" s="27" t="n">
        <v>0.09103261577419729</v>
      </c>
      <c r="U467" s="26" t="n">
        <v>236.1299550745936</v>
      </c>
      <c r="V467" s="27" t="n">
        <v>0.06884741565790695</v>
      </c>
      <c r="W467" s="26" t="n">
        <v>239.9683976620606</v>
      </c>
      <c r="X467" s="27" t="n">
        <v>0.05656195271129041</v>
      </c>
      <c r="Y467" s="26" t="n">
        <v>218.1085374744018</v>
      </c>
      <c r="Z467" s="27" t="n">
        <v>0.0425667985670708</v>
      </c>
      <c r="AA467" s="26" t="n">
        <v>230.5326414101817</v>
      </c>
      <c r="AB467" s="27" t="n">
        <v>0.07830539715371682</v>
      </c>
    </row>
    <row r="468">
      <c r="A468" s="26" t="n">
        <v>211.9177258768279</v>
      </c>
      <c r="B468" s="27" t="n">
        <v>0.07497387462700629</v>
      </c>
      <c r="C468" s="26" t="n">
        <v>215.4220617357887</v>
      </c>
      <c r="D468" s="27" t="n">
        <v>0.07228148699316221</v>
      </c>
      <c r="E468" s="26" t="n">
        <v>245.0855153984516</v>
      </c>
      <c r="F468" s="27" t="n">
        <v>0.05585048665734959</v>
      </c>
      <c r="G468" s="26" t="n">
        <v>264.555891821078</v>
      </c>
      <c r="H468" s="27" t="n">
        <v>0.04254634434828726</v>
      </c>
      <c r="I468" s="26" t="n">
        <v>269.0777909691727</v>
      </c>
      <c r="J468" s="27" t="n">
        <v>0.0423058998069052</v>
      </c>
      <c r="K468" s="26" t="n">
        <v>260.2042485048937</v>
      </c>
      <c r="L468" s="27" t="n">
        <v>0.0453743307088794</v>
      </c>
      <c r="M468" s="26" t="n">
        <v>246.2354103813674</v>
      </c>
      <c r="N468" s="27" t="n">
        <v>0.05624745104638231</v>
      </c>
      <c r="O468" s="26" t="n">
        <v>203.6729874698825</v>
      </c>
      <c r="P468" s="27" t="n">
        <v>0.05723760563324726</v>
      </c>
      <c r="Q468" s="26" t="n">
        <v>231.0981901111543</v>
      </c>
      <c r="R468" s="27" t="n">
        <v>0.07776362947307658</v>
      </c>
      <c r="S468" s="26" t="n">
        <v>218.0519980465675</v>
      </c>
      <c r="T468" s="27" t="n">
        <v>0.09150222158513413</v>
      </c>
      <c r="U468" s="26" t="n">
        <v>236.2150003690459</v>
      </c>
      <c r="V468" s="27" t="n">
        <v>0.06921242227292908</v>
      </c>
      <c r="W468" s="26" t="n">
        <v>240.0465831541134</v>
      </c>
      <c r="X468" s="27" t="n">
        <v>0.05685657133246724</v>
      </c>
      <c r="Y468" s="26" t="n">
        <v>218.2139786410087</v>
      </c>
      <c r="Z468" s="27" t="n">
        <v>0.04275285780884102</v>
      </c>
      <c r="AA468" s="26" t="n">
        <v>230.6128290718883</v>
      </c>
      <c r="AB468" s="27" t="n">
        <v>0.07872244382583918</v>
      </c>
    </row>
    <row r="469">
      <c r="A469" s="26" t="n">
        <v>212.0834875400332</v>
      </c>
      <c r="B469" s="27" t="n">
        <v>0.07533853739004327</v>
      </c>
      <c r="C469" s="26" t="n">
        <v>215.5621112496035</v>
      </c>
      <c r="D469" s="27" t="n">
        <v>0.07264194358037183</v>
      </c>
      <c r="E469" s="26" t="n">
        <v>245.1985730528083</v>
      </c>
      <c r="F469" s="27" t="n">
        <v>0.05613389155412386</v>
      </c>
      <c r="G469" s="26" t="n">
        <v>264.6426142516835</v>
      </c>
      <c r="H469" s="27" t="n">
        <v>0.04275557315419867</v>
      </c>
      <c r="I469" s="26" t="n">
        <v>269.1581753976727</v>
      </c>
      <c r="J469" s="27" t="n">
        <v>0.04251606331142353</v>
      </c>
      <c r="K469" s="26" t="n">
        <v>260.28049099925</v>
      </c>
      <c r="L469" s="27" t="n">
        <v>0.04560292013580606</v>
      </c>
      <c r="M469" s="26" t="n">
        <v>246.3267160834533</v>
      </c>
      <c r="N469" s="27" t="n">
        <v>0.05653867102741676</v>
      </c>
      <c r="O469" s="26" t="n">
        <v>203.7973921639711</v>
      </c>
      <c r="P469" s="27" t="n">
        <v>0.05750646537286788</v>
      </c>
      <c r="Q469" s="26" t="n">
        <v>231.1922768867872</v>
      </c>
      <c r="R469" s="27" t="n">
        <v>0.07817284485825853</v>
      </c>
      <c r="S469" s="26" t="n">
        <v>218.1584216545988</v>
      </c>
      <c r="T469" s="27" t="n">
        <v>0.09197370381414864</v>
      </c>
      <c r="U469" s="26" t="n">
        <v>236.3000456634982</v>
      </c>
      <c r="V469" s="27" t="n">
        <v>0.06957912491054621</v>
      </c>
      <c r="W469" s="26" t="n">
        <v>240.1247686461662</v>
      </c>
      <c r="X469" s="27" t="n">
        <v>0.05715264106717528</v>
      </c>
      <c r="Y469" s="26" t="n">
        <v>218.3194198076156</v>
      </c>
      <c r="Z469" s="27" t="n">
        <v>0.04293974032122833</v>
      </c>
      <c r="AA469" s="26" t="n">
        <v>230.6930167335949</v>
      </c>
      <c r="AB469" s="27" t="n">
        <v>0.07914133258035187</v>
      </c>
    </row>
    <row r="470">
      <c r="A470" s="26" t="n">
        <v>212.2492492032385</v>
      </c>
      <c r="B470" s="27" t="n">
        <v>0.0757047749225732</v>
      </c>
      <c r="C470" s="26" t="n">
        <v>215.7021607634183</v>
      </c>
      <c r="D470" s="27" t="n">
        <v>0.07300400979637946</v>
      </c>
      <c r="E470" s="26" t="n">
        <v>245.311630707165</v>
      </c>
      <c r="F470" s="27" t="n">
        <v>0.05641865587201281</v>
      </c>
      <c r="G470" s="26" t="n">
        <v>264.7293366822892</v>
      </c>
      <c r="H470" s="27" t="n">
        <v>0.04296582418018854</v>
      </c>
      <c r="I470" s="26" t="n">
        <v>269.2385598261726</v>
      </c>
      <c r="J470" s="27" t="n">
        <v>0.04272726146960393</v>
      </c>
      <c r="K470" s="26" t="n">
        <v>260.3567334936064</v>
      </c>
      <c r="L470" s="27" t="n">
        <v>0.04583264289892359</v>
      </c>
      <c r="M470" s="26" t="n">
        <v>246.4180217855391</v>
      </c>
      <c r="N470" s="27" t="n">
        <v>0.05683130884557958</v>
      </c>
      <c r="O470" s="26" t="n">
        <v>203.9217968580596</v>
      </c>
      <c r="P470" s="27" t="n">
        <v>0.0577765853189063</v>
      </c>
      <c r="Q470" s="26" t="n">
        <v>231.2863636624202</v>
      </c>
      <c r="R470" s="27" t="n">
        <v>0.07858384959868554</v>
      </c>
      <c r="S470" s="26" t="n">
        <v>218.2648452626302</v>
      </c>
      <c r="T470" s="27" t="n">
        <v>0.09244706447595206</v>
      </c>
      <c r="U470" s="26" t="n">
        <v>236.3850909579505</v>
      </c>
      <c r="V470" s="27" t="n">
        <v>0.06994752870100081</v>
      </c>
      <c r="W470" s="26" t="n">
        <v>240.202954138219</v>
      </c>
      <c r="X470" s="27" t="n">
        <v>0.05745016792484321</v>
      </c>
      <c r="Y470" s="26" t="n">
        <v>218.4248609742226</v>
      </c>
      <c r="Z470" s="27" t="n">
        <v>0.04312744978015343</v>
      </c>
      <c r="AA470" s="26" t="n">
        <v>230.7732043953015</v>
      </c>
      <c r="AB470" s="27" t="n">
        <v>0.07956206750330246</v>
      </c>
    </row>
    <row r="471">
      <c r="A471" s="26" t="n">
        <v>212.4150108664439</v>
      </c>
      <c r="B471" s="27" t="n">
        <v>0.0760725915007711</v>
      </c>
      <c r="C471" s="26" t="n">
        <v>215.8422102772331</v>
      </c>
      <c r="D471" s="27" t="n">
        <v>0.07336769047750641</v>
      </c>
      <c r="E471" s="26" t="n">
        <v>245.4246883615218</v>
      </c>
      <c r="F471" s="27" t="n">
        <v>0.05670478502013754</v>
      </c>
      <c r="G471" s="26" t="n">
        <v>264.8160591128948</v>
      </c>
      <c r="H471" s="27" t="n">
        <v>0.04317710225232015</v>
      </c>
      <c r="I471" s="26" t="n">
        <v>269.3189442546726</v>
      </c>
      <c r="J471" s="27" t="n">
        <v>0.04293949917654313</v>
      </c>
      <c r="K471" s="26" t="n">
        <v>260.4329759879628</v>
      </c>
      <c r="L471" s="27" t="n">
        <v>0.04606350429229569</v>
      </c>
      <c r="M471" s="26" t="n">
        <v>246.5093274876249</v>
      </c>
      <c r="N471" s="27" t="n">
        <v>0.05712537018864991</v>
      </c>
      <c r="O471" s="26" t="n">
        <v>204.0462015521481</v>
      </c>
      <c r="P471" s="27" t="n">
        <v>0.05804797108143307</v>
      </c>
      <c r="Q471" s="26" t="n">
        <v>231.3804504380531</v>
      </c>
      <c r="R471" s="27" t="n">
        <v>0.07899664760533485</v>
      </c>
      <c r="S471" s="26" t="n">
        <v>218.3712688706616</v>
      </c>
      <c r="T471" s="27" t="n">
        <v>0.09292230552540741</v>
      </c>
      <c r="U471" s="26" t="n">
        <v>236.4701362524028</v>
      </c>
      <c r="V471" s="27" t="n">
        <v>0.07031763875665199</v>
      </c>
      <c r="W471" s="26" t="n">
        <v>240.2811396302718</v>
      </c>
      <c r="X471" s="27" t="n">
        <v>0.05774915792422794</v>
      </c>
      <c r="Y471" s="26" t="n">
        <v>218.5303021408295</v>
      </c>
      <c r="Z471" s="27" t="n">
        <v>0.04331598987805808</v>
      </c>
      <c r="AA471" s="26" t="n">
        <v>230.8533920570081</v>
      </c>
      <c r="AB471" s="27" t="n">
        <v>0.07998465264279295</v>
      </c>
    </row>
    <row r="472">
      <c r="A472" s="26" t="n">
        <v>212.5807725296492</v>
      </c>
      <c r="B472" s="27" t="n">
        <v>0.0764419913810401</v>
      </c>
      <c r="C472" s="26" t="n">
        <v>215.9822597910478</v>
      </c>
      <c r="D472" s="27" t="n">
        <v>0.07373299044513107</v>
      </c>
      <c r="E472" s="26" t="n">
        <v>245.5377460158785</v>
      </c>
      <c r="F472" s="27" t="n">
        <v>0.05699228441389418</v>
      </c>
      <c r="G472" s="26" t="n">
        <v>264.9027815435003</v>
      </c>
      <c r="H472" s="27" t="n">
        <v>0.04338941221638404</v>
      </c>
      <c r="I472" s="26" t="n">
        <v>269.3993286831725</v>
      </c>
      <c r="J472" s="27" t="n">
        <v>0.0431527813470271</v>
      </c>
      <c r="K472" s="26" t="n">
        <v>260.5092184823191</v>
      </c>
      <c r="L472" s="27" t="n">
        <v>0.04629550962944378</v>
      </c>
      <c r="M472" s="26" t="n">
        <v>246.6006331897108</v>
      </c>
      <c r="N472" s="27" t="n">
        <v>0.05742086075079168</v>
      </c>
      <c r="O472" s="26" t="n">
        <v>204.1706062462367</v>
      </c>
      <c r="P472" s="27" t="n">
        <v>0.05832062829001079</v>
      </c>
      <c r="Q472" s="26" t="n">
        <v>231.4745372136861</v>
      </c>
      <c r="R472" s="27" t="n">
        <v>0.07941124275210223</v>
      </c>
      <c r="S472" s="26" t="n">
        <v>218.477692478693</v>
      </c>
      <c r="T472" s="27" t="n">
        <v>0.09339942885682499</v>
      </c>
      <c r="U472" s="26" t="n">
        <v>236.5551815468551</v>
      </c>
      <c r="V472" s="27" t="n">
        <v>0.07068946017145725</v>
      </c>
      <c r="W472" s="26" t="n">
        <v>240.3593251223246</v>
      </c>
      <c r="X472" s="27" t="n">
        <v>0.05804961709318704</v>
      </c>
      <c r="Y472" s="26" t="n">
        <v>218.6357433074363</v>
      </c>
      <c r="Z472" s="27" t="n">
        <v>0.04350536432397936</v>
      </c>
      <c r="AA472" s="26" t="n">
        <v>230.9335797187147</v>
      </c>
      <c r="AB472" s="27" t="n">
        <v>0.08040909200832477</v>
      </c>
    </row>
    <row r="473">
      <c r="A473" s="26" t="n">
        <v>212.7465341928544</v>
      </c>
      <c r="B473" s="27" t="n">
        <v>0.07681297879952444</v>
      </c>
      <c r="C473" s="26" t="n">
        <v>216.1223093048626</v>
      </c>
      <c r="D473" s="27" t="n">
        <v>0.07409991450522334</v>
      </c>
      <c r="E473" s="26" t="n">
        <v>245.6508036702352</v>
      </c>
      <c r="F473" s="27" t="n">
        <v>0.05728115947472122</v>
      </c>
      <c r="G473" s="26" t="n">
        <v>264.9895039741059</v>
      </c>
      <c r="H473" s="27" t="n">
        <v>0.04360275893792546</v>
      </c>
      <c r="I473" s="26" t="n">
        <v>269.4797131116725</v>
      </c>
      <c r="J473" s="27" t="n">
        <v>0.04336711291555061</v>
      </c>
      <c r="K473" s="26" t="n">
        <v>260.5854609766754</v>
      </c>
      <c r="L473" s="27" t="n">
        <v>0.04652866424333003</v>
      </c>
      <c r="M473" s="26" t="n">
        <v>246.6919388917966</v>
      </c>
      <c r="N473" s="27" t="n">
        <v>0.05771778623230454</v>
      </c>
      <c r="O473" s="26" t="n">
        <v>204.2950109403253</v>
      </c>
      <c r="P473" s="27" t="n">
        <v>0.05859456259366828</v>
      </c>
      <c r="Q473" s="26" t="n">
        <v>231.568623989319</v>
      </c>
      <c r="R473" s="27" t="n">
        <v>0.07982763887516485</v>
      </c>
      <c r="S473" s="26" t="n">
        <v>218.5841160867244</v>
      </c>
      <c r="T473" s="27" t="n">
        <v>0.09387843630325551</v>
      </c>
      <c r="U473" s="26" t="n">
        <v>236.6402268413074</v>
      </c>
      <c r="V473" s="27" t="n">
        <v>0.07106299802044939</v>
      </c>
      <c r="W473" s="26" t="n">
        <v>240.4375106143774</v>
      </c>
      <c r="X473" s="27" t="n">
        <v>0.0583515514684463</v>
      </c>
      <c r="Y473" s="26" t="n">
        <v>218.7411844740433</v>
      </c>
      <c r="Z473" s="27" t="n">
        <v>0.04369557684362434</v>
      </c>
      <c r="AA473" s="26" t="n">
        <v>231.0137673804213</v>
      </c>
      <c r="AB473" s="27" t="n">
        <v>0.08083538957013925</v>
      </c>
    </row>
    <row r="474">
      <c r="A474" s="26" t="n">
        <v>212.9122958560598</v>
      </c>
      <c r="B474" s="27" t="n">
        <v>0.07718555797161765</v>
      </c>
      <c r="C474" s="26" t="n">
        <v>216.2623588186774</v>
      </c>
      <c r="D474" s="27" t="n">
        <v>0.07446846744787211</v>
      </c>
      <c r="E474" s="26" t="n">
        <v>245.7638613245919</v>
      </c>
      <c r="F474" s="27" t="n">
        <v>0.05757141562986325</v>
      </c>
      <c r="G474" s="26" t="n">
        <v>265.0762264047114</v>
      </c>
      <c r="H474" s="27" t="n">
        <v>0.04381714730226939</v>
      </c>
      <c r="I474" s="26" t="n">
        <v>269.5600975401724</v>
      </c>
      <c r="J474" s="27" t="n">
        <v>0.04358249883633491</v>
      </c>
      <c r="K474" s="26" t="n">
        <v>260.6617034710318</v>
      </c>
      <c r="L474" s="27" t="n">
        <v>0.04676297348633993</v>
      </c>
      <c r="M474" s="26" t="n">
        <v>246.7832445938824</v>
      </c>
      <c r="N474" s="27" t="n">
        <v>0.0580161523393686</v>
      </c>
      <c r="O474" s="26" t="n">
        <v>204.4194156344138</v>
      </c>
      <c r="P474" s="27" t="n">
        <v>0.05886977966087222</v>
      </c>
      <c r="Q474" s="26" t="n">
        <v>231.662710764952</v>
      </c>
      <c r="R474" s="27" t="n">
        <v>0.08024583977233968</v>
      </c>
      <c r="S474" s="26" t="n">
        <v>218.6905396947557</v>
      </c>
      <c r="T474" s="27" t="n">
        <v>0.09435932963577924</v>
      </c>
      <c r="U474" s="26" t="n">
        <v>236.7252721357597</v>
      </c>
      <c r="V474" s="27" t="n">
        <v>0.0714382573592071</v>
      </c>
      <c r="W474" s="26" t="n">
        <v>240.5156961064302</v>
      </c>
      <c r="X474" s="27" t="n">
        <v>0.05865496709536402</v>
      </c>
      <c r="Y474" s="26" t="n">
        <v>218.8466256406501</v>
      </c>
      <c r="Z474" s="27" t="n">
        <v>0.04388663117944502</v>
      </c>
      <c r="AA474" s="26" t="n">
        <v>231.0939550421279</v>
      </c>
      <c r="AB474" s="27" t="n">
        <v>0.08126354925855264</v>
      </c>
    </row>
    <row r="475">
      <c r="A475" s="26" t="n">
        <v>213.078057519265</v>
      </c>
      <c r="B475" s="27" t="n">
        <v>0.07755973309146483</v>
      </c>
      <c r="C475" s="26" t="n">
        <v>216.4024083324922</v>
      </c>
      <c r="D475" s="27" t="n">
        <v>0.07483865404680805</v>
      </c>
      <c r="E475" s="26" t="n">
        <v>245.8769189789487</v>
      </c>
      <c r="F475" s="27" t="n">
        <v>0.05786305831213002</v>
      </c>
      <c r="G475" s="26" t="n">
        <v>265.162948835317</v>
      </c>
      <c r="H475" s="27" t="n">
        <v>0.04403258221454553</v>
      </c>
      <c r="I475" s="26" t="n">
        <v>269.6404819686724</v>
      </c>
      <c r="J475" s="27" t="n">
        <v>0.04379894408334431</v>
      </c>
      <c r="K475" s="26" t="n">
        <v>260.7379459653881</v>
      </c>
      <c r="L475" s="27" t="n">
        <v>0.04699844273026164</v>
      </c>
      <c r="M475" s="26" t="n">
        <v>246.8745502959683</v>
      </c>
      <c r="N475" s="27" t="n">
        <v>0.05831596478378604</v>
      </c>
      <c r="O475" s="26" t="n">
        <v>204.5438203285023</v>
      </c>
      <c r="P475" s="27" t="n">
        <v>0.05914628517949823</v>
      </c>
      <c r="Q475" s="26" t="n">
        <v>231.7567975405849</v>
      </c>
      <c r="R475" s="27" t="n">
        <v>0.08066584920243663</v>
      </c>
      <c r="S475" s="26" t="n">
        <v>218.7969633027871</v>
      </c>
      <c r="T475" s="27" t="n">
        <v>0.09484211056279419</v>
      </c>
      <c r="U475" s="26" t="n">
        <v>236.810317430212</v>
      </c>
      <c r="V475" s="27" t="n">
        <v>0.07181524322332082</v>
      </c>
      <c r="W475" s="26" t="n">
        <v>240.593881598483</v>
      </c>
      <c r="X475" s="27" t="n">
        <v>0.05895987002768963</v>
      </c>
      <c r="Y475" s="26" t="n">
        <v>218.952066807257</v>
      </c>
      <c r="Z475" s="27" t="n">
        <v>0.04407853109071383</v>
      </c>
      <c r="AA475" s="26" t="n">
        <v>231.1741427038345</v>
      </c>
      <c r="AB475" s="27" t="n">
        <v>0.08169357496328744</v>
      </c>
    </row>
    <row r="476">
      <c r="A476" s="26" t="n">
        <v>213.2438191824704</v>
      </c>
      <c r="B476" s="27" t="n">
        <v>0.07793550833146171</v>
      </c>
      <c r="C476" s="26" t="n">
        <v>216.5424578463069</v>
      </c>
      <c r="D476" s="27" t="n">
        <v>0.07521047905892145</v>
      </c>
      <c r="E476" s="26" t="n">
        <v>245.9899766333054</v>
      </c>
      <c r="F476" s="27" t="n">
        <v>0.05815609295965157</v>
      </c>
      <c r="G476" s="26" t="n">
        <v>265.2496712659226</v>
      </c>
      <c r="H476" s="27" t="n">
        <v>0.0442490685997116</v>
      </c>
      <c r="I476" s="26" t="n">
        <v>269.7208663971722</v>
      </c>
      <c r="J476" s="27" t="n">
        <v>0.04401645365030171</v>
      </c>
      <c r="K476" s="26" t="n">
        <v>260.8141884597445</v>
      </c>
      <c r="L476" s="27" t="n">
        <v>0.0472350773662655</v>
      </c>
      <c r="M476" s="26" t="n">
        <v>246.9658559980541</v>
      </c>
      <c r="N476" s="27" t="n">
        <v>0.05861722928271788</v>
      </c>
      <c r="O476" s="26" t="n">
        <v>204.6682250225909</v>
      </c>
      <c r="P476" s="27" t="n">
        <v>0.0594240848567981</v>
      </c>
      <c r="Q476" s="26" t="n">
        <v>231.8508843162179</v>
      </c>
      <c r="R476" s="27" t="n">
        <v>0.08108767088460701</v>
      </c>
      <c r="S476" s="26" t="n">
        <v>218.9033869108185</v>
      </c>
      <c r="T476" s="27" t="n">
        <v>0.09532678072929925</v>
      </c>
      <c r="U476" s="26" t="n">
        <v>236.8953627246643</v>
      </c>
      <c r="V476" s="27" t="n">
        <v>0.07219396062785229</v>
      </c>
      <c r="W476" s="26" t="n">
        <v>240.6720670905358</v>
      </c>
      <c r="X476" s="27" t="n">
        <v>0.05926626632731817</v>
      </c>
      <c r="Y476" s="26" t="n">
        <v>219.0575079738639</v>
      </c>
      <c r="Z476" s="27" t="n">
        <v>0.04427128035359894</v>
      </c>
      <c r="AA476" s="26" t="n">
        <v>231.2543303655411</v>
      </c>
      <c r="AB476" s="27" t="n">
        <v>0.0821254705327976</v>
      </c>
    </row>
    <row r="477">
      <c r="A477" s="26" t="n">
        <v>213.4095808456757</v>
      </c>
      <c r="B477" s="27" t="n">
        <v>0.07831288784174564</v>
      </c>
      <c r="C477" s="26" t="n">
        <v>216.6825073601217</v>
      </c>
      <c r="D477" s="27" t="n">
        <v>0.0755839472237731</v>
      </c>
      <c r="E477" s="26" t="n">
        <v>246.1030342876621</v>
      </c>
      <c r="F477" s="27" t="n">
        <v>0.05845052501562892</v>
      </c>
      <c r="G477" s="26" t="n">
        <v>265.3363936965281</v>
      </c>
      <c r="H477" s="27" t="n">
        <v>0.04446661140257545</v>
      </c>
      <c r="I477" s="26" t="n">
        <v>269.8012508256722</v>
      </c>
      <c r="J477" s="27" t="n">
        <v>0.04423503255070268</v>
      </c>
      <c r="K477" s="26" t="n">
        <v>260.8904309541008</v>
      </c>
      <c r="L477" s="27" t="n">
        <v>0.04747288280487957</v>
      </c>
      <c r="M477" s="26" t="n">
        <v>247.0571617001399</v>
      </c>
      <c r="N477" s="27" t="n">
        <v>0.05891995155841585</v>
      </c>
      <c r="O477" s="26" t="n">
        <v>204.7926297166794</v>
      </c>
      <c r="P477" s="27" t="n">
        <v>0.05970318441936602</v>
      </c>
      <c r="Q477" s="26" t="n">
        <v>231.9449710918508</v>
      </c>
      <c r="R477" s="27" t="n">
        <v>0.08151130849768752</v>
      </c>
      <c r="S477" s="26" t="n">
        <v>219.0098105188498</v>
      </c>
      <c r="T477" s="27" t="n">
        <v>0.09581334171617693</v>
      </c>
      <c r="U477" s="26" t="n">
        <v>236.9804080191166</v>
      </c>
      <c r="V477" s="27" t="n">
        <v>0.07257441456678901</v>
      </c>
      <c r="W477" s="26" t="n">
        <v>240.7502525825886</v>
      </c>
      <c r="X477" s="27" t="n">
        <v>0.05957416206404124</v>
      </c>
      <c r="Y477" s="26" t="n">
        <v>219.1629491404709</v>
      </c>
      <c r="Z477" s="27" t="n">
        <v>0.04446488276124052</v>
      </c>
      <c r="AA477" s="26" t="n">
        <v>231.3345180272477</v>
      </c>
      <c r="AB477" s="27" t="n">
        <v>0.08255923977358917</v>
      </c>
    </row>
    <row r="478">
      <c r="A478" s="26" t="n">
        <v>213.575342508881</v>
      </c>
      <c r="B478" s="27" t="n">
        <v>0.07869187574968455</v>
      </c>
      <c r="C478" s="26" t="n">
        <v>216.8225568739365</v>
      </c>
      <c r="D478" s="27" t="n">
        <v>0.0759590632631022</v>
      </c>
      <c r="E478" s="26" t="n">
        <v>246.2160919420188</v>
      </c>
      <c r="F478" s="27" t="n">
        <v>0.05874635992808044</v>
      </c>
      <c r="G478" s="26" t="n">
        <v>265.4231161271338</v>
      </c>
      <c r="H478" s="27" t="n">
        <v>0.0446852155878171</v>
      </c>
      <c r="I478" s="26" t="n">
        <v>269.8816352541721</v>
      </c>
      <c r="J478" s="27" t="n">
        <v>0.04445468581782825</v>
      </c>
      <c r="K478" s="26" t="n">
        <v>260.9666734484572</v>
      </c>
      <c r="L478" s="27" t="n">
        <v>0.04771186447596457</v>
      </c>
      <c r="M478" s="26" t="n">
        <v>247.1484674022258</v>
      </c>
      <c r="N478" s="27" t="n">
        <v>0.05922413733795048</v>
      </c>
      <c r="O478" s="26" t="n">
        <v>204.9170344107679</v>
      </c>
      <c r="P478" s="27" t="n">
        <v>0.05998358961310307</v>
      </c>
      <c r="Q478" s="26" t="n">
        <v>232.0390578674838</v>
      </c>
      <c r="R478" s="27" t="n">
        <v>0.08193676567953902</v>
      </c>
      <c r="S478" s="26" t="n">
        <v>219.1162341268812</v>
      </c>
      <c r="T478" s="27" t="n">
        <v>0.09630179503947202</v>
      </c>
      <c r="U478" s="26" t="n">
        <v>237.065453313569</v>
      </c>
      <c r="V478" s="27" t="n">
        <v>0.07295661001249282</v>
      </c>
      <c r="W478" s="26" t="n">
        <v>240.8284380746414</v>
      </c>
      <c r="X478" s="27" t="n">
        <v>0.05988356331529168</v>
      </c>
      <c r="Y478" s="26" t="n">
        <v>219.2683903070778</v>
      </c>
      <c r="Z478" s="27" t="n">
        <v>0.04465934212382693</v>
      </c>
      <c r="AA478" s="26" t="n">
        <v>231.4147056889543</v>
      </c>
      <c r="AB478" s="27" t="n">
        <v>0.08299488644953695</v>
      </c>
    </row>
    <row r="479">
      <c r="A479" s="26" t="n">
        <v>213.7411041720863</v>
      </c>
      <c r="B479" s="27" t="n">
        <v>0.07907247615935852</v>
      </c>
      <c r="C479" s="26" t="n">
        <v>216.9626063877513</v>
      </c>
      <c r="D479" s="27" t="n">
        <v>0.07633583188032597</v>
      </c>
      <c r="E479" s="26" t="n">
        <v>246.3291495963755</v>
      </c>
      <c r="F479" s="27" t="n">
        <v>0.05904360314958462</v>
      </c>
      <c r="G479" s="26" t="n">
        <v>265.5098385577393</v>
      </c>
      <c r="H479" s="27" t="n">
        <v>0.04490488614000817</v>
      </c>
      <c r="I479" s="26" t="n">
        <v>269.9620196826721</v>
      </c>
      <c r="J479" s="27" t="n">
        <v>0.04467541850475659</v>
      </c>
      <c r="K479" s="26" t="n">
        <v>261.0429159428136</v>
      </c>
      <c r="L479" s="27" t="n">
        <v>0.04795202782868566</v>
      </c>
      <c r="M479" s="26" t="n">
        <v>247.2397731043116</v>
      </c>
      <c r="N479" s="27" t="n">
        <v>0.05952979235293376</v>
      </c>
      <c r="O479" s="26" t="n">
        <v>205.0414391048565</v>
      </c>
      <c r="P479" s="27" t="n">
        <v>0.06026530620317812</v>
      </c>
      <c r="Q479" s="26" t="n">
        <v>232.1331446431167</v>
      </c>
      <c r="R479" s="27" t="n">
        <v>0.0823640460263808</v>
      </c>
      <c r="S479" s="26" t="n">
        <v>219.2226577349126</v>
      </c>
      <c r="T479" s="27" t="n">
        <v>0.09679214214966832</v>
      </c>
      <c r="U479" s="26" t="n">
        <v>237.1504986080213</v>
      </c>
      <c r="V479" s="27" t="n">
        <v>0.07334055191514199</v>
      </c>
      <c r="W479" s="26" t="n">
        <v>240.9066235666942</v>
      </c>
      <c r="X479" s="27" t="n">
        <v>0.0601944761658855</v>
      </c>
      <c r="Y479" s="26" t="n">
        <v>219.3738314736847</v>
      </c>
      <c r="Z479" s="27" t="n">
        <v>0.04485466226867123</v>
      </c>
      <c r="AA479" s="26" t="n">
        <v>231.4948933506609</v>
      </c>
      <c r="AB479" s="27" t="n">
        <v>0.0834324142811952</v>
      </c>
    </row>
    <row r="480">
      <c r="A480" s="26" t="n">
        <v>213.9068658352916</v>
      </c>
      <c r="B480" s="27" t="n">
        <v>0.07945469315103657</v>
      </c>
      <c r="C480" s="26" t="n">
        <v>217.102655901566</v>
      </c>
      <c r="D480" s="27" t="n">
        <v>0.07671425776003643</v>
      </c>
      <c r="E480" s="26" t="n">
        <v>246.4422072507323</v>
      </c>
      <c r="F480" s="27" t="n">
        <v>0.05934226013701688</v>
      </c>
      <c r="G480" s="26" t="n">
        <v>265.5965609883449</v>
      </c>
      <c r="H480" s="27" t="n">
        <v>0.04512562806363101</v>
      </c>
      <c r="I480" s="26" t="n">
        <v>270.042404111172</v>
      </c>
      <c r="J480" s="27" t="n">
        <v>0.04489723568437298</v>
      </c>
      <c r="K480" s="26" t="n">
        <v>261.1191584371699</v>
      </c>
      <c r="L480" s="27" t="n">
        <v>0.04819337833148406</v>
      </c>
      <c r="M480" s="26" t="n">
        <v>247.3310788063974</v>
      </c>
      <c r="N480" s="27" t="n">
        <v>0.05983692233923756</v>
      </c>
      <c r="O480" s="26" t="n">
        <v>205.165843798945</v>
      </c>
      <c r="P480" s="27" t="n">
        <v>0.0605483399739883</v>
      </c>
      <c r="Q480" s="26" t="n">
        <v>232.2272314187497</v>
      </c>
      <c r="R480" s="27" t="n">
        <v>0.08279315309212013</v>
      </c>
      <c r="S480" s="26" t="n">
        <v>219.329081342944</v>
      </c>
      <c r="T480" s="27" t="n">
        <v>0.09728438443096257</v>
      </c>
      <c r="U480" s="26" t="n">
        <v>237.2355439024736</v>
      </c>
      <c r="V480" s="27" t="n">
        <v>0.07372624520216979</v>
      </c>
      <c r="W480" s="26" t="n">
        <v>240.984809058747</v>
      </c>
      <c r="X480" s="27" t="n">
        <v>0.06050690670775757</v>
      </c>
      <c r="Y480" s="26" t="n">
        <v>219.4792726402916</v>
      </c>
      <c r="Z480" s="27" t="n">
        <v>0.0450508470402884</v>
      </c>
      <c r="AA480" s="26" t="n">
        <v>231.5750810123675</v>
      </c>
      <c r="AB480" s="27" t="n">
        <v>0.08387182694510413</v>
      </c>
    </row>
    <row r="481">
      <c r="A481" s="26" t="n">
        <v>214.0726274984969</v>
      </c>
      <c r="B481" s="27" t="n">
        <v>0.07983853078064913</v>
      </c>
      <c r="C481" s="26" t="n">
        <v>217.2427054153808</v>
      </c>
      <c r="D481" s="27" t="n">
        <v>0.07709434556748941</v>
      </c>
      <c r="E481" s="26" t="n">
        <v>246.555264905089</v>
      </c>
      <c r="F481" s="27" t="n">
        <v>0.05964233635128368</v>
      </c>
      <c r="G481" s="26" t="n">
        <v>265.6832834189504</v>
      </c>
      <c r="H481" s="27" t="n">
        <v>0.04534744638309626</v>
      </c>
      <c r="I481" s="26" t="n">
        <v>270.122788539672</v>
      </c>
      <c r="J481" s="27" t="n">
        <v>0.04512014244937883</v>
      </c>
      <c r="K481" s="26" t="n">
        <v>261.1954009315263</v>
      </c>
      <c r="L481" s="27" t="n">
        <v>0.04843592147204467</v>
      </c>
      <c r="M481" s="26" t="n">
        <v>247.4223845084833</v>
      </c>
      <c r="N481" s="27" t="n">
        <v>0.06014553303670753</v>
      </c>
      <c r="O481" s="26" t="n">
        <v>205.2902484930336</v>
      </c>
      <c r="P481" s="27" t="n">
        <v>0.06083269672911581</v>
      </c>
      <c r="Q481" s="26" t="n">
        <v>232.3213181943826</v>
      </c>
      <c r="R481" s="27" t="n">
        <v>0.08322409038767642</v>
      </c>
      <c r="S481" s="26" t="n">
        <v>219.4355049509753</v>
      </c>
      <c r="T481" s="27" t="n">
        <v>0.09777852320053598</v>
      </c>
      <c r="U481" s="26" t="n">
        <v>237.3205891969259</v>
      </c>
      <c r="V481" s="27" t="n">
        <v>0.0741136947776949</v>
      </c>
      <c r="W481" s="26" t="n">
        <v>241.0629945507998</v>
      </c>
      <c r="X481" s="27" t="n">
        <v>0.06082086103969304</v>
      </c>
      <c r="Y481" s="26" t="n">
        <v>219.5847138068985</v>
      </c>
      <c r="Z481" s="27" t="n">
        <v>0.04524790030047241</v>
      </c>
      <c r="AA481" s="26" t="n">
        <v>231.6552686740741</v>
      </c>
      <c r="AB481" s="27" t="n">
        <v>0.08431312807309074</v>
      </c>
    </row>
    <row r="482">
      <c r="A482" s="26" t="n">
        <v>214.2383891617022</v>
      </c>
      <c r="B482" s="27" t="n">
        <v>0.08022399307925442</v>
      </c>
      <c r="C482" s="26" t="n">
        <v>217.3827549291956</v>
      </c>
      <c r="D482" s="27" t="n">
        <v>0.0774760999480895</v>
      </c>
      <c r="E482" s="26" t="n">
        <v>246.6683225594457</v>
      </c>
      <c r="F482" s="27" t="n">
        <v>0.05994383725705057</v>
      </c>
      <c r="G482" s="26" t="n">
        <v>265.770005849556</v>
      </c>
      <c r="H482" s="27" t="n">
        <v>0.04557034614275948</v>
      </c>
      <c r="I482" s="26" t="n">
        <v>270.2031729681719</v>
      </c>
      <c r="J482" s="27" t="n">
        <v>0.04534414391229892</v>
      </c>
      <c r="K482" s="26" t="n">
        <v>261.2716434258826</v>
      </c>
      <c r="L482" s="27" t="n">
        <v>0.04867966275726221</v>
      </c>
      <c r="M482" s="26" t="n">
        <v>247.5136902105691</v>
      </c>
      <c r="N482" s="27" t="n">
        <v>0.06045563018887139</v>
      </c>
      <c r="O482" s="26" t="n">
        <v>205.4146531871222</v>
      </c>
      <c r="P482" s="27" t="n">
        <v>0.06111838229128329</v>
      </c>
      <c r="Q482" s="26" t="n">
        <v>232.4154049700156</v>
      </c>
      <c r="R482" s="27" t="n">
        <v>0.08365686138030183</v>
      </c>
      <c r="S482" s="26" t="n">
        <v>219.5419285590067</v>
      </c>
      <c r="T482" s="27" t="n">
        <v>0.09827455970782364</v>
      </c>
      <c r="U482" s="26" t="n">
        <v>237.4056344913782</v>
      </c>
      <c r="V482" s="27" t="n">
        <v>0.07450290552194754</v>
      </c>
      <c r="W482" s="26" t="n">
        <v>241.1411800428526</v>
      </c>
      <c r="X482" s="27" t="n">
        <v>0.06113634526705508</v>
      </c>
      <c r="Y482" s="26" t="n">
        <v>219.6901549735055</v>
      </c>
      <c r="Z482" s="27" t="n">
        <v>0.04544582592837397</v>
      </c>
      <c r="AA482" s="26" t="n">
        <v>231.7354563357807</v>
      </c>
      <c r="AB482" s="27" t="n">
        <v>0.08475632125156668</v>
      </c>
    </row>
    <row r="483">
      <c r="A483" s="26" t="n">
        <v>214.4041508249076</v>
      </c>
      <c r="B483" s="27" t="n">
        <v>0.0806110840524992</v>
      </c>
      <c r="C483" s="26" t="n">
        <v>217.5228044430104</v>
      </c>
      <c r="D483" s="27" t="n">
        <v>0.07785952552686899</v>
      </c>
      <c r="E483" s="26" t="n">
        <v>246.7813802138024</v>
      </c>
      <c r="F483" s="27" t="n">
        <v>0.06024676832246698</v>
      </c>
      <c r="G483" s="26" t="n">
        <v>265.8567282801616</v>
      </c>
      <c r="H483" s="27" t="n">
        <v>0.04579433240693631</v>
      </c>
      <c r="I483" s="26" t="n">
        <v>270.2835573966719</v>
      </c>
      <c r="J483" s="27" t="n">
        <v>0.04556924520548742</v>
      </c>
      <c r="K483" s="26" t="n">
        <v>261.3478859202389</v>
      </c>
      <c r="L483" s="27" t="n">
        <v>0.04892460771320629</v>
      </c>
      <c r="M483" s="26" t="n">
        <v>247.6049959126549</v>
      </c>
      <c r="N483" s="27" t="n">
        <v>0.06076721954264356</v>
      </c>
      <c r="O483" s="26" t="n">
        <v>205.5390578812107</v>
      </c>
      <c r="P483" s="27" t="n">
        <v>0.06140540250230685</v>
      </c>
      <c r="Q483" s="26" t="n">
        <v>232.5094917456485</v>
      </c>
      <c r="R483" s="27" t="n">
        <v>0.08409146949289562</v>
      </c>
      <c r="S483" s="26" t="n">
        <v>219.6483521670381</v>
      </c>
      <c r="T483" s="27" t="n">
        <v>0.09877249513378081</v>
      </c>
      <c r="U483" s="26" t="n">
        <v>237.4906797858305</v>
      </c>
      <c r="V483" s="27" t="n">
        <v>0.0748938822906892</v>
      </c>
      <c r="W483" s="26" t="n">
        <v>241.2193655349054</v>
      </c>
      <c r="X483" s="27" t="n">
        <v>0.06145336550150587</v>
      </c>
      <c r="Y483" s="26" t="n">
        <v>219.7955961401123</v>
      </c>
      <c r="Z483" s="27" t="n">
        <v>0.04564462782057847</v>
      </c>
      <c r="AA483" s="26" t="n">
        <v>231.8156439974873</v>
      </c>
      <c r="AB483" s="27" t="n">
        <v>0.08520141002081874</v>
      </c>
    </row>
    <row r="484">
      <c r="A484" s="26" t="n">
        <v>214.5699124881128</v>
      </c>
      <c r="B484" s="27" t="n">
        <v>0.08099980768007527</v>
      </c>
      <c r="C484" s="26" t="n">
        <v>217.6628539568251</v>
      </c>
      <c r="D484" s="27" t="n">
        <v>0.07824462690796059</v>
      </c>
      <c r="E484" s="26" t="n">
        <v>246.8944378681592</v>
      </c>
      <c r="F484" s="27" t="n">
        <v>0.06055113501888573</v>
      </c>
      <c r="G484" s="26" t="n">
        <v>265.9434507107671</v>
      </c>
      <c r="H484" s="27" t="n">
        <v>0.04601941025991566</v>
      </c>
      <c r="I484" s="26" t="n">
        <v>270.3639418251718</v>
      </c>
      <c r="J484" s="27" t="n">
        <v>0.0457954514811324</v>
      </c>
      <c r="K484" s="26" t="n">
        <v>261.4241284145953</v>
      </c>
      <c r="L484" s="27" t="n">
        <v>0.04917076188508271</v>
      </c>
      <c r="M484" s="26" t="n">
        <v>247.6963016147408</v>
      </c>
      <c r="N484" s="27" t="n">
        <v>0.06108030684802381</v>
      </c>
      <c r="O484" s="26" t="n">
        <v>205.6634625752993</v>
      </c>
      <c r="P484" s="27" t="n">
        <v>0.06169376322304604</v>
      </c>
      <c r="Q484" s="26" t="n">
        <v>232.6035785212815</v>
      </c>
      <c r="R484" s="27" t="n">
        <v>0.0845279181033152</v>
      </c>
      <c r="S484" s="26" t="n">
        <v>219.7547757750694</v>
      </c>
      <c r="T484" s="27" t="n">
        <v>0.09927233059014742</v>
      </c>
      <c r="U484" s="26" t="n">
        <v>237.5757250802828</v>
      </c>
      <c r="V484" s="27" t="n">
        <v>0.07528662991462699</v>
      </c>
      <c r="W484" s="26" t="n">
        <v>241.2975510269582</v>
      </c>
      <c r="X484" s="27" t="n">
        <v>0.06177192786072403</v>
      </c>
      <c r="Y484" s="26" t="n">
        <v>219.9010373067192</v>
      </c>
      <c r="Z484" s="27" t="n">
        <v>0.0458443098911842</v>
      </c>
      <c r="AA484" s="26" t="n">
        <v>231.8958316591939</v>
      </c>
      <c r="AB484" s="27" t="n">
        <v>0.08564839787429689</v>
      </c>
    </row>
    <row r="485">
      <c r="A485" s="26" t="n">
        <v>214.7356741513182</v>
      </c>
      <c r="B485" s="27" t="n">
        <v>0.08139016791517001</v>
      </c>
      <c r="C485" s="26" t="n">
        <v>217.8029034706399</v>
      </c>
      <c r="D485" s="27" t="n">
        <v>0.07863140867406551</v>
      </c>
      <c r="E485" s="26" t="n">
        <v>247.0074955225159</v>
      </c>
      <c r="F485" s="27" t="n">
        <v>0.0608569428205777</v>
      </c>
      <c r="G485" s="26" t="n">
        <v>266.0301731413728</v>
      </c>
      <c r="H485" s="27" t="n">
        <v>0.04624558480597345</v>
      </c>
      <c r="I485" s="26" t="n">
        <v>270.4443262536718</v>
      </c>
      <c r="J485" s="27" t="n">
        <v>0.04602276791125856</v>
      </c>
      <c r="K485" s="26" t="n">
        <v>261.5003709089517</v>
      </c>
      <c r="L485" s="27" t="n">
        <v>0.04941813083719399</v>
      </c>
      <c r="M485" s="26" t="n">
        <v>247.7876073168266</v>
      </c>
      <c r="N485" s="27" t="n">
        <v>0.06139489785779195</v>
      </c>
      <c r="O485" s="26" t="n">
        <v>205.7878672693878</v>
      </c>
      <c r="P485" s="27" t="n">
        <v>0.06198347033335259</v>
      </c>
      <c r="Q485" s="26" t="n">
        <v>232.6976652969144</v>
      </c>
      <c r="R485" s="27" t="n">
        <v>0.08496621054368167</v>
      </c>
      <c r="S485" s="26" t="n">
        <v>219.8611993831008</v>
      </c>
      <c r="T485" s="27" t="n">
        <v>0.09977406711871066</v>
      </c>
      <c r="U485" s="26" t="n">
        <v>237.6607703747351</v>
      </c>
      <c r="V485" s="27" t="n">
        <v>0.0756811531988219</v>
      </c>
      <c r="W485" s="26" t="n">
        <v>241.375736519011</v>
      </c>
      <c r="X485" s="27" t="n">
        <v>0.06209203846811692</v>
      </c>
      <c r="Y485" s="26" t="n">
        <v>220.0064784733262</v>
      </c>
      <c r="Z485" s="27" t="n">
        <v>0.04604487607188122</v>
      </c>
      <c r="AA485" s="26" t="n">
        <v>231.9760193209005</v>
      </c>
      <c r="AB485" s="27" t="n">
        <v>0.08609728825789641</v>
      </c>
    </row>
    <row r="486">
      <c r="A486" s="26" t="n">
        <v>214.9014358145235</v>
      </c>
      <c r="B486" s="27" t="n">
        <v>0.08178216868391124</v>
      </c>
      <c r="C486" s="26" t="n">
        <v>217.9429529844547</v>
      </c>
      <c r="D486" s="27" t="n">
        <v>0.07901987538591466</v>
      </c>
      <c r="E486" s="26" t="n">
        <v>247.1205531768726</v>
      </c>
      <c r="F486" s="27" t="n">
        <v>0.06116419720444242</v>
      </c>
      <c r="G486" s="26" t="n">
        <v>266.1168955719783</v>
      </c>
      <c r="H486" s="27" t="n">
        <v>0.04647286116938277</v>
      </c>
      <c r="I486" s="26" t="n">
        <v>270.5247106821716</v>
      </c>
      <c r="J486" s="27" t="n">
        <v>0.04625119968772939</v>
      </c>
      <c r="K486" s="26" t="n">
        <v>261.576613403308</v>
      </c>
      <c r="L486" s="27" t="n">
        <v>0.04966672015289557</v>
      </c>
      <c r="M486" s="26" t="n">
        <v>247.8789130189125</v>
      </c>
      <c r="N486" s="27" t="n">
        <v>0.06171099832719667</v>
      </c>
      <c r="O486" s="26" t="n">
        <v>205.9122719634763</v>
      </c>
      <c r="P486" s="27" t="n">
        <v>0.06227452973201565</v>
      </c>
      <c r="Q486" s="26" t="n">
        <v>232.7917520725474</v>
      </c>
      <c r="R486" s="27" t="n">
        <v>0.08540635009968058</v>
      </c>
      <c r="S486" s="26" t="n">
        <v>219.9676229911322</v>
      </c>
      <c r="T486" s="27" t="n">
        <v>0.1002777056905646</v>
      </c>
      <c r="U486" s="26" t="n">
        <v>237.7458156691874</v>
      </c>
      <c r="V486" s="27" t="n">
        <v>0.07607745692209121</v>
      </c>
      <c r="W486" s="26" t="n">
        <v>241.4539220110638</v>
      </c>
      <c r="X486" s="27" t="n">
        <v>0.06241370345252763</v>
      </c>
      <c r="Y486" s="26" t="n">
        <v>220.1119196399331</v>
      </c>
      <c r="Z486" s="27" t="n">
        <v>0.04624633031203008</v>
      </c>
      <c r="AA486" s="26" t="n">
        <v>232.0562069826071</v>
      </c>
      <c r="AB486" s="27" t="n">
        <v>0.08654808456923489</v>
      </c>
    </row>
    <row r="487">
      <c r="A487" s="26" t="n">
        <v>215.0671974777288</v>
      </c>
      <c r="B487" s="27" t="n">
        <v>0.08217581388480751</v>
      </c>
      <c r="C487" s="26" t="n">
        <v>218.0830024982695</v>
      </c>
      <c r="D487" s="27" t="n">
        <v>0.07941003158172559</v>
      </c>
      <c r="E487" s="26" t="n">
        <v>247.2336108312293</v>
      </c>
      <c r="F487" s="27" t="n">
        <v>0.06147290364971329</v>
      </c>
      <c r="G487" s="26" t="n">
        <v>266.2036180025839</v>
      </c>
      <c r="H487" s="27" t="n">
        <v>0.04670124449442412</v>
      </c>
      <c r="I487" s="26" t="n">
        <v>270.6050951106716</v>
      </c>
      <c r="J487" s="27" t="n">
        <v>0.04648075202224605</v>
      </c>
      <c r="K487" s="26" t="n">
        <v>261.6528558976644</v>
      </c>
      <c r="L487" s="27" t="n">
        <v>0.04991653543455304</v>
      </c>
      <c r="M487" s="26" t="n">
        <v>247.9702187209983</v>
      </c>
      <c r="N487" s="27" t="n">
        <v>0.06202861401363973</v>
      </c>
      <c r="O487" s="26" t="n">
        <v>206.0366766575649</v>
      </c>
      <c r="P487" s="27" t="n">
        <v>0.06256694733670524</v>
      </c>
      <c r="Q487" s="26" t="n">
        <v>232.8858388481803</v>
      </c>
      <c r="R487" s="27" t="n">
        <v>0.08584834000985846</v>
      </c>
      <c r="S487" s="26" t="n">
        <v>220.0740465991636</v>
      </c>
      <c r="T487" s="27" t="n">
        <v>0.1007832472053678</v>
      </c>
      <c r="U487" s="26" t="n">
        <v>237.8308609636397</v>
      </c>
      <c r="V487" s="27" t="n">
        <v>0.0764755458364047</v>
      </c>
      <c r="W487" s="26" t="n">
        <v>241.5321075031166</v>
      </c>
      <c r="X487" s="27" t="n">
        <v>0.06273692894793696</v>
      </c>
      <c r="Y487" s="26" t="n">
        <v>220.21736080654</v>
      </c>
      <c r="Z487" s="27" t="n">
        <v>0.04644867657874121</v>
      </c>
      <c r="AA487" s="26" t="n">
        <v>232.1363946443137</v>
      </c>
      <c r="AB487" s="27" t="n">
        <v>0.08700079015692574</v>
      </c>
    </row>
    <row r="488">
      <c r="A488" s="26" t="n">
        <v>215.2329591409341</v>
      </c>
      <c r="B488" s="27" t="n">
        <v>0.08257110738818231</v>
      </c>
      <c r="C488" s="26" t="n">
        <v>218.2230520120843</v>
      </c>
      <c r="D488" s="27" t="n">
        <v>0.07980188177665205</v>
      </c>
      <c r="E488" s="26" t="n">
        <v>247.3466684855861</v>
      </c>
      <c r="F488" s="27" t="n">
        <v>0.06178306763765832</v>
      </c>
      <c r="G488" s="26" t="n">
        <v>266.2903404331894</v>
      </c>
      <c r="H488" s="27" t="n">
        <v>0.0469307399453938</v>
      </c>
      <c r="I488" s="26" t="n">
        <v>270.6854795391715</v>
      </c>
      <c r="J488" s="27" t="n">
        <v>0.04671143014634672</v>
      </c>
      <c r="K488" s="26" t="n">
        <v>261.7290983920207</v>
      </c>
      <c r="L488" s="27" t="n">
        <v>0.05016758230349361</v>
      </c>
      <c r="M488" s="26" t="n">
        <v>248.0615244230842</v>
      </c>
      <c r="N488" s="27" t="n">
        <v>0.06234775067635522</v>
      </c>
      <c r="O488" s="26" t="n">
        <v>206.1610813516534</v>
      </c>
      <c r="P488" s="27" t="n">
        <v>0.06286072908391283</v>
      </c>
      <c r="Q488" s="26" t="n">
        <v>232.9799256238132</v>
      </c>
      <c r="R488" s="27" t="n">
        <v>0.08629218346491419</v>
      </c>
      <c r="S488" s="26" t="n">
        <v>220.180470207195</v>
      </c>
      <c r="T488" s="27" t="n">
        <v>0.1012906924905996</v>
      </c>
      <c r="U488" s="26" t="n">
        <v>237.915906258092</v>
      </c>
      <c r="V488" s="27" t="n">
        <v>0.07687542466627621</v>
      </c>
      <c r="W488" s="26" t="n">
        <v>241.6102929951694</v>
      </c>
      <c r="X488" s="27" t="n">
        <v>0.06306172109316056</v>
      </c>
      <c r="Y488" s="26" t="n">
        <v>220.3228019731469</v>
      </c>
      <c r="Z488" s="27" t="n">
        <v>0.04665191885695468</v>
      </c>
      <c r="AA488" s="26" t="n">
        <v>232.2165823060203</v>
      </c>
      <c r="AB488" s="27" t="n">
        <v>0.08745540831984526</v>
      </c>
    </row>
    <row r="489">
      <c r="A489" s="26" t="n">
        <v>215.3987208041394</v>
      </c>
      <c r="B489" s="27" t="n">
        <v>0.08296805303560335</v>
      </c>
      <c r="C489" s="26" t="n">
        <v>218.363101525899</v>
      </c>
      <c r="D489" s="27" t="n">
        <v>0.08019543046222942</v>
      </c>
      <c r="E489" s="26" t="n">
        <v>247.4597261399428</v>
      </c>
      <c r="F489" s="27" t="n">
        <v>0.06209469465127639</v>
      </c>
      <c r="G489" s="26" t="n">
        <v>266.377062863795</v>
      </c>
      <c r="H489" s="27" t="n">
        <v>0.04716135270661024</v>
      </c>
      <c r="I489" s="26" t="n">
        <v>270.7658639676715</v>
      </c>
      <c r="J489" s="27" t="n">
        <v>0.04694323931140251</v>
      </c>
      <c r="K489" s="26" t="n">
        <v>261.8053408863771</v>
      </c>
      <c r="L489" s="27" t="n">
        <v>0.05041986639995766</v>
      </c>
      <c r="M489" s="26" t="n">
        <v>248.15283012517</v>
      </c>
      <c r="N489" s="27" t="n">
        <v>0.06266841407608353</v>
      </c>
      <c r="O489" s="26" t="n">
        <v>206.2854860457419</v>
      </c>
      <c r="P489" s="27" t="n">
        <v>0.06315588092888963</v>
      </c>
      <c r="Q489" s="26" t="n">
        <v>233.0740123994462</v>
      </c>
      <c r="R489" s="27" t="n">
        <v>0.08673788360698628</v>
      </c>
      <c r="S489" s="26" t="n">
        <v>220.2868938152263</v>
      </c>
      <c r="T489" s="27" t="n">
        <v>0.1018000423008132</v>
      </c>
      <c r="U489" s="26" t="n">
        <v>238.0009515525443</v>
      </c>
      <c r="V489" s="27" t="n">
        <v>0.07727709810814794</v>
      </c>
      <c r="W489" s="26" t="n">
        <v>241.6884784872223</v>
      </c>
      <c r="X489" s="27" t="n">
        <v>0.06338808603153992</v>
      </c>
      <c r="Y489" s="26" t="n">
        <v>220.4282431397538</v>
      </c>
      <c r="Z489" s="27" t="n">
        <v>0.04685606114952022</v>
      </c>
      <c r="AA489" s="26" t="n">
        <v>232.2967699677268</v>
      </c>
      <c r="AB489" s="27" t="n">
        <v>0.08791194230639712</v>
      </c>
    </row>
    <row r="490">
      <c r="A490" s="26" t="n">
        <v>215.5644824673447</v>
      </c>
      <c r="B490" s="27" t="n">
        <v>0.08336665463930593</v>
      </c>
      <c r="C490" s="26" t="n">
        <v>218.5031510397138</v>
      </c>
      <c r="D490" s="27" t="n">
        <v>0.08059068210581269</v>
      </c>
      <c r="E490" s="26" t="n">
        <v>247.5727837942995</v>
      </c>
      <c r="F490" s="27" t="n">
        <v>0.06240779017498764</v>
      </c>
      <c r="G490" s="26" t="n">
        <v>266.4637852944006</v>
      </c>
      <c r="H490" s="27" t="n">
        <v>0.04739308798242038</v>
      </c>
      <c r="I490" s="26" t="n">
        <v>270.8462483961714</v>
      </c>
      <c r="J490" s="27" t="n">
        <v>0.04717618478861288</v>
      </c>
      <c r="K490" s="26" t="n">
        <v>261.8815833807334</v>
      </c>
      <c r="L490" s="27" t="n">
        <v>0.05067339338304582</v>
      </c>
      <c r="M490" s="26" t="n">
        <v>248.2441358272558</v>
      </c>
      <c r="N490" s="27" t="n">
        <v>0.06299060997474003</v>
      </c>
      <c r="O490" s="26" t="n">
        <v>206.4098907398305</v>
      </c>
      <c r="P490" s="27" t="n">
        <v>0.06345240884558208</v>
      </c>
      <c r="Q490" s="26" t="n">
        <v>233.1680991750791</v>
      </c>
      <c r="R490" s="27" t="n">
        <v>0.08718544352893465</v>
      </c>
      <c r="S490" s="26" t="n">
        <v>220.3933174232577</v>
      </c>
      <c r="T490" s="27" t="n">
        <v>0.1023112973168877</v>
      </c>
      <c r="U490" s="26" t="n">
        <v>238.0859968469966</v>
      </c>
      <c r="V490" s="27" t="n">
        <v>0.07768057082976909</v>
      </c>
      <c r="W490" s="26" t="n">
        <v>241.7666639792751</v>
      </c>
      <c r="X490" s="27" t="n">
        <v>0.06371602991063025</v>
      </c>
      <c r="Y490" s="26" t="n">
        <v>220.5336843063607</v>
      </c>
      <c r="Z490" s="27" t="n">
        <v>0.04706110747727738</v>
      </c>
      <c r="AA490" s="26" t="n">
        <v>232.3769576294335</v>
      </c>
      <c r="AB490" s="27" t="n">
        <v>0.08837039531376986</v>
      </c>
    </row>
    <row r="491">
      <c r="A491" s="26" t="n">
        <v>215.73024413055</v>
      </c>
      <c r="B491" s="27" t="n">
        <v>0.08376691598161089</v>
      </c>
      <c r="C491" s="26" t="n">
        <v>218.6432005535286</v>
      </c>
      <c r="D491" s="27" t="n">
        <v>0.0809876411500098</v>
      </c>
      <c r="E491" s="26" t="n">
        <v>247.6858414486563</v>
      </c>
      <c r="F491" s="27" t="n">
        <v>0.06272235969431941</v>
      </c>
      <c r="G491" s="26" t="n">
        <v>266.5505077250061</v>
      </c>
      <c r="H491" s="27" t="n">
        <v>0.04762595099720295</v>
      </c>
      <c r="I491" s="26" t="n">
        <v>270.9266328246714</v>
      </c>
      <c r="J491" s="27" t="n">
        <v>0.04741027186899882</v>
      </c>
      <c r="K491" s="26" t="n">
        <v>261.9578258750897</v>
      </c>
      <c r="L491" s="27" t="n">
        <v>0.05092816893066597</v>
      </c>
      <c r="M491" s="26" t="n">
        <v>248.3354415293417</v>
      </c>
      <c r="N491" s="27" t="n">
        <v>0.06331434413507854</v>
      </c>
      <c r="O491" s="26" t="n">
        <v>206.5342954339191</v>
      </c>
      <c r="P491" s="27" t="n">
        <v>0.06375031882656457</v>
      </c>
      <c r="Q491" s="26" t="n">
        <v>233.2621859507121</v>
      </c>
      <c r="R491" s="27" t="n">
        <v>0.08763486627361894</v>
      </c>
      <c r="S491" s="26" t="n">
        <v>220.4997410312891</v>
      </c>
      <c r="T491" s="27" t="n">
        <v>0.1028244581452778</v>
      </c>
      <c r="U491" s="26" t="n">
        <v>238.1710421414489</v>
      </c>
      <c r="V491" s="27" t="n">
        <v>0.07808584746956958</v>
      </c>
      <c r="W491" s="26" t="n">
        <v>241.8448494713278</v>
      </c>
      <c r="X491" s="27" t="n">
        <v>0.06404555888188065</v>
      </c>
      <c r="Y491" s="26" t="n">
        <v>220.6391254729676</v>
      </c>
      <c r="Z491" s="27" t="n">
        <v>0.04726706187913635</v>
      </c>
      <c r="AA491" s="26" t="n">
        <v>232.4571452911401</v>
      </c>
      <c r="AB491" s="27" t="n">
        <v>0.08883077048719189</v>
      </c>
    </row>
    <row r="492">
      <c r="A492" s="26" t="n">
        <v>215.8960057937553</v>
      </c>
      <c r="B492" s="27" t="n">
        <v>0.0841688408143379</v>
      </c>
      <c r="C492" s="26" t="n">
        <v>218.7832500673434</v>
      </c>
      <c r="D492" s="27" t="n">
        <v>0.08138631201210893</v>
      </c>
      <c r="E492" s="26" t="n">
        <v>247.798899103013</v>
      </c>
      <c r="F492" s="27" t="n">
        <v>0.06303840869558744</v>
      </c>
      <c r="G492" s="26" t="n">
        <v>266.6372301556117</v>
      </c>
      <c r="H492" s="27" t="n">
        <v>0.04785994699537088</v>
      </c>
      <c r="I492" s="26" t="n">
        <v>271.0070172531713</v>
      </c>
      <c r="J492" s="27" t="n">
        <v>0.04764550586339466</v>
      </c>
      <c r="K492" s="26" t="n">
        <v>262.0340683694461</v>
      </c>
      <c r="L492" s="27" t="n">
        <v>0.05118419873947593</v>
      </c>
      <c r="M492" s="26" t="n">
        <v>248.4267472314275</v>
      </c>
      <c r="N492" s="27" t="n">
        <v>0.06363962232034941</v>
      </c>
      <c r="O492" s="26" t="n">
        <v>206.6587001280076</v>
      </c>
      <c r="P492" s="27" t="n">
        <v>0.06404961688297006</v>
      </c>
      <c r="Q492" s="26" t="n">
        <v>233.356272726345</v>
      </c>
      <c r="R492" s="27" t="n">
        <v>0.08808615483317081</v>
      </c>
      <c r="S492" s="26" t="n">
        <v>220.6061646393204</v>
      </c>
      <c r="T492" s="27" t="n">
        <v>0.1033395253172621</v>
      </c>
      <c r="U492" s="26" t="n">
        <v>238.2560874359012</v>
      </c>
      <c r="V492" s="27" t="n">
        <v>0.07849293263602578</v>
      </c>
      <c r="W492" s="26" t="n">
        <v>241.9230349633807</v>
      </c>
      <c r="X492" s="27" t="n">
        <v>0.06437667910030993</v>
      </c>
      <c r="Y492" s="26" t="n">
        <v>220.7445666395745</v>
      </c>
      <c r="Z492" s="27" t="n">
        <v>0.0474739284121591</v>
      </c>
      <c r="AA492" s="26" t="n">
        <v>232.5373329528466</v>
      </c>
      <c r="AB492" s="27" t="n">
        <v>0.08929307091918025</v>
      </c>
    </row>
    <row r="493">
      <c r="A493" s="26" t="n">
        <v>216.0617674569606</v>
      </c>
      <c r="B493" s="27" t="n">
        <v>0.084572432858212</v>
      </c>
      <c r="C493" s="26" t="n">
        <v>218.9232995811582</v>
      </c>
      <c r="D493" s="27" t="n">
        <v>0.08178669908349886</v>
      </c>
      <c r="E493" s="26" t="n">
        <v>247.9119567573697</v>
      </c>
      <c r="F493" s="27" t="n">
        <v>0.06335594266557174</v>
      </c>
      <c r="G493" s="26" t="n">
        <v>266.7239525862173</v>
      </c>
      <c r="H493" s="27" t="n">
        <v>0.04809508124137265</v>
      </c>
      <c r="I493" s="26" t="n">
        <v>271.0874016816713</v>
      </c>
      <c r="J493" s="27" t="n">
        <v>0.0478818921024376</v>
      </c>
      <c r="K493" s="26" t="n">
        <v>262.1103108638025</v>
      </c>
      <c r="L493" s="27" t="n">
        <v>0.0514414885248236</v>
      </c>
      <c r="M493" s="26" t="n">
        <v>248.5180529335133</v>
      </c>
      <c r="N493" s="27" t="n">
        <v>0.06396645029395254</v>
      </c>
      <c r="O493" s="26" t="n">
        <v>206.7831048220962</v>
      </c>
      <c r="P493" s="27" t="n">
        <v>0.06435030904441724</v>
      </c>
      <c r="Q493" s="26" t="n">
        <v>233.450359501978</v>
      </c>
      <c r="R493" s="27" t="n">
        <v>0.08853931214826292</v>
      </c>
      <c r="S493" s="26" t="n">
        <v>220.7125882473518</v>
      </c>
      <c r="T493" s="27" t="n">
        <v>0.1038564992881883</v>
      </c>
      <c r="U493" s="26" t="n">
        <v>238.3411327303535</v>
      </c>
      <c r="V493" s="27" t="n">
        <v>0.07890183090702252</v>
      </c>
      <c r="W493" s="26" t="n">
        <v>242.0012204554335</v>
      </c>
      <c r="X493" s="27" t="n">
        <v>0.06470939672417778</v>
      </c>
      <c r="Y493" s="26" t="n">
        <v>220.8500078061815</v>
      </c>
      <c r="Z493" s="27" t="n">
        <v>0.04768171115164033</v>
      </c>
      <c r="AA493" s="26" t="n">
        <v>232.6175206145532</v>
      </c>
      <c r="AB493" s="27" t="n">
        <v>0.08975729964878514</v>
      </c>
    </row>
    <row r="494">
      <c r="A494" s="26" t="n">
        <v>216.227529120166</v>
      </c>
      <c r="B494" s="27" t="n">
        <v>0.08497769580226552</v>
      </c>
      <c r="C494" s="26" t="n">
        <v>219.0633490949729</v>
      </c>
      <c r="D494" s="27" t="n">
        <v>0.0821888067290856</v>
      </c>
      <c r="E494" s="26" t="n">
        <v>248.0250144117264</v>
      </c>
      <c r="F494" s="27" t="n">
        <v>0.06367496709118689</v>
      </c>
      <c r="G494" s="26" t="n">
        <v>266.8106750168229</v>
      </c>
      <c r="H494" s="27" t="n">
        <v>0.04833135901969045</v>
      </c>
      <c r="I494" s="26" t="n">
        <v>271.1677861101712</v>
      </c>
      <c r="J494" s="27" t="n">
        <v>0.04811943593655606</v>
      </c>
      <c r="K494" s="26" t="n">
        <v>262.1865533581588</v>
      </c>
      <c r="L494" s="27" t="n">
        <v>0.05170004402068621</v>
      </c>
      <c r="M494" s="26" t="n">
        <v>248.6093586355992</v>
      </c>
      <c r="N494" s="27" t="n">
        <v>0.06429483381908453</v>
      </c>
      <c r="O494" s="26" t="n">
        <v>206.9075095161847</v>
      </c>
      <c r="P494" s="27" t="n">
        <v>0.06465240135893521</v>
      </c>
      <c r="Q494" s="26" t="n">
        <v>233.5444462776109</v>
      </c>
      <c r="R494" s="27" t="n">
        <v>0.08899434110737284</v>
      </c>
      <c r="S494" s="26" t="n">
        <v>220.8190118553832</v>
      </c>
      <c r="T494" s="27" t="n">
        <v>0.1043753804367187</v>
      </c>
      <c r="U494" s="26" t="n">
        <v>238.4261780248058</v>
      </c>
      <c r="V494" s="27" t="n">
        <v>0.07931254682920781</v>
      </c>
      <c r="W494" s="26" t="n">
        <v>242.0794059474862</v>
      </c>
      <c r="X494" s="27" t="n">
        <v>0.06504371791464914</v>
      </c>
      <c r="Y494" s="26" t="n">
        <v>220.9554489727884</v>
      </c>
      <c r="Z494" s="27" t="n">
        <v>0.04789041419118993</v>
      </c>
      <c r="AA494" s="26" t="n">
        <v>232.6977082762598</v>
      </c>
      <c r="AB494" s="27" t="n">
        <v>0.09022345966083055</v>
      </c>
    </row>
    <row r="495">
      <c r="A495" s="26" t="n">
        <v>216.3932907833712</v>
      </c>
      <c r="B495" s="27" t="n">
        <v>0.08538463330323409</v>
      </c>
      <c r="C495" s="26" t="n">
        <v>219.2033986087877</v>
      </c>
      <c r="D495" s="27" t="n">
        <v>0.08259263928670009</v>
      </c>
      <c r="E495" s="26" t="n">
        <v>248.1380720660832</v>
      </c>
      <c r="F495" s="27" t="n">
        <v>0.06399548745914817</v>
      </c>
      <c r="G495" s="26" t="n">
        <v>266.8973974474285</v>
      </c>
      <c r="H495" s="27" t="n">
        <v>0.04856878563483887</v>
      </c>
      <c r="I495" s="26" t="n">
        <v>271.2481705386712</v>
      </c>
      <c r="J495" s="27" t="n">
        <v>0.04835814273595571</v>
      </c>
      <c r="K495" s="26" t="n">
        <v>262.2627958525152</v>
      </c>
      <c r="L495" s="27" t="n">
        <v>0.05195987097960484</v>
      </c>
      <c r="M495" s="26" t="n">
        <v>248.700664337685</v>
      </c>
      <c r="N495" s="27" t="n">
        <v>0.06462477865838098</v>
      </c>
      <c r="O495" s="26" t="n">
        <v>207.0319142102732</v>
      </c>
      <c r="P495" s="27" t="n">
        <v>0.06495589989288537</v>
      </c>
      <c r="Q495" s="26" t="n">
        <v>233.6385330532439</v>
      </c>
      <c r="R495" s="27" t="n">
        <v>0.08945124454604164</v>
      </c>
      <c r="S495" s="26" t="n">
        <v>220.9254354634145</v>
      </c>
      <c r="T495" s="27" t="n">
        <v>0.1048961690640722</v>
      </c>
      <c r="U495" s="26" t="n">
        <v>238.5112233192581</v>
      </c>
      <c r="V495" s="27" t="n">
        <v>0.07972508491734151</v>
      </c>
      <c r="W495" s="26" t="n">
        <v>242.157591439539</v>
      </c>
      <c r="X495" s="27" t="n">
        <v>0.06537964883545382</v>
      </c>
      <c r="Y495" s="26" t="n">
        <v>221.0608901393953</v>
      </c>
      <c r="Z495" s="27" t="n">
        <v>0.04810004164281426</v>
      </c>
      <c r="AA495" s="26" t="n">
        <v>232.7778959379664</v>
      </c>
      <c r="AB495" s="27" t="n">
        <v>0.09069155388514909</v>
      </c>
    </row>
    <row r="496">
      <c r="A496" s="26" t="n">
        <v>216.5590524465766</v>
      </c>
      <c r="B496" s="27" t="n">
        <v>0.08579324898494715</v>
      </c>
      <c r="C496" s="26" t="n">
        <v>219.3434481226025</v>
      </c>
      <c r="D496" s="27" t="n">
        <v>0.08299820106650262</v>
      </c>
      <c r="E496" s="26" t="n">
        <v>248.2511297204399</v>
      </c>
      <c r="F496" s="27" t="n">
        <v>0.06431750925563121</v>
      </c>
      <c r="G496" s="26" t="n">
        <v>266.984119878034</v>
      </c>
      <c r="H496" s="27" t="n">
        <v>0.04880736641136013</v>
      </c>
      <c r="I496" s="26" t="n">
        <v>271.328554967171</v>
      </c>
      <c r="J496" s="27" t="n">
        <v>0.04859801789060383</v>
      </c>
      <c r="K496" s="26" t="n">
        <v>262.3390383468715</v>
      </c>
      <c r="L496" s="27" t="n">
        <v>0.05222097517261796</v>
      </c>
      <c r="M496" s="26" t="n">
        <v>248.7919700397708</v>
      </c>
      <c r="N496" s="27" t="n">
        <v>0.06495629057355239</v>
      </c>
      <c r="O496" s="26" t="n">
        <v>207.1563189043618</v>
      </c>
      <c r="P496" s="27" t="n">
        <v>0.06526081073088064</v>
      </c>
      <c r="Q496" s="26" t="n">
        <v>233.7326198288769</v>
      </c>
      <c r="R496" s="27" t="n">
        <v>0.08991002524612955</v>
      </c>
      <c r="S496" s="26" t="n">
        <v>221.0318590714459</v>
      </c>
      <c r="T496" s="27" t="n">
        <v>0.1054188653932661</v>
      </c>
      <c r="U496" s="26" t="n">
        <v>238.5962686137104</v>
      </c>
      <c r="V496" s="27" t="n">
        <v>0.08013944965363827</v>
      </c>
      <c r="W496" s="26" t="n">
        <v>242.2357769315919</v>
      </c>
      <c r="X496" s="27" t="n">
        <v>0.06571719565254057</v>
      </c>
      <c r="Y496" s="26" t="n">
        <v>221.1663313060022</v>
      </c>
      <c r="Z496" s="27" t="n">
        <v>0.0483105976369991</v>
      </c>
      <c r="AA496" s="26" t="n">
        <v>232.8580835996731</v>
      </c>
      <c r="AB496" s="27" t="n">
        <v>0.09116158519581367</v>
      </c>
    </row>
    <row r="497">
      <c r="A497" s="26" t="n">
        <v>216.7248141097819</v>
      </c>
      <c r="B497" s="27" t="n">
        <v>0.08620354643771284</v>
      </c>
      <c r="C497" s="26" t="n">
        <v>219.4834976364173</v>
      </c>
      <c r="D497" s="27" t="n">
        <v>0.08340549635037976</v>
      </c>
      <c r="E497" s="26" t="n">
        <v>248.3641873747966</v>
      </c>
      <c r="F497" s="27" t="n">
        <v>0.06464103796592734</v>
      </c>
      <c r="G497" s="26" t="n">
        <v>267.0708423086396</v>
      </c>
      <c r="H497" s="27" t="n">
        <v>0.04904710669381837</v>
      </c>
      <c r="I497" s="26" t="n">
        <v>271.408939395671</v>
      </c>
      <c r="J497" s="27" t="n">
        <v>0.04883906681021196</v>
      </c>
      <c r="K497" s="26" t="n">
        <v>262.4152808412279</v>
      </c>
      <c r="L497" s="27" t="n">
        <v>0.05248336238919046</v>
      </c>
      <c r="M497" s="26" t="n">
        <v>248.8832757418567</v>
      </c>
      <c r="N497" s="27" t="n">
        <v>0.06528937532501503</v>
      </c>
      <c r="O497" s="26" t="n">
        <v>207.2807235984504</v>
      </c>
      <c r="P497" s="27" t="n">
        <v>0.06556713997570122</v>
      </c>
      <c r="Q497" s="26" t="n">
        <v>233.8267066045098</v>
      </c>
      <c r="R497" s="27" t="n">
        <v>0.09037068593506571</v>
      </c>
      <c r="S497" s="26" t="n">
        <v>221.1382826794773</v>
      </c>
      <c r="T497" s="27" t="n">
        <v>0.1059434695683553</v>
      </c>
      <c r="U497" s="26" t="n">
        <v>238.6813139081627</v>
      </c>
      <c r="V497" s="27" t="n">
        <v>0.0805556454871046</v>
      </c>
      <c r="W497" s="26" t="n">
        <v>242.3139624236447</v>
      </c>
      <c r="X497" s="27" t="n">
        <v>0.06605636453372447</v>
      </c>
      <c r="Y497" s="26" t="n">
        <v>221.2717724726091</v>
      </c>
      <c r="Z497" s="27" t="n">
        <v>0.0485220863227922</v>
      </c>
      <c r="AA497" s="26" t="n">
        <v>232.9382712613796</v>
      </c>
      <c r="AB497" s="27" t="n">
        <v>0.09163355641036314</v>
      </c>
    </row>
    <row r="498">
      <c r="A498" s="26" t="n">
        <v>216.8905757729872</v>
      </c>
      <c r="B498" s="27" t="n">
        <v>0.086615529217698</v>
      </c>
      <c r="C498" s="26" t="n">
        <v>219.623547150232</v>
      </c>
      <c r="D498" s="27" t="n">
        <v>0.08381452939133575</v>
      </c>
      <c r="E498" s="26" t="n">
        <v>248.4772450291533</v>
      </c>
      <c r="F498" s="27" t="n">
        <v>0.06496607907409341</v>
      </c>
      <c r="G498" s="26" t="n">
        <v>267.1575647392452</v>
      </c>
      <c r="H498" s="27" t="n">
        <v>0.04928801184679234</v>
      </c>
      <c r="I498" s="26" t="n">
        <v>271.4893238241709</v>
      </c>
      <c r="J498" s="27" t="n">
        <v>0.04908129492421592</v>
      </c>
      <c r="K498" s="26" t="n">
        <v>262.4915233355842</v>
      </c>
      <c r="L498" s="27" t="n">
        <v>0.05274703843714217</v>
      </c>
      <c r="M498" s="26" t="n">
        <v>248.9745814439425</v>
      </c>
      <c r="N498" s="27" t="n">
        <v>0.06562403867151649</v>
      </c>
      <c r="O498" s="26" t="n">
        <v>207.4051282925389</v>
      </c>
      <c r="P498" s="27" t="n">
        <v>0.06587489374820718</v>
      </c>
      <c r="Q498" s="26" t="n">
        <v>233.9207933801427</v>
      </c>
      <c r="R498" s="27" t="n">
        <v>0.09083322928509419</v>
      </c>
      <c r="S498" s="26" t="n">
        <v>221.2447062875087</v>
      </c>
      <c r="T498" s="27" t="n">
        <v>0.1064699816536711</v>
      </c>
      <c r="U498" s="26" t="n">
        <v>238.766359202615</v>
      </c>
      <c r="V498" s="27" t="n">
        <v>0.08097367683286938</v>
      </c>
      <c r="W498" s="26" t="n">
        <v>242.3921479156975</v>
      </c>
      <c r="X498" s="27" t="n">
        <v>0.06639716164833057</v>
      </c>
      <c r="Y498" s="26" t="n">
        <v>221.377213639216</v>
      </c>
      <c r="Z498" s="27" t="n">
        <v>0.04873451186788655</v>
      </c>
      <c r="AA498" s="26" t="n">
        <v>233.0184589230862</v>
      </c>
      <c r="AB498" s="27" t="n">
        <v>0.09210747028902483</v>
      </c>
    </row>
    <row r="499">
      <c r="A499" s="26" t="n">
        <v>217.0563374361925</v>
      </c>
      <c r="B499" s="27" t="n">
        <v>0.0870292008463006</v>
      </c>
      <c r="C499" s="26" t="n">
        <v>219.7635966640468</v>
      </c>
      <c r="D499" s="27" t="n">
        <v>0.08422530441287741</v>
      </c>
      <c r="E499" s="26" t="n">
        <v>248.5903026835101</v>
      </c>
      <c r="F499" s="27" t="n">
        <v>0.06529263806259565</v>
      </c>
      <c r="G499" s="26" t="n">
        <v>267.2442871698507</v>
      </c>
      <c r="H499" s="27" t="n">
        <v>0.04953008725486545</v>
      </c>
      <c r="I499" s="26" t="n">
        <v>271.5697082526709</v>
      </c>
      <c r="J499" s="27" t="n">
        <v>0.04932470768175536</v>
      </c>
      <c r="K499" s="26" t="n">
        <v>262.5677658299405</v>
      </c>
      <c r="L499" s="27" t="n">
        <v>0.0530120091425717</v>
      </c>
      <c r="M499" s="26" t="n">
        <v>249.0658871460284</v>
      </c>
      <c r="N499" s="27" t="n">
        <v>0.06596028636975469</v>
      </c>
      <c r="O499" s="26" t="n">
        <v>207.5295329866274</v>
      </c>
      <c r="P499" s="27" t="n">
        <v>0.06618407818724953</v>
      </c>
      <c r="Q499" s="26" t="n">
        <v>234.0148801557756</v>
      </c>
      <c r="R499" s="27" t="n">
        <v>0.09129765791251523</v>
      </c>
      <c r="S499" s="26" t="n">
        <v>221.3511298955401</v>
      </c>
      <c r="T499" s="27" t="n">
        <v>0.1069984016330573</v>
      </c>
      <c r="U499" s="26" t="n">
        <v>238.8514044970673</v>
      </c>
      <c r="V499" s="27" t="n">
        <v>0.08139354807150842</v>
      </c>
      <c r="W499" s="26" t="n">
        <v>242.4703334077503</v>
      </c>
      <c r="X499" s="27" t="n">
        <v>0.06673959316682966</v>
      </c>
      <c r="Y499" s="26" t="n">
        <v>221.4826548058229</v>
      </c>
      <c r="Z499" s="27" t="n">
        <v>0.04894787845870358</v>
      </c>
      <c r="AA499" s="26" t="n">
        <v>233.0986465847928</v>
      </c>
      <c r="AB499" s="27" t="n">
        <v>0.09258332953393185</v>
      </c>
    </row>
    <row r="500">
      <c r="A500" s="26" t="n">
        <v>217.2220990993978</v>
      </c>
      <c r="B500" s="27" t="n">
        <v>0.0874445648095194</v>
      </c>
      <c r="C500" s="26" t="n">
        <v>219.9036461778616</v>
      </c>
      <c r="D500" s="27" t="n">
        <v>0.08463782560839353</v>
      </c>
      <c r="E500" s="26" t="n">
        <v>248.7033603378668</v>
      </c>
      <c r="F500" s="27" t="n">
        <v>0.06562072041194868</v>
      </c>
      <c r="G500" s="26" t="n">
        <v>267.3310096004563</v>
      </c>
      <c r="H500" s="27" t="n">
        <v>0.04977333832261539</v>
      </c>
      <c r="I500" s="26" t="n">
        <v>271.6500926811708</v>
      </c>
      <c r="J500" s="27" t="n">
        <v>0.04956931055164833</v>
      </c>
      <c r="K500" s="26" t="n">
        <v>262.6440083242969</v>
      </c>
      <c r="L500" s="27" t="n">
        <v>0.05327828034977826</v>
      </c>
      <c r="M500" s="26" t="n">
        <v>249.1571928481142</v>
      </c>
      <c r="N500" s="27" t="n">
        <v>0.06629812417399165</v>
      </c>
      <c r="O500" s="26" t="n">
        <v>207.653937680716</v>
      </c>
      <c r="P500" s="27" t="n">
        <v>0.06649469944957624</v>
      </c>
      <c r="Q500" s="26" t="n">
        <v>234.1089669314086</v>
      </c>
      <c r="R500" s="27" t="n">
        <v>0.09176397437692189</v>
      </c>
      <c r="S500" s="26" t="n">
        <v>221.4575535035714</v>
      </c>
      <c r="T500" s="27" t="n">
        <v>0.1075287294091064</v>
      </c>
      <c r="U500" s="26" t="n">
        <v>238.9364497915196</v>
      </c>
      <c r="V500" s="27" t="n">
        <v>0.08181526354836349</v>
      </c>
      <c r="W500" s="26" t="n">
        <v>242.5485188998031</v>
      </c>
      <c r="X500" s="27" t="n">
        <v>0.0670836652604693</v>
      </c>
      <c r="Y500" s="26" t="n">
        <v>221.5880959724298</v>
      </c>
      <c r="Z500" s="27" t="n">
        <v>0.04916219030047739</v>
      </c>
      <c r="AA500" s="26" t="n">
        <v>233.1788342464994</v>
      </c>
      <c r="AB500" s="27" t="n">
        <v>0.09306113678833594</v>
      </c>
    </row>
    <row r="501">
      <c r="A501" s="26" t="n">
        <v>217.3878607626031</v>
      </c>
      <c r="B501" s="27" t="n">
        <v>0.08786162455731546</v>
      </c>
      <c r="C501" s="26" t="n">
        <v>220.0436956916764</v>
      </c>
      <c r="D501" s="27" t="n">
        <v>0.08505209714052796</v>
      </c>
      <c r="E501" s="26" t="n">
        <v>248.8164179922235</v>
      </c>
      <c r="F501" s="27" t="n">
        <v>0.06595033160034851</v>
      </c>
      <c r="G501" s="26" t="n">
        <v>267.4177320310619</v>
      </c>
      <c r="H501" s="27" t="n">
        <v>0.05001777047460004</v>
      </c>
      <c r="I501" s="26" t="n">
        <v>271.7304771096707</v>
      </c>
      <c r="J501" s="27" t="n">
        <v>0.04981510902236831</v>
      </c>
      <c r="K501" s="26" t="n">
        <v>262.7202508186533</v>
      </c>
      <c r="L501" s="27" t="n">
        <v>0.05354585792117973</v>
      </c>
      <c r="M501" s="26" t="n">
        <v>249.2484985502</v>
      </c>
      <c r="N501" s="27" t="n">
        <v>0.06663755783566133</v>
      </c>
      <c r="O501" s="26" t="n">
        <v>207.7783423748045</v>
      </c>
      <c r="P501" s="27" t="n">
        <v>0.06680676370973633</v>
      </c>
      <c r="Q501" s="26" t="n">
        <v>234.2030537070416</v>
      </c>
      <c r="R501" s="27" t="n">
        <v>0.09223218118043329</v>
      </c>
      <c r="S501" s="26" t="n">
        <v>221.5639771116028</v>
      </c>
      <c r="T501" s="27" t="n">
        <v>0.1080609648023937</v>
      </c>
      <c r="U501" s="26" t="n">
        <v>239.0214950859719</v>
      </c>
      <c r="V501" s="27" t="n">
        <v>0.08223882757285413</v>
      </c>
      <c r="W501" s="26" t="n">
        <v>242.6267043918559</v>
      </c>
      <c r="X501" s="27" t="n">
        <v>0.06742938410089902</v>
      </c>
      <c r="Y501" s="26" t="n">
        <v>221.6935371390367</v>
      </c>
      <c r="Z501" s="27" t="n">
        <v>0.04937745161733847</v>
      </c>
      <c r="AA501" s="26" t="n">
        <v>233.259021908206</v>
      </c>
      <c r="AB501" s="27" t="n">
        <v>0.09354089463581623</v>
      </c>
    </row>
    <row r="502">
      <c r="A502" s="26" t="n">
        <v>217.5536224258084</v>
      </c>
      <c r="B502" s="27" t="n">
        <v>0.08828038350296918</v>
      </c>
      <c r="C502" s="26" t="n">
        <v>220.1837452054911</v>
      </c>
      <c r="D502" s="27" t="n">
        <v>0.08546812314054597</v>
      </c>
      <c r="E502" s="26" t="n">
        <v>248.9294756465802</v>
      </c>
      <c r="F502" s="27" t="n">
        <v>0.06628147710330087</v>
      </c>
      <c r="G502" s="26" t="n">
        <v>267.5044544616675</v>
      </c>
      <c r="H502" s="27" t="n">
        <v>0.05026338915534385</v>
      </c>
      <c r="I502" s="26" t="n">
        <v>271.8108615381707</v>
      </c>
      <c r="J502" s="27" t="n">
        <v>0.05006210860201375</v>
      </c>
      <c r="K502" s="26" t="n">
        <v>262.7964933130096</v>
      </c>
      <c r="L502" s="27" t="n">
        <v>0.05381474773722941</v>
      </c>
      <c r="M502" s="26" t="n">
        <v>249.3398042522859</v>
      </c>
      <c r="N502" s="27" t="n">
        <v>0.06697859310297181</v>
      </c>
      <c r="O502" s="26" t="n">
        <v>207.9027470688931</v>
      </c>
      <c r="P502" s="27" t="n">
        <v>0.06712027715998035</v>
      </c>
      <c r="Q502" s="26" t="n">
        <v>234.2971404826745</v>
      </c>
      <c r="R502" s="27" t="n">
        <v>0.09270228076692144</v>
      </c>
      <c r="S502" s="26" t="n">
        <v>221.6704007196342</v>
      </c>
      <c r="T502" s="27" t="n">
        <v>0.1085951075507104</v>
      </c>
      <c r="U502" s="26" t="n">
        <v>239.1065403804242</v>
      </c>
      <c r="V502" s="27" t="n">
        <v>0.08266424441778465</v>
      </c>
      <c r="W502" s="26" t="n">
        <v>242.7048898839087</v>
      </c>
      <c r="X502" s="27" t="n">
        <v>0.06777675585978908</v>
      </c>
      <c r="Y502" s="26" t="n">
        <v>221.7989783056436</v>
      </c>
      <c r="Z502" s="27" t="n">
        <v>0.04959366665239864</v>
      </c>
      <c r="AA502" s="26" t="n">
        <v>233.3392095699126</v>
      </c>
      <c r="AB502" s="27" t="n">
        <v>0.0940226055994829</v>
      </c>
    </row>
    <row r="503">
      <c r="A503" s="26" t="n">
        <v>217.7193840890137</v>
      </c>
      <c r="B503" s="27" t="n">
        <v>0.08870084502243185</v>
      </c>
      <c r="C503" s="26" t="n">
        <v>220.3237947193059</v>
      </c>
      <c r="D503" s="27" t="n">
        <v>0.08588590770769591</v>
      </c>
      <c r="E503" s="26" t="n">
        <v>249.0425333009369</v>
      </c>
      <c r="F503" s="27" t="n">
        <v>0.06661416239324219</v>
      </c>
      <c r="G503" s="26" t="n">
        <v>267.591176892273</v>
      </c>
      <c r="H503" s="27" t="n">
        <v>0.05051019982931995</v>
      </c>
      <c r="I503" s="26" t="n">
        <v>271.8912459666706</v>
      </c>
      <c r="J503" s="27" t="n">
        <v>0.05031031481828109</v>
      </c>
      <c r="K503" s="26" t="n">
        <v>262.872735807366</v>
      </c>
      <c r="L503" s="27" t="n">
        <v>0.05408495569632828</v>
      </c>
      <c r="M503" s="26" t="n">
        <v>249.4311099543717</v>
      </c>
      <c r="N503" s="27" t="n">
        <v>0.06732123572050075</v>
      </c>
      <c r="O503" s="26" t="n">
        <v>208.0271517629816</v>
      </c>
      <c r="P503" s="27" t="n">
        <v>0.06743524601015786</v>
      </c>
      <c r="Q503" s="26" t="n">
        <v>234.3912272583075</v>
      </c>
      <c r="R503" s="27" t="n">
        <v>0.09317427552123649</v>
      </c>
      <c r="S503" s="26" t="n">
        <v>221.7768243276656</v>
      </c>
      <c r="T503" s="27" t="n">
        <v>0.1091311573082958</v>
      </c>
      <c r="U503" s="26" t="n">
        <v>239.1915856748766</v>
      </c>
      <c r="V503" s="27" t="n">
        <v>0.08309151831864388</v>
      </c>
      <c r="W503" s="26" t="n">
        <v>242.7830753759615</v>
      </c>
      <c r="X503" s="27" t="n">
        <v>0.06812578670844359</v>
      </c>
      <c r="Y503" s="26" t="n">
        <v>221.9044194722505</v>
      </c>
      <c r="Z503" s="27" t="n">
        <v>0.04981083966783564</v>
      </c>
      <c r="AA503" s="26" t="n">
        <v>233.4193972316192</v>
      </c>
      <c r="AB503" s="27" t="n">
        <v>0.09450627214117818</v>
      </c>
    </row>
    <row r="504">
      <c r="A504" s="26" t="n">
        <v>217.885145752219</v>
      </c>
      <c r="B504" s="27" t="n">
        <v>0.08912301245367112</v>
      </c>
      <c r="C504" s="26" t="n">
        <v>220.4638442331207</v>
      </c>
      <c r="D504" s="27" t="n">
        <v>0.0863054549085626</v>
      </c>
      <c r="E504" s="26" t="n">
        <v>249.1555909552937</v>
      </c>
      <c r="F504" s="27" t="n">
        <v>0.06694839293915736</v>
      </c>
      <c r="G504" s="26" t="n">
        <v>267.6778993228785</v>
      </c>
      <c r="H504" s="27" t="n">
        <v>0.0507582079809317</v>
      </c>
      <c r="I504" s="26" t="n">
        <v>271.9716303951706</v>
      </c>
      <c r="J504" s="27" t="n">
        <v>0.05055973321842965</v>
      </c>
      <c r="K504" s="26" t="n">
        <v>262.9489783017224</v>
      </c>
      <c r="L504" s="27" t="n">
        <v>0.05435648771473416</v>
      </c>
      <c r="M504" s="26" t="n">
        <v>249.5224156564576</v>
      </c>
      <c r="N504" s="27" t="n">
        <v>0.06766549142878607</v>
      </c>
      <c r="O504" s="26" t="n">
        <v>208.1515564570702</v>
      </c>
      <c r="P504" s="27" t="n">
        <v>0.06775167648761125</v>
      </c>
      <c r="Q504" s="26" t="n">
        <v>234.4853140339404</v>
      </c>
      <c r="R504" s="27" t="n">
        <v>0.09364816776842518</v>
      </c>
      <c r="S504" s="26" t="n">
        <v>221.8832479356969</v>
      </c>
      <c r="T504" s="27" t="n">
        <v>0.1096691136450687</v>
      </c>
      <c r="U504" s="26" t="n">
        <v>239.2766309693289</v>
      </c>
      <c r="V504" s="27" t="n">
        <v>0.08352065347289869</v>
      </c>
      <c r="W504" s="26" t="n">
        <v>242.8612608680143</v>
      </c>
      <c r="X504" s="27" t="n">
        <v>0.06847648281740679</v>
      </c>
      <c r="Y504" s="26" t="n">
        <v>222.0098606388574</v>
      </c>
      <c r="Z504" s="27" t="n">
        <v>0.05002897494497845</v>
      </c>
      <c r="AA504" s="26" t="n">
        <v>233.4995848933258</v>
      </c>
      <c r="AB504" s="27" t="n">
        <v>0.09499189666067046</v>
      </c>
    </row>
    <row r="505">
      <c r="A505" s="26" t="n">
        <v>218.0509074154243</v>
      </c>
      <c r="B505" s="27" t="n">
        <v>0.08954688909601016</v>
      </c>
      <c r="C505" s="26" t="n">
        <v>220.6038937469355</v>
      </c>
      <c r="D505" s="27" t="n">
        <v>0.08672676877641644</v>
      </c>
      <c r="E505" s="26" t="n">
        <v>249.2686486096504</v>
      </c>
      <c r="F505" s="27" t="n">
        <v>0.0672841742061889</v>
      </c>
      <c r="G505" s="26" t="n">
        <v>267.7646217534841</v>
      </c>
      <c r="H505" s="27" t="n">
        <v>0.05100741911449214</v>
      </c>
      <c r="I505" s="26" t="n">
        <v>272.0520148236705</v>
      </c>
      <c r="J505" s="27" t="n">
        <v>0.05081036936925094</v>
      </c>
      <c r="K505" s="26" t="n">
        <v>263.0252207960787</v>
      </c>
      <c r="L505" s="27" t="n">
        <v>0.05462934972646898</v>
      </c>
      <c r="M505" s="26" t="n">
        <v>249.6137213585434</v>
      </c>
      <c r="N505" s="27" t="n">
        <v>0.06801136596390965</v>
      </c>
      <c r="O505" s="26" t="n">
        <v>208.2759611511587</v>
      </c>
      <c r="P505" s="27" t="n">
        <v>0.06806957483706635</v>
      </c>
      <c r="Q505" s="26" t="n">
        <v>234.5794008095734</v>
      </c>
      <c r="R505" s="27" t="n">
        <v>0.09412395977294646</v>
      </c>
      <c r="S505" s="26" t="n">
        <v>221.9896715437283</v>
      </c>
      <c r="T505" s="27" t="n">
        <v>0.1102089760458569</v>
      </c>
      <c r="U505" s="26" t="n">
        <v>239.3616762637812</v>
      </c>
      <c r="V505" s="27" t="n">
        <v>0.08395165403928292</v>
      </c>
      <c r="W505" s="26" t="n">
        <v>242.9394463600671</v>
      </c>
      <c r="X505" s="27" t="n">
        <v>0.06882885035606456</v>
      </c>
      <c r="Y505" s="26" t="n">
        <v>222.1153018054644</v>
      </c>
      <c r="Z505" s="27" t="n">
        <v>0.05024807678439287</v>
      </c>
      <c r="AA505" s="26" t="n">
        <v>233.5797725550324</v>
      </c>
      <c r="AB505" s="27" t="n">
        <v>0.09547948149484699</v>
      </c>
    </row>
    <row r="506">
      <c r="A506" s="26" t="n">
        <v>218.2166690786296</v>
      </c>
      <c r="B506" s="27" t="n">
        <v>0.08997247820946301</v>
      </c>
      <c r="C506" s="26" t="n">
        <v>220.7439432607503</v>
      </c>
      <c r="D506" s="27" t="n">
        <v>0.0871498533105554</v>
      </c>
      <c r="E506" s="26" t="n">
        <v>249.3817062640071</v>
      </c>
      <c r="F506" s="27" t="n">
        <v>0.06762151165524284</v>
      </c>
      <c r="G506" s="26" t="n">
        <v>267.8513441840897</v>
      </c>
      <c r="H506" s="27" t="n">
        <v>0.05125783875420017</v>
      </c>
      <c r="I506" s="26" t="n">
        <v>272.1323992521704</v>
      </c>
      <c r="J506" s="27" t="n">
        <v>0.05106222885702846</v>
      </c>
      <c r="K506" s="26" t="n">
        <v>263.101463290435</v>
      </c>
      <c r="L506" s="27" t="n">
        <v>0.05490354768322177</v>
      </c>
      <c r="M506" s="26" t="n">
        <v>249.7050270606292</v>
      </c>
      <c r="N506" s="27" t="n">
        <v>0.0683588650570751</v>
      </c>
      <c r="O506" s="26" t="n">
        <v>208.4003658452472</v>
      </c>
      <c r="P506" s="27" t="n">
        <v>0.06838894732051999</v>
      </c>
      <c r="Q506" s="26" t="n">
        <v>234.6734875852063</v>
      </c>
      <c r="R506" s="27" t="n">
        <v>0.09460165373788222</v>
      </c>
      <c r="S506" s="26" t="n">
        <v>222.0960951517597</v>
      </c>
      <c r="T506" s="27" t="n">
        <v>0.1107507439096275</v>
      </c>
      <c r="U506" s="26" t="n">
        <v>239.4467215582335</v>
      </c>
      <c r="V506" s="27" t="n">
        <v>0.08438452413707836</v>
      </c>
      <c r="W506" s="26" t="n">
        <v>243.0176318521199</v>
      </c>
      <c r="X506" s="27" t="n">
        <v>0.06918289549223848</v>
      </c>
      <c r="Y506" s="26" t="n">
        <v>222.2207429720713</v>
      </c>
      <c r="Z506" s="27" t="n">
        <v>0.05046814950596758</v>
      </c>
      <c r="AA506" s="26" t="n">
        <v>233.659960216739</v>
      </c>
      <c r="AB506" s="27" t="n">
        <v>0.09596902891690018</v>
      </c>
    </row>
    <row r="507">
      <c r="A507" s="26" t="n">
        <v>218.382430741835</v>
      </c>
      <c r="B507" s="27" t="n">
        <v>0.09039978301406172</v>
      </c>
      <c r="C507" s="26" t="n">
        <v>220.8839927745651</v>
      </c>
      <c r="D507" s="27" t="n">
        <v>0.08757471247564021</v>
      </c>
      <c r="E507" s="26" t="n">
        <v>249.4947639183638</v>
      </c>
      <c r="F507" s="27" t="n">
        <v>0.06796041074258743</v>
      </c>
      <c r="G507" s="26" t="n">
        <v>267.9380666146953</v>
      </c>
      <c r="H507" s="27" t="n">
        <v>0.05150947244411679</v>
      </c>
      <c r="I507" s="26" t="n">
        <v>272.2127836806704</v>
      </c>
      <c r="J507" s="27" t="n">
        <v>0.05131531728750239</v>
      </c>
      <c r="K507" s="26" t="n">
        <v>263.1777057847914</v>
      </c>
      <c r="L507" s="27" t="n">
        <v>0.05517908755424903</v>
      </c>
      <c r="M507" s="26" t="n">
        <v>249.7963327627151</v>
      </c>
      <c r="N507" s="27" t="n">
        <v>0.06870799443417963</v>
      </c>
      <c r="O507" s="26" t="n">
        <v>208.5247705393358</v>
      </c>
      <c r="P507" s="27" t="n">
        <v>0.06870980021712349</v>
      </c>
      <c r="Q507" s="26" t="n">
        <v>234.7675743608393</v>
      </c>
      <c r="R507" s="27" t="n">
        <v>0.09508125180414406</v>
      </c>
      <c r="S507" s="26" t="n">
        <v>222.2025187597911</v>
      </c>
      <c r="T507" s="27" t="n">
        <v>0.1112944165487145</v>
      </c>
      <c r="U507" s="26" t="n">
        <v>239.5317668526858</v>
      </c>
      <c r="V507" s="27" t="n">
        <v>0.08481926784539033</v>
      </c>
      <c r="W507" s="26" t="n">
        <v>243.0958173441728</v>
      </c>
      <c r="X507" s="27" t="n">
        <v>0.06953862439177347</v>
      </c>
      <c r="Y507" s="26" t="n">
        <v>222.3261841386782</v>
      </c>
      <c r="Z507" s="27" t="n">
        <v>0.05068919744900041</v>
      </c>
      <c r="AA507" s="26" t="n">
        <v>233.7401478784456</v>
      </c>
      <c r="AB507" s="27" t="n">
        <v>0.09646054113551028</v>
      </c>
    </row>
    <row r="508">
      <c r="A508" s="26" t="n">
        <v>218.5481924050403</v>
      </c>
      <c r="B508" s="27" t="n">
        <v>0.09082880668917977</v>
      </c>
      <c r="C508" s="26" t="n">
        <v>221.0240422883798</v>
      </c>
      <c r="D508" s="27" t="n">
        <v>0.08800135020102509</v>
      </c>
      <c r="E508" s="26" t="n">
        <v>249.6078215727206</v>
      </c>
      <c r="F508" s="27" t="n">
        <v>0.06830087691944578</v>
      </c>
      <c r="G508" s="26" t="n">
        <v>268.0247890453008</v>
      </c>
      <c r="H508" s="27" t="n">
        <v>0.05176232574813713</v>
      </c>
      <c r="I508" s="26" t="n">
        <v>272.2931681091703</v>
      </c>
      <c r="J508" s="27" t="n">
        <v>0.05156964028582522</v>
      </c>
      <c r="K508" s="26" t="n">
        <v>263.2539482791477</v>
      </c>
      <c r="L508" s="27" t="n">
        <v>0.0554559753262707</v>
      </c>
      <c r="M508" s="26" t="n">
        <v>249.8876384648009</v>
      </c>
      <c r="N508" s="27" t="n">
        <v>0.06905875981537941</v>
      </c>
      <c r="O508" s="26" t="n">
        <v>208.6491752334243</v>
      </c>
      <c r="P508" s="27" t="n">
        <v>0.06903213982306255</v>
      </c>
      <c r="Q508" s="26" t="n">
        <v>234.8616611364722</v>
      </c>
      <c r="R508" s="27" t="n">
        <v>0.09556275604967587</v>
      </c>
      <c r="S508" s="26" t="n">
        <v>222.3089423678225</v>
      </c>
      <c r="T508" s="27" t="n">
        <v>0.1118399931880474</v>
      </c>
      <c r="U508" s="26" t="n">
        <v>239.6168121471381</v>
      </c>
      <c r="V508" s="27" t="n">
        <v>0.08525588920241689</v>
      </c>
      <c r="W508" s="26" t="n">
        <v>243.1740028362256</v>
      </c>
      <c r="X508" s="27" t="n">
        <v>0.06989604321812073</v>
      </c>
      <c r="Y508" s="26" t="n">
        <v>222.4316253052851</v>
      </c>
      <c r="Z508" s="27" t="n">
        <v>0.05091122497228467</v>
      </c>
      <c r="AA508" s="26" t="n">
        <v>233.8203355401522</v>
      </c>
      <c r="AB508" s="27" t="n">
        <v>0.09695402029402481</v>
      </c>
    </row>
    <row r="509">
      <c r="A509" s="26" t="n">
        <v>218.7139540682456</v>
      </c>
      <c r="B509" s="27" t="n">
        <v>0.09125955237284943</v>
      </c>
      <c r="C509" s="26" t="n">
        <v>221.1640918021946</v>
      </c>
      <c r="D509" s="27" t="n">
        <v>0.08842977038007996</v>
      </c>
      <c r="E509" s="26" t="n">
        <v>249.7208792270773</v>
      </c>
      <c r="F509" s="27" t="n">
        <v>0.06864291563158358</v>
      </c>
      <c r="G509" s="26" t="n">
        <v>268.1115114759065</v>
      </c>
      <c r="H509" s="27" t="n">
        <v>0.05201640424996146</v>
      </c>
      <c r="I509" s="26" t="n">
        <v>272.3735525376703</v>
      </c>
      <c r="J509" s="27" t="n">
        <v>0.05182520349652119</v>
      </c>
      <c r="K509" s="26" t="n">
        <v>263.3301907735041</v>
      </c>
      <c r="L509" s="27" t="n">
        <v>0.05573421700336497</v>
      </c>
      <c r="M509" s="26" t="n">
        <v>249.9789441668867</v>
      </c>
      <c r="N509" s="27" t="n">
        <v>0.06941116691464858</v>
      </c>
      <c r="O509" s="26" t="n">
        <v>208.7735799275129</v>
      </c>
      <c r="P509" s="27" t="n">
        <v>0.06935597245143495</v>
      </c>
      <c r="Q509" s="26" t="n">
        <v>234.9557479121052</v>
      </c>
      <c r="R509" s="27" t="n">
        <v>0.09604616848865234</v>
      </c>
      <c r="S509" s="26" t="n">
        <v>222.4153659758538</v>
      </c>
      <c r="T509" s="27" t="n">
        <v>0.1123874729643788</v>
      </c>
      <c r="U509" s="26" t="n">
        <v>239.7018574415904</v>
      </c>
      <c r="V509" s="27" t="n">
        <v>0.08569439220471213</v>
      </c>
      <c r="W509" s="26" t="n">
        <v>243.2521883282783</v>
      </c>
      <c r="X509" s="27" t="n">
        <v>0.07025515813191226</v>
      </c>
      <c r="Y509" s="26" t="n">
        <v>222.537066471892</v>
      </c>
      <c r="Z509" s="27" t="n">
        <v>0.0511342364541968</v>
      </c>
      <c r="AA509" s="26" t="n">
        <v>233.9005232018588</v>
      </c>
      <c r="AB509" s="27" t="n">
        <v>0.09744946846963196</v>
      </c>
    </row>
    <row r="510">
      <c r="A510" s="26" t="n">
        <v>218.8797157314509</v>
      </c>
      <c r="B510" s="27" t="n">
        <v>0.091692023161072</v>
      </c>
      <c r="C510" s="26" t="n">
        <v>221.3041413160093</v>
      </c>
      <c r="D510" s="27" t="n">
        <v>0.08885997686950807</v>
      </c>
      <c r="E510" s="26" t="n">
        <v>249.8339368814341</v>
      </c>
      <c r="F510" s="27" t="n">
        <v>0.06898653231888956</v>
      </c>
      <c r="G510" s="26" t="n">
        <v>268.198233906512</v>
      </c>
      <c r="H510" s="27" t="n">
        <v>0.05227171355306377</v>
      </c>
      <c r="I510" s="26" t="n">
        <v>272.4539369661702</v>
      </c>
      <c r="J510" s="27" t="n">
        <v>0.05208201258343751</v>
      </c>
      <c r="K510" s="26" t="n">
        <v>263.4064332678604</v>
      </c>
      <c r="L510" s="27" t="n">
        <v>0.05601381860685745</v>
      </c>
      <c r="M510" s="26" t="n">
        <v>250.0702498689726</v>
      </c>
      <c r="N510" s="27" t="n">
        <v>0.06976522143933253</v>
      </c>
      <c r="O510" s="26" t="n">
        <v>208.8979846216014</v>
      </c>
      <c r="P510" s="27" t="n">
        <v>0.06968130443212228</v>
      </c>
      <c r="Q510" s="26" t="n">
        <v>235.0498346877381</v>
      </c>
      <c r="R510" s="27" t="n">
        <v>0.09653149107067316</v>
      </c>
      <c r="S510" s="26" t="n">
        <v>222.5217895838852</v>
      </c>
      <c r="T510" s="27" t="n">
        <v>0.1129368549255105</v>
      </c>
      <c r="U510" s="26" t="n">
        <v>239.7869027360427</v>
      </c>
      <c r="V510" s="27" t="n">
        <v>0.08613478080644296</v>
      </c>
      <c r="W510" s="26" t="n">
        <v>243.3303738203311</v>
      </c>
      <c r="X510" s="27" t="n">
        <v>0.07061597529053008</v>
      </c>
      <c r="Y510" s="26" t="n">
        <v>222.642507638499</v>
      </c>
      <c r="Z510" s="27" t="n">
        <v>0.05135823629278311</v>
      </c>
      <c r="AA510" s="26" t="n">
        <v>233.9807108635654</v>
      </c>
      <c r="AB510" s="27" t="n">
        <v>0.09794688767253269</v>
      </c>
    </row>
    <row r="511">
      <c r="A511" s="26" t="n">
        <v>219.0454773946562</v>
      </c>
      <c r="B511" s="27" t="n">
        <v>0.09212622210712411</v>
      </c>
      <c r="C511" s="26" t="n">
        <v>221.4441908298242</v>
      </c>
      <c r="D511" s="27" t="n">
        <v>0.08929197348865608</v>
      </c>
      <c r="E511" s="26" t="n">
        <v>249.9469945357907</v>
      </c>
      <c r="F511" s="27" t="n">
        <v>0.0693317324149505</v>
      </c>
      <c r="G511" s="26" t="n">
        <v>268.2849563371176</v>
      </c>
      <c r="H511" s="27" t="n">
        <v>0.0525282592806577</v>
      </c>
      <c r="I511" s="26" t="n">
        <v>272.5343213946701</v>
      </c>
      <c r="J511" s="27" t="n">
        <v>0.05234007322969839</v>
      </c>
      <c r="K511" s="26" t="n">
        <v>263.4826757622168</v>
      </c>
      <c r="L511" s="27" t="n">
        <v>0.05629478617520833</v>
      </c>
      <c r="M511" s="26" t="n">
        <v>250.1615555710584</v>
      </c>
      <c r="N511" s="27" t="n">
        <v>0.07012092908969395</v>
      </c>
      <c r="O511" s="26" t="n">
        <v>209.02238931569</v>
      </c>
      <c r="P511" s="27" t="n">
        <v>0.07000814211165986</v>
      </c>
      <c r="Q511" s="26" t="n">
        <v>235.143921463371</v>
      </c>
      <c r="R511" s="27" t="n">
        <v>0.09701872567995318</v>
      </c>
      <c r="S511" s="26" t="n">
        <v>222.6282131919166</v>
      </c>
      <c r="T511" s="27" t="n">
        <v>0.1134881380295201</v>
      </c>
      <c r="U511" s="26" t="n">
        <v>239.871948030495</v>
      </c>
      <c r="V511" s="27" t="n">
        <v>0.08657705891863987</v>
      </c>
      <c r="W511" s="26" t="n">
        <v>243.4085593123839</v>
      </c>
      <c r="X511" s="27" t="n">
        <v>0.07097850084766884</v>
      </c>
      <c r="Y511" s="26" t="n">
        <v>222.7479488051059</v>
      </c>
      <c r="Z511" s="27" t="n">
        <v>0.05158322890584788</v>
      </c>
      <c r="AA511" s="26" t="n">
        <v>234.060898525272</v>
      </c>
      <c r="AB511" s="27" t="n">
        <v>0.09844627984510557</v>
      </c>
    </row>
    <row r="512">
      <c r="A512" s="26" t="n">
        <v>219.2112390578615</v>
      </c>
      <c r="B512" s="27" t="n">
        <v>0.09256215222085738</v>
      </c>
      <c r="C512" s="26" t="n">
        <v>221.5842403436389</v>
      </c>
      <c r="D512" s="27" t="n">
        <v>0.08972576401881889</v>
      </c>
      <c r="E512" s="26" t="n">
        <v>250.0600521901475</v>
      </c>
      <c r="F512" s="27" t="n">
        <v>0.06967852134662056</v>
      </c>
      <c r="G512" s="26" t="n">
        <v>268.3716787677232</v>
      </c>
      <c r="H512" s="27" t="n">
        <v>0.05278604707566092</v>
      </c>
      <c r="I512" s="26" t="n">
        <v>272.6147058231701</v>
      </c>
      <c r="J512" s="27" t="n">
        <v>0.05259939113765141</v>
      </c>
      <c r="K512" s="26" t="n">
        <v>263.5589182565732</v>
      </c>
      <c r="L512" s="27" t="n">
        <v>0.05657712576389463</v>
      </c>
      <c r="M512" s="26" t="n">
        <v>250.2528612731443</v>
      </c>
      <c r="N512" s="27" t="n">
        <v>0.07047829555845253</v>
      </c>
      <c r="O512" s="26" t="n">
        <v>209.1467940097785</v>
      </c>
      <c r="P512" s="27" t="n">
        <v>0.07033649185310235</v>
      </c>
      <c r="Q512" s="26" t="n">
        <v>235.238008239004</v>
      </c>
      <c r="R512" s="27" t="n">
        <v>0.09750787413450876</v>
      </c>
      <c r="S512" s="26" t="n">
        <v>222.7346367999479</v>
      </c>
      <c r="T512" s="27" t="n">
        <v>0.1140413211439879</v>
      </c>
      <c r="U512" s="26" t="n">
        <v>239.9569933249473</v>
      </c>
      <c r="V512" s="27" t="n">
        <v>0.08702123040844068</v>
      </c>
      <c r="W512" s="26" t="n">
        <v>243.4867448044368</v>
      </c>
      <c r="X512" s="27" t="n">
        <v>0.07134274095289068</v>
      </c>
      <c r="Y512" s="26" t="n">
        <v>222.8533899717127</v>
      </c>
      <c r="Z512" s="27" t="n">
        <v>0.05180921873104127</v>
      </c>
      <c r="AA512" s="26" t="n">
        <v>234.1410861869786</v>
      </c>
      <c r="AB512" s="27" t="n">
        <v>0.09894764686107051</v>
      </c>
    </row>
    <row r="513">
      <c r="A513" s="26" t="n">
        <v>219.3770007210668</v>
      </c>
      <c r="B513" s="27" t="n">
        <v>0.09299981646799188</v>
      </c>
      <c r="C513" s="26" t="n">
        <v>221.7242898574537</v>
      </c>
      <c r="D513" s="27" t="n">
        <v>0.09016135220253714</v>
      </c>
      <c r="E513" s="26" t="n">
        <v>250.1731098445042</v>
      </c>
      <c r="F513" s="27" t="n">
        <v>0.0700269045335834</v>
      </c>
      <c r="G513" s="26" t="n">
        <v>268.4584011983288</v>
      </c>
      <c r="H513" s="27" t="n">
        <v>0.05304508260065609</v>
      </c>
      <c r="I513" s="26" t="n">
        <v>272.69509025167</v>
      </c>
      <c r="J513" s="27" t="n">
        <v>0.05285997202881672</v>
      </c>
      <c r="K513" s="26" t="n">
        <v>263.6351607509295</v>
      </c>
      <c r="L513" s="27" t="n">
        <v>0.05686084344529121</v>
      </c>
      <c r="M513" s="26" t="n">
        <v>250.3441669752301</v>
      </c>
      <c r="N513" s="27" t="n">
        <v>0.07083732653031888</v>
      </c>
      <c r="O513" s="26" t="n">
        <v>209.2711987038671</v>
      </c>
      <c r="P513" s="27" t="n">
        <v>0.07066636003588506</v>
      </c>
      <c r="Q513" s="26" t="n">
        <v>235.332095014637</v>
      </c>
      <c r="R513" s="27" t="n">
        <v>0.09799893818534028</v>
      </c>
      <c r="S513" s="26" t="n">
        <v>222.8410604079793</v>
      </c>
      <c r="T513" s="27" t="n">
        <v>0.1145964030452217</v>
      </c>
      <c r="U513" s="26" t="n">
        <v>240.0420386193996</v>
      </c>
      <c r="V513" s="27" t="n">
        <v>0.08746729909832994</v>
      </c>
      <c r="W513" s="26" t="n">
        <v>243.5649302964896</v>
      </c>
      <c r="X513" s="27" t="n">
        <v>0.07170870175117562</v>
      </c>
      <c r="Y513" s="26" t="n">
        <v>222.9588311383197</v>
      </c>
      <c r="Z513" s="27" t="n">
        <v>0.05203621022594802</v>
      </c>
      <c r="AA513" s="26" t="n">
        <v>234.2212738486852</v>
      </c>
      <c r="AB513" s="27" t="n">
        <v>0.09945099052464684</v>
      </c>
    </row>
    <row r="514">
      <c r="A514" s="26" t="n">
        <v>219.5427623842721</v>
      </c>
      <c r="B514" s="27" t="n">
        <v>0.09343921776940513</v>
      </c>
      <c r="C514" s="26" t="n">
        <v>221.8643393712684</v>
      </c>
      <c r="D514" s="27" t="n">
        <v>0.09059874174288904</v>
      </c>
      <c r="E514" s="26" t="n">
        <v>250.2861674988609</v>
      </c>
      <c r="F514" s="27" t="n">
        <v>0.07037688738790814</v>
      </c>
      <c r="G514" s="26" t="n">
        <v>268.5451236289343</v>
      </c>
      <c r="H514" s="27" t="n">
        <v>0.05330537153785051</v>
      </c>
      <c r="I514" s="26" t="n">
        <v>272.77547468017</v>
      </c>
      <c r="J514" s="27" t="n">
        <v>0.05312182164382783</v>
      </c>
      <c r="K514" s="26" t="n">
        <v>263.7114032452859</v>
      </c>
      <c r="L514" s="27" t="n">
        <v>0.05714594530854575</v>
      </c>
      <c r="M514" s="26" t="n">
        <v>250.4354726773159</v>
      </c>
      <c r="N514" s="27" t="n">
        <v>0.0711980276815212</v>
      </c>
      <c r="O514" s="26" t="n">
        <v>209.3956033979556</v>
      </c>
      <c r="P514" s="27" t="n">
        <v>0.07099775305568171</v>
      </c>
      <c r="Q514" s="26" t="n">
        <v>235.4261817902699</v>
      </c>
      <c r="R514" s="27" t="n">
        <v>0.09849191951560964</v>
      </c>
      <c r="S514" s="26" t="n">
        <v>222.9474840160107</v>
      </c>
      <c r="T514" s="27" t="n">
        <v>0.1151533824174834</v>
      </c>
      <c r="U514" s="26" t="n">
        <v>240.1270839138519</v>
      </c>
      <c r="V514" s="27" t="n">
        <v>0.08791526876537002</v>
      </c>
      <c r="W514" s="26" t="n">
        <v>243.6431157885424</v>
      </c>
      <c r="X514" s="27" t="n">
        <v>0.07207638938246295</v>
      </c>
      <c r="Y514" s="26" t="n">
        <v>223.0642723049265</v>
      </c>
      <c r="Z514" s="27" t="n">
        <v>0.05226420786817591</v>
      </c>
      <c r="AA514" s="26" t="n">
        <v>234.3014615103917</v>
      </c>
      <c r="AB514" s="27" t="n">
        <v>0.0999563125697079</v>
      </c>
    </row>
    <row r="515">
      <c r="A515" s="26" t="n">
        <v>219.7085240474775</v>
      </c>
      <c r="B515" s="27" t="n">
        <v>0.09388035900041412</v>
      </c>
      <c r="C515" s="26" t="n">
        <v>222.0043888850832</v>
      </c>
      <c r="D515" s="27" t="n">
        <v>0.09103793630277521</v>
      </c>
      <c r="E515" s="26" t="n">
        <v>250.3992251532176</v>
      </c>
      <c r="F515" s="27" t="n">
        <v>0.07072847531359998</v>
      </c>
      <c r="G515" s="26" t="n">
        <v>268.6318460595398</v>
      </c>
      <c r="H515" s="27" t="n">
        <v>0.05356691958903293</v>
      </c>
      <c r="I515" s="26" t="n">
        <v>272.8558591086699</v>
      </c>
      <c r="J515" s="27" t="n">
        <v>0.05338494574237548</v>
      </c>
      <c r="K515" s="26" t="n">
        <v>263.7876457396422</v>
      </c>
      <c r="L515" s="27" t="n">
        <v>0.05743243745945061</v>
      </c>
      <c r="M515" s="26" t="n">
        <v>250.5267783794017</v>
      </c>
      <c r="N515" s="27" t="n">
        <v>0.07156040467932527</v>
      </c>
      <c r="O515" s="26" t="n">
        <v>209.5200080920442</v>
      </c>
      <c r="P515" s="27" t="n">
        <v>0.0713306773242585</v>
      </c>
      <c r="Q515" s="26" t="n">
        <v>235.5202685659029</v>
      </c>
      <c r="R515" s="27" t="n">
        <v>0.09898681973981596</v>
      </c>
      <c r="S515" s="26" t="n">
        <v>223.053907624042</v>
      </c>
      <c r="T515" s="27" t="n">
        <v>0.1157122578522144</v>
      </c>
      <c r="U515" s="26" t="n">
        <v>240.2121292083042</v>
      </c>
      <c r="V515" s="27" t="n">
        <v>0.0883651431404274</v>
      </c>
      <c r="W515" s="26" t="n">
        <v>243.7213012805952</v>
      </c>
      <c r="X515" s="27" t="n">
        <v>0.0724458099811868</v>
      </c>
      <c r="Y515" s="26" t="n">
        <v>223.1697134715334</v>
      </c>
      <c r="Z515" s="27" t="n">
        <v>0.05249321615544523</v>
      </c>
      <c r="AA515" s="26" t="n">
        <v>234.3816491720983</v>
      </c>
      <c r="AB515" s="27" t="n">
        <v>0.1004636146589323</v>
      </c>
    </row>
    <row r="516">
      <c r="A516" s="26" t="n">
        <v>219.8742857106827</v>
      </c>
      <c r="B516" s="27" t="n">
        <v>0.09432324299005181</v>
      </c>
      <c r="C516" s="26" t="n">
        <v>222.144438398898</v>
      </c>
      <c r="D516" s="27" t="n">
        <v>0.09147893950419729</v>
      </c>
      <c r="E516" s="26" t="n">
        <v>250.5122828075744</v>
      </c>
      <c r="F516" s="27" t="n">
        <v>0.07108167370614367</v>
      </c>
      <c r="G516" s="26" t="n">
        <v>268.7185684901455</v>
      </c>
      <c r="H516" s="27" t="n">
        <v>0.05382973247552744</v>
      </c>
      <c r="I516" s="26" t="n">
        <v>272.9362435371698</v>
      </c>
      <c r="J516" s="27" t="n">
        <v>0.05364935010314317</v>
      </c>
      <c r="K516" s="26" t="n">
        <v>263.8638882339985</v>
      </c>
      <c r="L516" s="27" t="n">
        <v>0.05772032602031277</v>
      </c>
      <c r="M516" s="26" t="n">
        <v>250.6180840814876</v>
      </c>
      <c r="N516" s="27" t="n">
        <v>0.07192446318154777</v>
      </c>
      <c r="O516" s="26" t="n">
        <v>209.6444127861327</v>
      </c>
      <c r="P516" s="27" t="n">
        <v>0.0716651392693234</v>
      </c>
      <c r="Q516" s="26" t="n">
        <v>235.6143553415358</v>
      </c>
      <c r="R516" s="27" t="n">
        <v>0.09948364040296506</v>
      </c>
      <c r="S516" s="26" t="n">
        <v>223.1603312320734</v>
      </c>
      <c r="T516" s="27" t="n">
        <v>0.1162730278472612</v>
      </c>
      <c r="U516" s="26" t="n">
        <v>240.2971745027565</v>
      </c>
      <c r="V516" s="27" t="n">
        <v>0.08881692590739186</v>
      </c>
      <c r="W516" s="26" t="n">
        <v>243.799486772648</v>
      </c>
      <c r="X516" s="27" t="n">
        <v>0.07281696967580514</v>
      </c>
      <c r="Y516" s="26" t="n">
        <v>223.2751546381404</v>
      </c>
      <c r="Z516" s="27" t="n">
        <v>0.05272323960567809</v>
      </c>
      <c r="AA516" s="26" t="n">
        <v>234.461836833805</v>
      </c>
      <c r="AB516" s="27" t="n">
        <v>0.1009728983829497</v>
      </c>
    </row>
    <row r="517">
      <c r="A517" s="26" t="n">
        <v>220.0400473738881</v>
      </c>
      <c r="B517" s="27" t="n">
        <v>0.09476787252033887</v>
      </c>
      <c r="C517" s="26" t="n">
        <v>222.2844879127128</v>
      </c>
      <c r="D517" s="27" t="n">
        <v>0.09192175492753103</v>
      </c>
      <c r="E517" s="26" t="n">
        <v>250.6253404619311</v>
      </c>
      <c r="F517" s="27" t="n">
        <v>0.07143648795204006</v>
      </c>
      <c r="G517" s="26" t="n">
        <v>268.805290920751</v>
      </c>
      <c r="H517" s="27" t="n">
        <v>0.05409381593814552</v>
      </c>
      <c r="I517" s="26" t="n">
        <v>273.0166279656698</v>
      </c>
      <c r="J517" s="27" t="n">
        <v>0.05391504052374559</v>
      </c>
      <c r="K517" s="26" t="n">
        <v>263.9401307283549</v>
      </c>
      <c r="L517" s="27" t="n">
        <v>0.05800961712981734</v>
      </c>
      <c r="M517" s="26" t="n">
        <v>250.7093897835734</v>
      </c>
      <c r="N517" s="27" t="n">
        <v>0.07229020883606348</v>
      </c>
      <c r="O517" s="26" t="n">
        <v>209.7688174802212</v>
      </c>
      <c r="P517" s="27" t="n">
        <v>0.07200114533437264</v>
      </c>
      <c r="Q517" s="26" t="n">
        <v>235.7084421171687</v>
      </c>
      <c r="R517" s="27" t="n">
        <v>0.09998238297973706</v>
      </c>
      <c r="S517" s="26" t="n">
        <v>223.2667548401048</v>
      </c>
      <c r="T517" s="27" t="n">
        <v>0.1168356908061015</v>
      </c>
      <c r="U517" s="26" t="n">
        <v>240.3822197972088</v>
      </c>
      <c r="V517" s="27" t="n">
        <v>0.08927062070238959</v>
      </c>
      <c r="W517" s="26" t="n">
        <v>243.8776722647007</v>
      </c>
      <c r="X517" s="27" t="n">
        <v>0.0731898745883212</v>
      </c>
      <c r="Y517" s="26" t="n">
        <v>223.3805958047473</v>
      </c>
      <c r="Z517" s="27" t="n">
        <v>0.05295428275708856</v>
      </c>
      <c r="AA517" s="26" t="n">
        <v>234.5420244955116</v>
      </c>
      <c r="AB517" s="27" t="n">
        <v>0.1014841652594864</v>
      </c>
    </row>
    <row r="518">
      <c r="A518" s="26" t="n">
        <v>220.2058090370934</v>
      </c>
      <c r="B518" s="27" t="n">
        <v>0.0952142503255478</v>
      </c>
      <c r="C518" s="26" t="n">
        <v>222.4245374265276</v>
      </c>
      <c r="D518" s="27" t="n">
        <v>0.0923663861107908</v>
      </c>
      <c r="E518" s="26" t="n">
        <v>250.7383981162878</v>
      </c>
      <c r="F518" s="27" t="n">
        <v>0.07179292342833764</v>
      </c>
      <c r="G518" s="26" t="n">
        <v>268.8920133513566</v>
      </c>
      <c r="H518" s="27" t="n">
        <v>0.05435917573713457</v>
      </c>
      <c r="I518" s="26" t="n">
        <v>273.0970123941697</v>
      </c>
      <c r="J518" s="27" t="n">
        <v>0.05418202282065823</v>
      </c>
      <c r="K518" s="26" t="n">
        <v>264.0163732227113</v>
      </c>
      <c r="L518" s="27" t="n">
        <v>0.05830031694288909</v>
      </c>
      <c r="M518" s="26" t="n">
        <v>250.8006954856593</v>
      </c>
      <c r="N518" s="27" t="n">
        <v>0.07265764728030433</v>
      </c>
      <c r="O518" s="26" t="n">
        <v>209.8932221743098</v>
      </c>
      <c r="P518" s="27" t="n">
        <v>0.07233870197853132</v>
      </c>
      <c r="Q518" s="26" t="n">
        <v>235.8025288928017</v>
      </c>
      <c r="R518" s="27" t="n">
        <v>0.1004830488736488</v>
      </c>
      <c r="S518" s="26" t="n">
        <v>223.3731784481362</v>
      </c>
      <c r="T518" s="27" t="n">
        <v>0.1174002450370704</v>
      </c>
      <c r="U518" s="26" t="n">
        <v>240.4672650916611</v>
      </c>
      <c r="V518" s="27" t="n">
        <v>0.08972623111299097</v>
      </c>
      <c r="W518" s="26" t="n">
        <v>243.9558577567536</v>
      </c>
      <c r="X518" s="27" t="n">
        <v>0.07356453083379826</v>
      </c>
      <c r="Y518" s="26" t="n">
        <v>223.4860369713542</v>
      </c>
      <c r="Z518" s="27" t="n">
        <v>0.05318635016827263</v>
      </c>
      <c r="AA518" s="26" t="n">
        <v>234.6222121572182</v>
      </c>
      <c r="AB518" s="27" t="n">
        <v>0.1019974167325024</v>
      </c>
    </row>
    <row r="519">
      <c r="A519" s="26" t="n">
        <v>220.3715707002987</v>
      </c>
      <c r="B519" s="27" t="n">
        <v>0.09566237909146327</v>
      </c>
      <c r="C519" s="26" t="n">
        <v>222.5645869403423</v>
      </c>
      <c r="D519" s="27" t="n">
        <v>0.09281283654889008</v>
      </c>
      <c r="E519" s="26" t="n">
        <v>250.8514557706445</v>
      </c>
      <c r="F519" s="27" t="n">
        <v>0.07215098550215548</v>
      </c>
      <c r="G519" s="26" t="n">
        <v>268.9787357819621</v>
      </c>
      <c r="H519" s="27" t="n">
        <v>0.05462581765212527</v>
      </c>
      <c r="I519" s="26" t="n">
        <v>273.1773968226697</v>
      </c>
      <c r="J519" s="27" t="n">
        <v>0.05445030282915025</v>
      </c>
      <c r="K519" s="26" t="n">
        <v>264.0926157170676</v>
      </c>
      <c r="L519" s="27" t="n">
        <v>0.0585924316305485</v>
      </c>
      <c r="M519" s="26" t="n">
        <v>250.8920011877451</v>
      </c>
      <c r="N519" s="27" t="n">
        <v>0.07302678414075299</v>
      </c>
      <c r="O519" s="26" t="n">
        <v>210.0176268683983</v>
      </c>
      <c r="P519" s="27" t="n">
        <v>0.07267781567639105</v>
      </c>
      <c r="Q519" s="26" t="n">
        <v>235.8966156684346</v>
      </c>
      <c r="R519" s="27" t="n">
        <v>0.1009856394162138</v>
      </c>
      <c r="S519" s="26" t="n">
        <v>223.4796020561676</v>
      </c>
      <c r="T519" s="27" t="n">
        <v>0.1179666887525867</v>
      </c>
      <c r="U519" s="26" t="n">
        <v>240.5523103861134</v>
      </c>
      <c r="V519" s="27" t="n">
        <v>0.09018376067741098</v>
      </c>
      <c r="W519" s="26" t="n">
        <v>244.0340432488064</v>
      </c>
      <c r="X519" s="27" t="n">
        <v>0.07394094451986727</v>
      </c>
      <c r="Y519" s="26" t="n">
        <v>223.5914781379611</v>
      </c>
      <c r="Z519" s="27" t="n">
        <v>0.05341944641829897</v>
      </c>
      <c r="AA519" s="26" t="n">
        <v>234.7023998189247</v>
      </c>
      <c r="AB519" s="27" t="n">
        <v>0.1025126541713296</v>
      </c>
    </row>
    <row r="520">
      <c r="A520" s="26" t="n">
        <v>220.537332363504</v>
      </c>
      <c r="B520" s="27" t="n">
        <v>0.09611226145463513</v>
      </c>
      <c r="C520" s="26" t="n">
        <v>222.7046364541571</v>
      </c>
      <c r="D520" s="27" t="n">
        <v>0.09326110969289371</v>
      </c>
      <c r="E520" s="26" t="n">
        <v>250.9645134250013</v>
      </c>
      <c r="F520" s="27" t="n">
        <v>0.07251067953020143</v>
      </c>
      <c r="G520" s="26" t="n">
        <v>269.0654582125677</v>
      </c>
      <c r="H520" s="27" t="n">
        <v>0.05489374748207457</v>
      </c>
      <c r="I520" s="26" t="n">
        <v>273.2577812511696</v>
      </c>
      <c r="J520" s="27" t="n">
        <v>0.05471988640320821</v>
      </c>
      <c r="K520" s="26" t="n">
        <v>264.168858211424</v>
      </c>
      <c r="L520" s="27" t="n">
        <v>0.05888596737976578</v>
      </c>
      <c r="M520" s="26" t="n">
        <v>250.9833068898309</v>
      </c>
      <c r="N520" s="27" t="n">
        <v>0.07339762503242862</v>
      </c>
      <c r="O520" s="26" t="n">
        <v>210.1420315624869</v>
      </c>
      <c r="P520" s="27" t="n">
        <v>0.07301849291784332</v>
      </c>
      <c r="Q520" s="26" t="n">
        <v>235.9907024440676</v>
      </c>
      <c r="R520" s="27" t="n">
        <v>0.1014901558660979</v>
      </c>
      <c r="S520" s="26" t="n">
        <v>223.5860256641989</v>
      </c>
      <c r="T520" s="27" t="n">
        <v>0.1185350200683799</v>
      </c>
      <c r="U520" s="26" t="n">
        <v>240.6373556805657</v>
      </c>
      <c r="V520" s="27" t="n">
        <v>0.09064321288370382</v>
      </c>
      <c r="W520" s="26" t="n">
        <v>244.1122287408592</v>
      </c>
      <c r="X520" s="27" t="n">
        <v>0.07431912174622651</v>
      </c>
      <c r="Y520" s="26" t="n">
        <v>223.696919304568</v>
      </c>
      <c r="Z520" s="27" t="n">
        <v>0.05365357610679998</v>
      </c>
      <c r="AA520" s="26" t="n">
        <v>234.7825874806313</v>
      </c>
      <c r="AB520" s="27" t="n">
        <v>0.1030298788698027</v>
      </c>
    </row>
    <row r="521">
      <c r="A521" s="26" t="n">
        <v>220.7030940267093</v>
      </c>
      <c r="B521" s="27" t="n">
        <v>0.09656390000162614</v>
      </c>
      <c r="C521" s="26" t="n">
        <v>222.8446859679719</v>
      </c>
      <c r="D521" s="27" t="n">
        <v>0.09371120894926449</v>
      </c>
      <c r="E521" s="26" t="n">
        <v>251.077571079358</v>
      </c>
      <c r="F521" s="27" t="n">
        <v>0.0728720108582827</v>
      </c>
      <c r="G521" s="26" t="n">
        <v>269.1521806431733</v>
      </c>
      <c r="H521" s="27" t="n">
        <v>0.05516297104520735</v>
      </c>
      <c r="I521" s="26" t="n">
        <v>273.3381656796695</v>
      </c>
      <c r="J521" s="27" t="n">
        <v>0.05499077941546322</v>
      </c>
      <c r="K521" s="26" t="n">
        <v>264.2451007057803</v>
      </c>
      <c r="L521" s="27" t="n">
        <v>0.05918093039330904</v>
      </c>
      <c r="M521" s="26" t="n">
        <v>251.0746125919168</v>
      </c>
      <c r="N521" s="27" t="n">
        <v>0.07377017555836568</v>
      </c>
      <c r="O521" s="26" t="n">
        <v>210.2664362565754</v>
      </c>
      <c r="P521" s="27" t="n">
        <v>0.07336074020790712</v>
      </c>
      <c r="Q521" s="26" t="n">
        <v>236.0847892197006</v>
      </c>
      <c r="R521" s="27" t="n">
        <v>0.1019965994082714</v>
      </c>
      <c r="S521" s="26" t="n">
        <v>223.6924492722303</v>
      </c>
      <c r="T521" s="27" t="n">
        <v>0.1191052370027176</v>
      </c>
      <c r="U521" s="26" t="n">
        <v>240.722400975018</v>
      </c>
      <c r="V521" s="27" t="n">
        <v>0.09110459116895135</v>
      </c>
      <c r="W521" s="26" t="n">
        <v>244.190414232912</v>
      </c>
      <c r="X521" s="27" t="n">
        <v>0.07469906860413612</v>
      </c>
      <c r="Y521" s="26" t="n">
        <v>223.8023604711749</v>
      </c>
      <c r="Z521" s="27" t="n">
        <v>0.05388874385406302</v>
      </c>
      <c r="AA521" s="26" t="n">
        <v>234.8627751423379</v>
      </c>
      <c r="AB521" s="27" t="n">
        <v>0.1035490920453891</v>
      </c>
    </row>
    <row r="522">
      <c r="A522" s="26" t="n">
        <v>220.8688556899147</v>
      </c>
      <c r="B522" s="27" t="n">
        <v>0.0970172972682546</v>
      </c>
      <c r="C522" s="26" t="n">
        <v>222.9847354817867</v>
      </c>
      <c r="D522" s="27" t="n">
        <v>0.09416313767910321</v>
      </c>
      <c r="E522" s="26" t="n">
        <v>251.1906287337147</v>
      </c>
      <c r="F522" s="27" t="n">
        <v>0.07323498482080931</v>
      </c>
      <c r="G522" s="26" t="n">
        <v>269.2389030737788</v>
      </c>
      <c r="H522" s="27" t="n">
        <v>0.05543349417895441</v>
      </c>
      <c r="I522" s="26" t="n">
        <v>273.4185501081695</v>
      </c>
      <c r="J522" s="27" t="n">
        <v>0.05526298775710834</v>
      </c>
      <c r="K522" s="26" t="n">
        <v>264.3213432001367</v>
      </c>
      <c r="L522" s="27" t="n">
        <v>0.05947732688958958</v>
      </c>
      <c r="M522" s="26" t="n">
        <v>251.1659182940026</v>
      </c>
      <c r="N522" s="27" t="n">
        <v>0.07414444130908583</v>
      </c>
      <c r="O522" s="26" t="n">
        <v>210.390840950664</v>
      </c>
      <c r="P522" s="27" t="n">
        <v>0.07370456406655414</v>
      </c>
      <c r="Q522" s="26" t="n">
        <v>236.1788759953335</v>
      </c>
      <c r="R522" s="27" t="n">
        <v>0.102504971153157</v>
      </c>
      <c r="S522" s="26" t="n">
        <v>223.7988728802617</v>
      </c>
      <c r="T522" s="27" t="n">
        <v>0.1196773374756339</v>
      </c>
      <c r="U522" s="26" t="n">
        <v>240.8074462694703</v>
      </c>
      <c r="V522" s="27" t="n">
        <v>0.09156789891844541</v>
      </c>
      <c r="W522" s="26" t="n">
        <v>244.2685997249648</v>
      </c>
      <c r="X522" s="27" t="n">
        <v>0.07508079117590308</v>
      </c>
      <c r="Y522" s="26" t="n">
        <v>223.9078016377819</v>
      </c>
      <c r="Z522" s="27" t="n">
        <v>0.05412495430112205</v>
      </c>
      <c r="AA522" s="26" t="n">
        <v>234.9429628040446</v>
      </c>
      <c r="AB522" s="27" t="n">
        <v>0.1040702948383138</v>
      </c>
    </row>
    <row r="523">
      <c r="A523" s="26" t="n">
        <v>221.0346173531199</v>
      </c>
      <c r="B523" s="27" t="n">
        <v>0.09747245573883051</v>
      </c>
      <c r="C523" s="26" t="n">
        <v>223.1247849956015</v>
      </c>
      <c r="D523" s="27" t="n">
        <v>0.09461689919738149</v>
      </c>
      <c r="E523" s="26" t="n">
        <v>251.3036863880714</v>
      </c>
      <c r="F523" s="27" t="n">
        <v>0.07359960674029192</v>
      </c>
      <c r="G523" s="26" t="n">
        <v>269.3256255043844</v>
      </c>
      <c r="H523" s="27" t="n">
        <v>0.05570532273988774</v>
      </c>
      <c r="I523" s="26" t="n">
        <v>273.4989345366694</v>
      </c>
      <c r="J523" s="27" t="n">
        <v>0.05553651733781952</v>
      </c>
      <c r="K523" s="26" t="n">
        <v>264.397585694493</v>
      </c>
      <c r="L523" s="27" t="n">
        <v>0.05977516310250118</v>
      </c>
      <c r="M523" s="26" t="n">
        <v>251.2572239960884</v>
      </c>
      <c r="N523" s="27" t="n">
        <v>0.07452042786206282</v>
      </c>
      <c r="O523" s="26" t="n">
        <v>210.5152456447525</v>
      </c>
      <c r="P523" s="27" t="n">
        <v>0.07404997102852807</v>
      </c>
      <c r="Q523" s="26" t="n">
        <v>236.2729627709664</v>
      </c>
      <c r="R523" s="27" t="n">
        <v>0.1030152721357765</v>
      </c>
      <c r="S523" s="26" t="n">
        <v>223.9052964882931</v>
      </c>
      <c r="T523" s="27" t="n">
        <v>0.1202513193081578</v>
      </c>
      <c r="U523" s="26" t="n">
        <v>240.8924915639226</v>
      </c>
      <c r="V523" s="27" t="n">
        <v>0.09203313946486381</v>
      </c>
      <c r="W523" s="26" t="n">
        <v>244.3467852170176</v>
      </c>
      <c r="X523" s="27" t="n">
        <v>0.07546429553435938</v>
      </c>
      <c r="Y523" s="26" t="n">
        <v>224.0132428043887</v>
      </c>
      <c r="Z523" s="27" t="n">
        <v>0.05436221210984987</v>
      </c>
      <c r="AA523" s="26" t="n">
        <v>235.0231504657511</v>
      </c>
      <c r="AB523" s="27" t="n">
        <v>0.1045934883106816</v>
      </c>
    </row>
    <row r="524">
      <c r="A524" s="26" t="n">
        <v>221.2003790163253</v>
      </c>
      <c r="B524" s="27" t="n">
        <v>0.09792937784538541</v>
      </c>
      <c r="C524" s="26" t="n">
        <v>223.2648345094162</v>
      </c>
      <c r="D524" s="27" t="n">
        <v>0.09507249677216953</v>
      </c>
      <c r="E524" s="26" t="n">
        <v>251.4167440424281</v>
      </c>
      <c r="F524" s="27" t="n">
        <v>0.07396588192683158</v>
      </c>
      <c r="G524" s="26" t="n">
        <v>269.41234793499</v>
      </c>
      <c r="H524" s="27" t="n">
        <v>0.05597846260365357</v>
      </c>
      <c r="I524" s="26" t="n">
        <v>273.5793189651694</v>
      </c>
      <c r="J524" s="27" t="n">
        <v>0.05581137408566702</v>
      </c>
      <c r="K524" s="26" t="n">
        <v>264.4738281888493</v>
      </c>
      <c r="L524" s="27" t="n">
        <v>0.06007444528125808</v>
      </c>
      <c r="M524" s="26" t="n">
        <v>251.3485296981743</v>
      </c>
      <c r="N524" s="27" t="n">
        <v>0.07489814078117978</v>
      </c>
      <c r="O524" s="26" t="n">
        <v>210.6396503388411</v>
      </c>
      <c r="P524" s="27" t="n">
        <v>0.07439696764315935</v>
      </c>
      <c r="Q524" s="26" t="n">
        <v>236.3670495465994</v>
      </c>
      <c r="R524" s="27" t="n">
        <v>0.1035275033148913</v>
      </c>
      <c r="S524" s="26" t="n">
        <v>224.0117200963244</v>
      </c>
      <c r="T524" s="27" t="n">
        <v>0.1208271802215433</v>
      </c>
      <c r="U524" s="26" t="n">
        <v>240.9775368583749</v>
      </c>
      <c r="V524" s="27" t="n">
        <v>0.09250031608743971</v>
      </c>
      <c r="W524" s="26" t="n">
        <v>244.4249707090704</v>
      </c>
      <c r="X524" s="27" t="n">
        <v>0.07584958774233423</v>
      </c>
      <c r="Y524" s="26" t="n">
        <v>224.1186839709956</v>
      </c>
      <c r="Z524" s="27" t="n">
        <v>0.05460052196305042</v>
      </c>
      <c r="AA524" s="26" t="n">
        <v>235.1033381274577</v>
      </c>
      <c r="AB524" s="27" t="n">
        <v>0.1051186734455962</v>
      </c>
    </row>
    <row r="525">
      <c r="A525" s="26" t="n">
        <v>221.3661406795305</v>
      </c>
      <c r="B525" s="27" t="n">
        <v>0.09838806596689807</v>
      </c>
      <c r="C525" s="26" t="n">
        <v>223.404884023231</v>
      </c>
      <c r="D525" s="27" t="n">
        <v>0.09552993362385556</v>
      </c>
      <c r="E525" s="26" t="n">
        <v>251.5298016967849</v>
      </c>
      <c r="F525" s="27" t="n">
        <v>0.07433381567760311</v>
      </c>
      <c r="G525" s="26" t="n">
        <v>269.4990703655956</v>
      </c>
      <c r="H525" s="27" t="n">
        <v>0.05625291966490106</v>
      </c>
      <c r="I525" s="26" t="n">
        <v>273.6597033936693</v>
      </c>
      <c r="J525" s="27" t="n">
        <v>0.05608756394702978</v>
      </c>
      <c r="K525" s="26" t="n">
        <v>264.5500706832057</v>
      </c>
      <c r="L525" s="27" t="n">
        <v>0.06037517969022595</v>
      </c>
      <c r="M525" s="26" t="n">
        <v>251.4398354002601</v>
      </c>
      <c r="N525" s="27" t="n">
        <v>0.07527758561617957</v>
      </c>
      <c r="O525" s="26" t="n">
        <v>210.7640550329296</v>
      </c>
      <c r="P525" s="27" t="n">
        <v>0.07474556047417609</v>
      </c>
      <c r="Q525" s="26" t="n">
        <v>236.4611363222323</v>
      </c>
      <c r="R525" s="27" t="n">
        <v>0.1040416655721413</v>
      </c>
      <c r="S525" s="26" t="n">
        <v>224.1181437043558</v>
      </c>
      <c r="T525" s="27" t="n">
        <v>0.1214049178364998</v>
      </c>
      <c r="U525" s="26" t="n">
        <v>241.0625821528272</v>
      </c>
      <c r="V525" s="27" t="n">
        <v>0.09296943201112583</v>
      </c>
      <c r="W525" s="26" t="n">
        <v>244.5031562011232</v>
      </c>
      <c r="X525" s="27" t="n">
        <v>0.07623667385211706</v>
      </c>
      <c r="Y525" s="26" t="n">
        <v>224.2241251376026</v>
      </c>
      <c r="Z525" s="27" t="n">
        <v>0.05483988856455148</v>
      </c>
      <c r="AA525" s="26" t="n">
        <v>235.1835257891643</v>
      </c>
      <c r="AB525" s="27" t="n">
        <v>0.1056458511462751</v>
      </c>
    </row>
    <row r="526">
      <c r="A526" s="26" t="n">
        <v>221.5319023427359</v>
      </c>
      <c r="B526" s="27" t="n">
        <v>0.09884852242851316</v>
      </c>
      <c r="C526" s="26" t="n">
        <v>223.5449335370458</v>
      </c>
      <c r="D526" s="27" t="n">
        <v>0.09598921292436025</v>
      </c>
      <c r="E526" s="26" t="n">
        <v>251.6428593511416</v>
      </c>
      <c r="F526" s="27" t="n">
        <v>0.07470341327633148</v>
      </c>
      <c r="G526" s="26" t="n">
        <v>269.5857927962012</v>
      </c>
      <c r="H526" s="27" t="n">
        <v>0.05652869983721003</v>
      </c>
      <c r="I526" s="26" t="n">
        <v>273.7400878221692</v>
      </c>
      <c r="J526" s="27" t="n">
        <v>0.05636509288650029</v>
      </c>
      <c r="K526" s="26" t="n">
        <v>264.6263131775621</v>
      </c>
      <c r="L526" s="27" t="n">
        <v>0.06067737260874915</v>
      </c>
      <c r="M526" s="26" t="n">
        <v>251.531141102346</v>
      </c>
      <c r="N526" s="27" t="n">
        <v>0.07565876790210772</v>
      </c>
      <c r="O526" s="26" t="n">
        <v>210.8884597270181</v>
      </c>
      <c r="P526" s="27" t="n">
        <v>0.07509575609950946</v>
      </c>
      <c r="Q526" s="26" t="n">
        <v>236.5552230978653</v>
      </c>
      <c r="R526" s="27" t="n">
        <v>0.10455775971118</v>
      </c>
      <c r="S526" s="26" t="n">
        <v>224.2245673123871</v>
      </c>
      <c r="T526" s="27" t="n">
        <v>0.1219845296724243</v>
      </c>
      <c r="U526" s="26" t="n">
        <v>241.1476274472795</v>
      </c>
      <c r="V526" s="27" t="n">
        <v>0.09344049040575153</v>
      </c>
      <c r="W526" s="26" t="n">
        <v>244.581341693176</v>
      </c>
      <c r="X526" s="27" t="n">
        <v>0.07662555990491331</v>
      </c>
      <c r="Y526" s="26" t="n">
        <v>224.3295663042094</v>
      </c>
      <c r="Z526" s="27" t="n">
        <v>0.05508031663929794</v>
      </c>
      <c r="AA526" s="26" t="n">
        <v>235.2637134508709</v>
      </c>
      <c r="AB526" s="27" t="n">
        <v>0.1061750222351627</v>
      </c>
    </row>
    <row r="527">
      <c r="A527" s="26" t="n">
        <v>221.6976640059412</v>
      </c>
      <c r="B527" s="27" t="n">
        <v>0.09931074950075398</v>
      </c>
      <c r="C527" s="26" t="n">
        <v>223.6849830508606</v>
      </c>
      <c r="D527" s="27" t="n">
        <v>0.09645033779634384</v>
      </c>
      <c r="E527" s="26" t="n">
        <v>251.7559170054984</v>
      </c>
      <c r="F527" s="27" t="n">
        <v>0.07507467999276136</v>
      </c>
      <c r="G527" s="26" t="n">
        <v>269.6725152268067</v>
      </c>
      <c r="H527" s="27" t="n">
        <v>0.05680580905301352</v>
      </c>
      <c r="I527" s="26" t="n">
        <v>273.8204722506692</v>
      </c>
      <c r="J527" s="27" t="n">
        <v>0.05664396688679267</v>
      </c>
      <c r="K527" s="26" t="n">
        <v>264.7025556719184</v>
      </c>
      <c r="L527" s="27" t="n">
        <v>0.06098103033097488</v>
      </c>
      <c r="M527" s="26" t="n">
        <v>251.6224468044318</v>
      </c>
      <c r="N527" s="27" t="n">
        <v>0.07604169315874759</v>
      </c>
      <c r="O527" s="26" t="n">
        <v>211.0128644211067</v>
      </c>
      <c r="P527" s="27" t="n">
        <v>0.07544756111109478</v>
      </c>
      <c r="Q527" s="26" t="n">
        <v>236.6493098734982</v>
      </c>
      <c r="R527" s="27" t="n">
        <v>0.1050757864568065</v>
      </c>
      <c r="S527" s="26" t="n">
        <v>224.3309909204185</v>
      </c>
      <c r="T527" s="27" t="n">
        <v>0.1225660131466337</v>
      </c>
      <c r="U527" s="26" t="n">
        <v>241.2326727417318</v>
      </c>
      <c r="V527" s="27" t="n">
        <v>0.0939134943851741</v>
      </c>
      <c r="W527" s="26" t="n">
        <v>244.6595271852288</v>
      </c>
      <c r="X527" s="27" t="n">
        <v>0.07701625193029327</v>
      </c>
      <c r="Y527" s="26" t="n">
        <v>224.4350074708163</v>
      </c>
      <c r="Z527" s="27" t="n">
        <v>0.05532181093344538</v>
      </c>
      <c r="AA527" s="26" t="n">
        <v>235.3439011125775</v>
      </c>
      <c r="AB527" s="27" t="n">
        <v>0.1067061874530391</v>
      </c>
    </row>
    <row r="528">
      <c r="A528" s="26" t="n">
        <v>221.8634256691465</v>
      </c>
      <c r="B528" s="27" t="n">
        <v>0.09977474939873134</v>
      </c>
      <c r="C528" s="26" t="n">
        <v>223.8250325646754</v>
      </c>
      <c r="D528" s="27" t="n">
        <v>0.0969133113124066</v>
      </c>
      <c r="E528" s="26" t="n">
        <v>251.8689746598551</v>
      </c>
      <c r="F528" s="27" t="n">
        <v>0.07544762108211821</v>
      </c>
      <c r="G528" s="26" t="n">
        <v>269.7592376574123</v>
      </c>
      <c r="H528" s="27" t="n">
        <v>0.05708425326351881</v>
      </c>
      <c r="I528" s="26" t="n">
        <v>273.9008566791691</v>
      </c>
      <c r="J528" s="27" t="n">
        <v>0.05692419194864028</v>
      </c>
      <c r="K528" s="26" t="n">
        <v>264.7787981662748</v>
      </c>
      <c r="L528" s="27" t="n">
        <v>0.06128615916567082</v>
      </c>
      <c r="M528" s="26" t="n">
        <v>251.7137525065176</v>
      </c>
      <c r="N528" s="27" t="n">
        <v>0.07642636689004889</v>
      </c>
      <c r="O528" s="26" t="n">
        <v>211.1372691151952</v>
      </c>
      <c r="P528" s="27" t="n">
        <v>0.07580098211466718</v>
      </c>
      <c r="Q528" s="26" t="n">
        <v>236.7433966491312</v>
      </c>
      <c r="R528" s="27" t="n">
        <v>0.1055957464540941</v>
      </c>
      <c r="S528" s="26" t="n">
        <v>224.4374145284499</v>
      </c>
      <c r="T528" s="27" t="n">
        <v>0.1231493655735997</v>
      </c>
      <c r="U528" s="26" t="n">
        <v>241.3177180361841</v>
      </c>
      <c r="V528" s="27" t="n">
        <v>0.09438844700642408</v>
      </c>
      <c r="W528" s="26" t="n">
        <v>244.7377126772816</v>
      </c>
      <c r="X528" s="27" t="n">
        <v>0.07740875594563205</v>
      </c>
      <c r="Y528" s="26" t="n">
        <v>224.5404486374233</v>
      </c>
      <c r="Z528" s="27" t="n">
        <v>0.05556437621445368</v>
      </c>
      <c r="AA528" s="26" t="n">
        <v>235.4240887742841</v>
      </c>
      <c r="AB528" s="27" t="n">
        <v>0.1072393474581257</v>
      </c>
    </row>
    <row r="529">
      <c r="A529" s="26" t="n">
        <v>222.0291873323518</v>
      </c>
      <c r="B529" s="27" t="n">
        <v>0.1002405242813437</v>
      </c>
      <c r="C529" s="26" t="n">
        <v>223.9650820784902</v>
      </c>
      <c r="D529" s="27" t="n">
        <v>0.09737813649428356</v>
      </c>
      <c r="E529" s="26" t="n">
        <v>251.9820323142118</v>
      </c>
      <c r="F529" s="27" t="n">
        <v>0.07582224178456433</v>
      </c>
      <c r="G529" s="26" t="n">
        <v>269.8459600880179</v>
      </c>
      <c r="H529" s="27" t="n">
        <v>0.05736403843862433</v>
      </c>
      <c r="I529" s="26" t="n">
        <v>273.9812411076691</v>
      </c>
      <c r="J529" s="27" t="n">
        <v>0.0572057740906972</v>
      </c>
      <c r="K529" s="26" t="n">
        <v>264.8550406606311</v>
      </c>
      <c r="L529" s="27" t="n">
        <v>0.06159276543603986</v>
      </c>
      <c r="M529" s="26" t="n">
        <v>251.8050582086034</v>
      </c>
      <c r="N529" s="27" t="n">
        <v>0.07681279458354801</v>
      </c>
      <c r="O529" s="26" t="n">
        <v>211.2616738092838</v>
      </c>
      <c r="P529" s="27" t="n">
        <v>0.0761560257295536</v>
      </c>
      <c r="Q529" s="26" t="n">
        <v>236.8374834247641</v>
      </c>
      <c r="R529" s="27" t="n">
        <v>0.1061176402675161</v>
      </c>
      <c r="S529" s="26" t="n">
        <v>224.5438381364813</v>
      </c>
      <c r="T529" s="27" t="n">
        <v>0.1237345841641837</v>
      </c>
      <c r="U529" s="26" t="n">
        <v>241.4027633306365</v>
      </c>
      <c r="V529" s="27" t="n">
        <v>0.09486535126884353</v>
      </c>
      <c r="W529" s="26" t="n">
        <v>244.8158981693344</v>
      </c>
      <c r="X529" s="27" t="n">
        <v>0.07780307795554349</v>
      </c>
      <c r="Y529" s="26" t="n">
        <v>224.6458898040302</v>
      </c>
      <c r="Z529" s="27" t="n">
        <v>0.05580801727118155</v>
      </c>
      <c r="AA529" s="26" t="n">
        <v>235.5042764359907</v>
      </c>
      <c r="AB529" s="27" t="n">
        <v>0.1077745028251898</v>
      </c>
    </row>
    <row r="530">
      <c r="A530" s="26" t="n">
        <v>222.1949489955571</v>
      </c>
      <c r="B530" s="27" t="n">
        <v>0.1007080762504746</v>
      </c>
      <c r="C530" s="26" t="n">
        <v>224.1051315923049</v>
      </c>
      <c r="D530" s="27" t="n">
        <v>0.09784481631203129</v>
      </c>
      <c r="E530" s="26" t="n">
        <v>252.0950899685685</v>
      </c>
      <c r="F530" s="27" t="n">
        <v>0.07619854732464609</v>
      </c>
      <c r="G530" s="26" t="n">
        <v>269.9326825186234</v>
      </c>
      <c r="H530" s="27" t="n">
        <v>0.05764517056683333</v>
      </c>
      <c r="I530" s="26" t="n">
        <v>274.061625536169</v>
      </c>
      <c r="J530" s="27" t="n">
        <v>0.05748871934942914</v>
      </c>
      <c r="K530" s="26" t="n">
        <v>264.9312831549875</v>
      </c>
      <c r="L530" s="27" t="n">
        <v>0.06190085547952808</v>
      </c>
      <c r="M530" s="26" t="n">
        <v>251.8963639106893</v>
      </c>
      <c r="N530" s="27" t="n">
        <v>0.077200981709781</v>
      </c>
      <c r="O530" s="26" t="n">
        <v>211.3860785033723</v>
      </c>
      <c r="P530" s="27" t="n">
        <v>0.07651269858845719</v>
      </c>
      <c r="Q530" s="26" t="n">
        <v>236.9315702003971</v>
      </c>
      <c r="R530" s="27" t="n">
        <v>0.1066414683800683</v>
      </c>
      <c r="S530" s="26" t="n">
        <v>224.6502617445127</v>
      </c>
      <c r="T530" s="27" t="n">
        <v>0.1243216660248745</v>
      </c>
      <c r="U530" s="26" t="n">
        <v>241.4878086250887</v>
      </c>
      <c r="V530" s="27" t="n">
        <v>0.09534421011321972</v>
      </c>
      <c r="W530" s="26" t="n">
        <v>244.8940836613872</v>
      </c>
      <c r="X530" s="27" t="n">
        <v>0.07819922395130478</v>
      </c>
      <c r="Y530" s="26" t="n">
        <v>224.7513309706371</v>
      </c>
      <c r="Z530" s="27" t="n">
        <v>0.0560527389139808</v>
      </c>
      <c r="AA530" s="26" t="n">
        <v>235.5844640976973</v>
      </c>
      <c r="AB530" s="27" t="n">
        <v>0.1083116540446426</v>
      </c>
    </row>
    <row r="531">
      <c r="A531" s="26" t="n">
        <v>222.3607106587624</v>
      </c>
      <c r="B531" s="27" t="n">
        <v>0.1011774073501824</v>
      </c>
      <c r="C531" s="26" t="n">
        <v>224.2451811061197</v>
      </c>
      <c r="D531" s="27" t="n">
        <v>0.0983133536832103</v>
      </c>
      <c r="E531" s="26" t="n">
        <v>252.2081476229253</v>
      </c>
      <c r="F531" s="27" t="n">
        <v>0.07657654291073412</v>
      </c>
      <c r="G531" s="26" t="n">
        <v>270.0194049492291</v>
      </c>
      <c r="H531" s="27" t="n">
        <v>0.05792765565516536</v>
      </c>
      <c r="I531" s="26" t="n">
        <v>274.1420099646689</v>
      </c>
      <c r="J531" s="27" t="n">
        <v>0.05777303377900739</v>
      </c>
      <c r="K531" s="26" t="n">
        <v>265.0075256493438</v>
      </c>
      <c r="L531" s="27" t="n">
        <v>0.06221043564763074</v>
      </c>
      <c r="M531" s="26" t="n">
        <v>251.9876696127752</v>
      </c>
      <c r="N531" s="27" t="n">
        <v>0.07759093372168881</v>
      </c>
      <c r="O531" s="26" t="n">
        <v>211.5104831974609</v>
      </c>
      <c r="P531" s="27" t="n">
        <v>0.07687100733723982</v>
      </c>
      <c r="Q531" s="26" t="n">
        <v>237.02565697603</v>
      </c>
      <c r="R531" s="27" t="n">
        <v>0.1071672311923888</v>
      </c>
      <c r="S531" s="26" t="n">
        <v>224.7566853525441</v>
      </c>
      <c r="T531" s="27" t="n">
        <v>0.1249106081570269</v>
      </c>
      <c r="U531" s="26" t="n">
        <v>241.572853919541</v>
      </c>
      <c r="V531" s="27" t="n">
        <v>0.0958250264209114</v>
      </c>
      <c r="W531" s="26" t="n">
        <v>244.97226915344</v>
      </c>
      <c r="X531" s="27" t="n">
        <v>0.07859719991027256</v>
      </c>
      <c r="Y531" s="26" t="n">
        <v>224.856772137244</v>
      </c>
      <c r="Z531" s="27" t="n">
        <v>0.05629854597479152</v>
      </c>
      <c r="AA531" s="26" t="n">
        <v>235.6646517594039</v>
      </c>
      <c r="AB531" s="27" t="n">
        <v>0.1088508015216393</v>
      </c>
    </row>
    <row r="532">
      <c r="A532" s="26" t="n">
        <v>222.5264723219677</v>
      </c>
      <c r="B532" s="27" t="n">
        <v>0.101648519565885</v>
      </c>
      <c r="C532" s="26" t="n">
        <v>224.3852306199345</v>
      </c>
      <c r="D532" s="27" t="n">
        <v>0.09878375147205767</v>
      </c>
      <c r="E532" s="26" t="n">
        <v>252.321205277282</v>
      </c>
      <c r="F532" s="27" t="n">
        <v>0.07695623373445659</v>
      </c>
      <c r="G532" s="26" t="n">
        <v>270.1061273798346</v>
      </c>
      <c r="H532" s="27" t="n">
        <v>0.05821149972906308</v>
      </c>
      <c r="I532" s="26" t="n">
        <v>274.2223943931689</v>
      </c>
      <c r="J532" s="27" t="n">
        <v>0.0580587234511926</v>
      </c>
      <c r="K532" s="26" t="n">
        <v>265.0837681437001</v>
      </c>
      <c r="L532" s="27" t="n">
        <v>0.06252151230569115</v>
      </c>
      <c r="M532" s="26" t="n">
        <v>252.078975314861</v>
      </c>
      <c r="N532" s="27" t="n">
        <v>0.07798265605401501</v>
      </c>
      <c r="O532" s="26" t="n">
        <v>211.6348878915494</v>
      </c>
      <c r="P532" s="27" t="n">
        <v>0.07723095863469739</v>
      </c>
      <c r="Q532" s="26" t="n">
        <v>237.119743751663</v>
      </c>
      <c r="R532" s="27" t="n">
        <v>0.1076949290218749</v>
      </c>
      <c r="S532" s="26" t="n">
        <v>224.8631089605754</v>
      </c>
      <c r="T532" s="27" t="n">
        <v>0.1255014074561028</v>
      </c>
      <c r="U532" s="26" t="n">
        <v>241.6578992139933</v>
      </c>
      <c r="V532" s="27" t="n">
        <v>0.09630780301296939</v>
      </c>
      <c r="W532" s="26" t="n">
        <v>245.0504546454928</v>
      </c>
      <c r="X532" s="27" t="n">
        <v>0.07899701179529378</v>
      </c>
      <c r="Y532" s="26" t="n">
        <v>224.9622133038509</v>
      </c>
      <c r="Z532" s="27" t="n">
        <v>0.05654544330723722</v>
      </c>
      <c r="AA532" s="26" t="n">
        <v>235.7448394211106</v>
      </c>
      <c r="AB532" s="27" t="n">
        <v>0.1093919455751712</v>
      </c>
    </row>
    <row r="533">
      <c r="A533" s="26" t="n">
        <v>222.692233985173</v>
      </c>
      <c r="B533" s="27" t="n">
        <v>0.1021214148235392</v>
      </c>
      <c r="C533" s="26" t="n">
        <v>224.5252801337492</v>
      </c>
      <c r="D533" s="27" t="n">
        <v>0.09925601248865734</v>
      </c>
      <c r="E533" s="26" t="n">
        <v>252.4342629316387</v>
      </c>
      <c r="F533" s="27" t="n">
        <v>0.07733762497012439</v>
      </c>
      <c r="G533" s="26" t="n">
        <v>270.1928498104402</v>
      </c>
      <c r="H533" s="27" t="n">
        <v>0.05849670883229625</v>
      </c>
      <c r="I533" s="26" t="n">
        <v>274.3027788216688</v>
      </c>
      <c r="J533" s="27" t="n">
        <v>0.05834579445522152</v>
      </c>
      <c r="K533" s="26" t="n">
        <v>265.1600106380565</v>
      </c>
      <c r="L533" s="27" t="n">
        <v>0.06283409183269599</v>
      </c>
      <c r="M533" s="26" t="n">
        <v>252.1702810169468</v>
      </c>
      <c r="N533" s="27" t="n">
        <v>0.07837615412269526</v>
      </c>
      <c r="O533" s="26" t="n">
        <v>211.759292585638</v>
      </c>
      <c r="P533" s="27" t="n">
        <v>0.07759255915232917</v>
      </c>
      <c r="Q533" s="26" t="n">
        <v>237.2138305272959</v>
      </c>
      <c r="R533" s="27" t="n">
        <v>0.1082245621017968</v>
      </c>
      <c r="S533" s="26" t="n">
        <v>224.9695325686068</v>
      </c>
      <c r="T533" s="27" t="n">
        <v>0.1260940607109125</v>
      </c>
      <c r="U533" s="26" t="n">
        <v>241.7429445084457</v>
      </c>
      <c r="V533" s="27" t="n">
        <v>0.09679254264925127</v>
      </c>
      <c r="W533" s="26" t="n">
        <v>245.1286401375456</v>
      </c>
      <c r="X533" s="27" t="n">
        <v>0.07939866555410555</v>
      </c>
      <c r="Y533" s="26" t="n">
        <v>225.0676544704579</v>
      </c>
      <c r="Z533" s="27" t="n">
        <v>0.05679343578672068</v>
      </c>
      <c r="AA533" s="26" t="n">
        <v>235.8250270828171</v>
      </c>
      <c r="AB533" s="27" t="n">
        <v>0.1099350864371597</v>
      </c>
    </row>
    <row r="534">
      <c r="A534" s="26" t="n">
        <v>222.8579956483783</v>
      </c>
      <c r="B534" s="27" t="n">
        <v>0.1025960949888138</v>
      </c>
      <c r="C534" s="26" t="n">
        <v>224.665329647564</v>
      </c>
      <c r="D534" s="27" t="n">
        <v>0.09973013948809924</v>
      </c>
      <c r="E534" s="26" t="n">
        <v>252.5473205859954</v>
      </c>
      <c r="F534" s="27" t="n">
        <v>0.07772072177414953</v>
      </c>
      <c r="G534" s="26" t="n">
        <v>270.2795722410457</v>
      </c>
      <c r="H534" s="27" t="n">
        <v>0.05878328902686226</v>
      </c>
      <c r="I534" s="26" t="n">
        <v>274.3831632501688</v>
      </c>
      <c r="J534" s="27" t="n">
        <v>0.05863425289768313</v>
      </c>
      <c r="K534" s="26" t="n">
        <v>265.2362531324129</v>
      </c>
      <c r="L534" s="27" t="n">
        <v>0.06314818062106377</v>
      </c>
      <c r="M534" s="26" t="n">
        <v>252.2615867190327</v>
      </c>
      <c r="N534" s="27" t="n">
        <v>0.07877143332423996</v>
      </c>
      <c r="O534" s="26" t="n">
        <v>211.8836972797265</v>
      </c>
      <c r="P534" s="27" t="n">
        <v>0.07795581557410441</v>
      </c>
      <c r="Q534" s="26" t="n">
        <v>237.3079173029288</v>
      </c>
      <c r="R534" s="27" t="n">
        <v>0.108756130580409</v>
      </c>
      <c r="S534" s="26" t="n">
        <v>225.0759561766382</v>
      </c>
      <c r="T534" s="27" t="n">
        <v>0.12668856460286</v>
      </c>
      <c r="U534" s="26" t="n">
        <v>241.8279898028979</v>
      </c>
      <c r="V534" s="27" t="n">
        <v>0.09727924802752974</v>
      </c>
      <c r="W534" s="26" t="n">
        <v>245.2068256295984</v>
      </c>
      <c r="X534" s="27" t="n">
        <v>0.07980216711872842</v>
      </c>
      <c r="Y534" s="26" t="n">
        <v>225.1730956370647</v>
      </c>
      <c r="Z534" s="27" t="n">
        <v>0.05704252831051997</v>
      </c>
      <c r="AA534" s="26" t="n">
        <v>235.9052147445237</v>
      </c>
      <c r="AB534" s="27" t="n">
        <v>0.1104802242515443</v>
      </c>
    </row>
    <row r="535">
      <c r="A535" s="26" t="n">
        <v>223.0237573115837</v>
      </c>
      <c r="B535" s="27" t="n">
        <v>0.1030725618662572</v>
      </c>
      <c r="C535" s="26" t="n">
        <v>224.8053791613788</v>
      </c>
      <c r="D535" s="27" t="n">
        <v>0.1002061351696357</v>
      </c>
      <c r="E535" s="26" t="n">
        <v>252.6603782403521</v>
      </c>
      <c r="F535" s="27" t="n">
        <v>0.07810552928445541</v>
      </c>
      <c r="G535" s="26" t="n">
        <v>270.3662946716513</v>
      </c>
      <c r="H535" s="27" t="n">
        <v>0.0590712463928831</v>
      </c>
      <c r="I535" s="26" t="n">
        <v>274.4635476786687</v>
      </c>
      <c r="J535" s="27" t="n">
        <v>0.05892410490239783</v>
      </c>
      <c r="K535" s="26" t="n">
        <v>265.3124956267692</v>
      </c>
      <c r="L535" s="27" t="n">
        <v>0.06346378507643141</v>
      </c>
      <c r="M535" s="26" t="n">
        <v>252.3528924211185</v>
      </c>
      <c r="N535" s="27" t="n">
        <v>0.07916849903510786</v>
      </c>
      <c r="O535" s="26" t="n">
        <v>212.0081019738151</v>
      </c>
      <c r="P535" s="27" t="n">
        <v>0.07832073459622121</v>
      </c>
      <c r="Q535" s="26" t="n">
        <v>237.4020040785618</v>
      </c>
      <c r="R535" s="27" t="n">
        <v>0.109289634520059</v>
      </c>
      <c r="S535" s="26" t="n">
        <v>225.1823797846695</v>
      </c>
      <c r="T535" s="27" t="n">
        <v>0.1272849157051895</v>
      </c>
      <c r="U535" s="26" t="n">
        <v>241.9130350973502</v>
      </c>
      <c r="V535" s="27" t="n">
        <v>0.09776792178259527</v>
      </c>
      <c r="W535" s="26" t="n">
        <v>245.2850111216512</v>
      </c>
      <c r="X535" s="27" t="n">
        <v>0.08020752240485123</v>
      </c>
      <c r="Y535" s="26" t="n">
        <v>225.2785368036717</v>
      </c>
      <c r="Z535" s="27" t="n">
        <v>0.0572927257978844</v>
      </c>
      <c r="AA535" s="26" t="n">
        <v>235.9854024062303</v>
      </c>
      <c r="AB535" s="27" t="n">
        <v>0.1110273590733702</v>
      </c>
    </row>
    <row r="536">
      <c r="A536" s="26" t="n">
        <v>223.1895189747889</v>
      </c>
      <c r="B536" s="27" t="n">
        <v>0.1035508171984596</v>
      </c>
      <c r="C536" s="26" t="n">
        <v>224.9454286751936</v>
      </c>
      <c r="D536" s="27" t="n">
        <v>0.1006840021758292</v>
      </c>
      <c r="E536" s="26" t="n">
        <v>252.7734358947088</v>
      </c>
      <c r="F536" s="27" t="n">
        <v>0.07849205261987993</v>
      </c>
      <c r="G536" s="26" t="n">
        <v>270.4530171022569</v>
      </c>
      <c r="H536" s="27" t="n">
        <v>0.05936058702849807</v>
      </c>
      <c r="I536" s="26" t="n">
        <v>274.5439321071686</v>
      </c>
      <c r="J536" s="27" t="n">
        <v>0.05921535661028601</v>
      </c>
      <c r="K536" s="26" t="n">
        <v>265.3887381211256</v>
      </c>
      <c r="L536" s="27" t="n">
        <v>0.06378091161743281</v>
      </c>
      <c r="M536" s="26" t="n">
        <v>252.4441981232043</v>
      </c>
      <c r="N536" s="27" t="n">
        <v>0.07956735661107245</v>
      </c>
      <c r="O536" s="26" t="n">
        <v>212.1325066679036</v>
      </c>
      <c r="P536" s="27" t="n">
        <v>0.07868732292686055</v>
      </c>
      <c r="Q536" s="26" t="n">
        <v>237.4960908541948</v>
      </c>
      <c r="R536" s="27" t="n">
        <v>0.1098250738962932</v>
      </c>
      <c r="S536" s="26" t="n">
        <v>225.2888033927009</v>
      </c>
      <c r="T536" s="27" t="n">
        <v>0.1278831104822336</v>
      </c>
      <c r="U536" s="26" t="n">
        <v>241.9980803918026</v>
      </c>
      <c r="V536" s="27" t="n">
        <v>0.09825856648535225</v>
      </c>
      <c r="W536" s="26" t="n">
        <v>245.363196613704</v>
      </c>
      <c r="X536" s="27" t="n">
        <v>0.08061473731120669</v>
      </c>
      <c r="Y536" s="26" t="n">
        <v>225.3839779702786</v>
      </c>
      <c r="Z536" s="27" t="n">
        <v>0.05754403319013184</v>
      </c>
      <c r="AA536" s="26" t="n">
        <v>236.0655900679369</v>
      </c>
      <c r="AB536" s="27" t="n">
        <v>0.1115764908678729</v>
      </c>
    </row>
    <row r="537">
      <c r="A537" s="26" t="n">
        <v>223.3552806379943</v>
      </c>
      <c r="B537" s="27" t="n">
        <v>0.1040308626652102</v>
      </c>
      <c r="C537" s="26" t="n">
        <v>225.0854781890083</v>
      </c>
      <c r="D537" s="27" t="n">
        <v>0.1011637430916938</v>
      </c>
      <c r="E537" s="26" t="n">
        <v>252.8864935490656</v>
      </c>
      <c r="F537" s="27" t="n">
        <v>0.07888029687957027</v>
      </c>
      <c r="G537" s="26" t="n">
        <v>270.5397395328624</v>
      </c>
      <c r="H537" s="27" t="n">
        <v>0.05965131704975424</v>
      </c>
      <c r="I537" s="26" t="n">
        <v>274.6243165356686</v>
      </c>
      <c r="J537" s="27" t="n">
        <v>0.05950801417923889</v>
      </c>
      <c r="K537" s="26" t="n">
        <v>265.464980615482</v>
      </c>
      <c r="L537" s="27" t="n">
        <v>0.06409956667547277</v>
      </c>
      <c r="M537" s="26" t="n">
        <v>252.5355038252902</v>
      </c>
      <c r="N537" s="27" t="n">
        <v>0.07996801138658004</v>
      </c>
      <c r="O537" s="26" t="n">
        <v>212.2569113619921</v>
      </c>
      <c r="P537" s="27" t="n">
        <v>0.07905558728593536</v>
      </c>
      <c r="Q537" s="26" t="n">
        <v>237.5901776298277</v>
      </c>
      <c r="R537" s="27" t="n">
        <v>0.1103624485969608</v>
      </c>
      <c r="S537" s="26" t="n">
        <v>225.3952270007323</v>
      </c>
      <c r="T537" s="27" t="n">
        <v>0.128483145288665</v>
      </c>
      <c r="U537" s="26" t="n">
        <v>242.0831256862549</v>
      </c>
      <c r="V537" s="27" t="n">
        <v>0.09875118464190948</v>
      </c>
      <c r="W537" s="26" t="n">
        <v>245.4413821057568</v>
      </c>
      <c r="X537" s="27" t="n">
        <v>0.08102381771894118</v>
      </c>
      <c r="Y537" s="26" t="n">
        <v>225.4894191368855</v>
      </c>
      <c r="Z537" s="27" t="n">
        <v>0.05779645545074547</v>
      </c>
      <c r="AA537" s="26" t="n">
        <v>236.1457777296435</v>
      </c>
      <c r="AB537" s="27" t="n">
        <v>0.1121276195095586</v>
      </c>
    </row>
    <row r="538">
      <c r="A538" s="26" t="n">
        <v>223.5210423011995</v>
      </c>
      <c r="B538" s="27" t="n">
        <v>0.1045126998826463</v>
      </c>
      <c r="C538" s="26" t="n">
        <v>225.2255277028231</v>
      </c>
      <c r="D538" s="27" t="n">
        <v>0.1016453604438316</v>
      </c>
      <c r="E538" s="26" t="n">
        <v>252.9995512034223</v>
      </c>
      <c r="F538" s="27" t="n">
        <v>0.07927026714237065</v>
      </c>
      <c r="G538" s="26" t="n">
        <v>270.626461963468</v>
      </c>
      <c r="H538" s="27" t="n">
        <v>0.05994344259049197</v>
      </c>
      <c r="I538" s="26" t="n">
        <v>274.7047009641685</v>
      </c>
      <c r="J538" s="27" t="n">
        <v>0.05980208378397939</v>
      </c>
      <c r="K538" s="26" t="n">
        <v>265.5412231098383</v>
      </c>
      <c r="L538" s="27" t="n">
        <v>0.06441975669449733</v>
      </c>
      <c r="M538" s="26" t="n">
        <v>252.626809527376</v>
      </c>
      <c r="N538" s="27" t="n">
        <v>0.08037046867409969</v>
      </c>
      <c r="O538" s="26" t="n">
        <v>212.3813160560807</v>
      </c>
      <c r="P538" s="27" t="n">
        <v>0.07942553440483241</v>
      </c>
      <c r="Q538" s="26" t="n">
        <v>237.6842644054607</v>
      </c>
      <c r="R538" s="27" t="n">
        <v>0.1109017584213142</v>
      </c>
      <c r="S538" s="26" t="n">
        <v>225.5016506087637</v>
      </c>
      <c r="T538" s="27" t="n">
        <v>0.1290850163687504</v>
      </c>
      <c r="U538" s="26" t="n">
        <v>242.1681709807072</v>
      </c>
      <c r="V538" s="27" t="n">
        <v>0.0992457786926651</v>
      </c>
      <c r="W538" s="26" t="n">
        <v>245.5195675978096</v>
      </c>
      <c r="X538" s="27" t="n">
        <v>0.08143476949097243</v>
      </c>
      <c r="Y538" s="26" t="n">
        <v>225.5948603034924</v>
      </c>
      <c r="Z538" s="27" t="n">
        <v>0.05804999756547131</v>
      </c>
      <c r="AA538" s="26" t="n">
        <v>236.2259653913501</v>
      </c>
      <c r="AB538" s="27" t="n">
        <v>0.1126807447812866</v>
      </c>
    </row>
    <row r="539">
      <c r="A539" s="26" t="n">
        <v>223.6868039644049</v>
      </c>
      <c r="B539" s="27" t="n">
        <v>0.104996330402401</v>
      </c>
      <c r="C539" s="26" t="n">
        <v>225.3655772166379</v>
      </c>
      <c r="D539" s="27" t="n">
        <v>0.1021288566995594</v>
      </c>
      <c r="E539" s="26" t="n">
        <v>253.112608857779</v>
      </c>
      <c r="F539" s="27" t="n">
        <v>0.07966196846620188</v>
      </c>
      <c r="G539" s="26" t="n">
        <v>270.7131843940736</v>
      </c>
      <c r="H539" s="27" t="n">
        <v>0.0602369698022268</v>
      </c>
      <c r="I539" s="26" t="n">
        <v>274.7850853926685</v>
      </c>
      <c r="J539" s="27" t="n">
        <v>0.06009757161592481</v>
      </c>
      <c r="K539" s="26" t="n">
        <v>265.6174656041946</v>
      </c>
      <c r="L539" s="27" t="n">
        <v>0.06474148813075657</v>
      </c>
      <c r="M539" s="26" t="n">
        <v>252.7181152294618</v>
      </c>
      <c r="N539" s="27" t="n">
        <v>0.0807747337634655</v>
      </c>
      <c r="O539" s="26" t="n">
        <v>212.5057207501692</v>
      </c>
      <c r="P539" s="27" t="n">
        <v>0.0797971710261504</v>
      </c>
      <c r="Q539" s="26" t="n">
        <v>237.7783511810936</v>
      </c>
      <c r="R539" s="27" t="n">
        <v>0.111443003079108</v>
      </c>
      <c r="S539" s="26" t="n">
        <v>225.608074216795</v>
      </c>
      <c r="T539" s="27" t="n">
        <v>0.1296887198556056</v>
      </c>
      <c r="U539" s="26" t="n">
        <v>242.2532162751595</v>
      </c>
      <c r="V539" s="27" t="n">
        <v>0.09974235101138472</v>
      </c>
      <c r="W539" s="26" t="n">
        <v>245.5977530898624</v>
      </c>
      <c r="X539" s="27" t="n">
        <v>0.08184759847134214</v>
      </c>
      <c r="Y539" s="26" t="n">
        <v>225.7003014700993</v>
      </c>
      <c r="Z539" s="27" t="n">
        <v>0.05830466454241609</v>
      </c>
      <c r="AA539" s="26" t="n">
        <v>236.3061530530567</v>
      </c>
      <c r="AB539" s="27" t="n">
        <v>0.1132358663733446</v>
      </c>
    </row>
    <row r="540">
      <c r="A540" s="26" t="n">
        <v>223.8525656276102</v>
      </c>
      <c r="B540" s="27" t="n">
        <v>0.1054817557107408</v>
      </c>
      <c r="C540" s="26" t="n">
        <v>225.5056267304527</v>
      </c>
      <c r="D540" s="27" t="n">
        <v>0.1026142342660333</v>
      </c>
      <c r="E540" s="26" t="n">
        <v>253.2256665121357</v>
      </c>
      <c r="F540" s="27" t="n">
        <v>0.0800554058874328</v>
      </c>
      <c r="G540" s="26" t="n">
        <v>270.7999068246792</v>
      </c>
      <c r="H540" s="27" t="n">
        <v>0.06053190485402789</v>
      </c>
      <c r="I540" s="26" t="n">
        <v>274.8654698211684</v>
      </c>
      <c r="J540" s="27" t="n">
        <v>0.06039448388303922</v>
      </c>
      <c r="K540" s="26" t="n">
        <v>265.693708098551</v>
      </c>
      <c r="L540" s="27" t="n">
        <v>0.06506476745256329</v>
      </c>
      <c r="M540" s="26" t="n">
        <v>252.8094209315477</v>
      </c>
      <c r="N540" s="27" t="n">
        <v>0.08118081192121</v>
      </c>
      <c r="O540" s="26" t="n">
        <v>212.6301254442578</v>
      </c>
      <c r="P540" s="27" t="n">
        <v>0.08017050390343015</v>
      </c>
      <c r="Q540" s="26" t="n">
        <v>237.8724379567266</v>
      </c>
      <c r="R540" s="27" t="n">
        <v>0.1119861821896964</v>
      </c>
      <c r="S540" s="26" t="n">
        <v>225.7144978248264</v>
      </c>
      <c r="T540" s="27" t="n">
        <v>0.130294251770456</v>
      </c>
      <c r="U540" s="26" t="n">
        <v>242.3382615696118</v>
      </c>
      <c r="V540" s="27" t="n">
        <v>0.1002409039042743</v>
      </c>
      <c r="W540" s="26" t="n">
        <v>245.6759385819152</v>
      </c>
      <c r="X540" s="27" t="n">
        <v>0.08226231048455808</v>
      </c>
      <c r="Y540" s="26" t="n">
        <v>225.8057426367062</v>
      </c>
      <c r="Z540" s="27" t="n">
        <v>0.05856046141214536</v>
      </c>
      <c r="AA540" s="26" t="n">
        <v>236.3863407147633</v>
      </c>
      <c r="AB540" s="27" t="n">
        <v>0.1137929838825254</v>
      </c>
    </row>
    <row r="541">
      <c r="A541" s="26" t="n">
        <v>224.0183272908155</v>
      </c>
      <c r="B541" s="27" t="n">
        <v>0.1059689772277012</v>
      </c>
      <c r="C541" s="26" t="n">
        <v>225.6456762442675</v>
      </c>
      <c r="D541" s="27" t="n">
        <v>0.1031014954893622</v>
      </c>
      <c r="E541" s="26" t="n">
        <v>253.3387241664925</v>
      </c>
      <c r="F541" s="27" t="n">
        <v>0.08045058442024486</v>
      </c>
      <c r="G541" s="26" t="n">
        <v>270.8866292552847</v>
      </c>
      <c r="H541" s="27" t="n">
        <v>0.06082825393239247</v>
      </c>
      <c r="I541" s="26" t="n">
        <v>274.9458542496683</v>
      </c>
      <c r="J541" s="27" t="n">
        <v>0.0606928268096877</v>
      </c>
      <c r="K541" s="26" t="n">
        <v>265.7699505929073</v>
      </c>
      <c r="L541" s="27" t="n">
        <v>0.06538960114004484</v>
      </c>
      <c r="M541" s="26" t="n">
        <v>252.9007266336335</v>
      </c>
      <c r="N541" s="27" t="n">
        <v>0.08158870838988995</v>
      </c>
      <c r="O541" s="26" t="n">
        <v>212.7545301383464</v>
      </c>
      <c r="P541" s="27" t="n">
        <v>0.0805455398008805</v>
      </c>
      <c r="Q541" s="26" t="n">
        <v>237.9665247323595</v>
      </c>
      <c r="R541" s="27" t="n">
        <v>0.1125312952811259</v>
      </c>
      <c r="S541" s="26" t="n">
        <v>225.8209214328578</v>
      </c>
      <c r="T541" s="27" t="n">
        <v>0.1309016080218973</v>
      </c>
      <c r="U541" s="26" t="n">
        <v>242.4233068640641</v>
      </c>
      <c r="V541" s="27" t="n">
        <v>0.1007414396090471</v>
      </c>
      <c r="W541" s="26" t="n">
        <v>245.754124073968</v>
      </c>
      <c r="X541" s="27" t="n">
        <v>0.08267891133492783</v>
      </c>
      <c r="Y541" s="26" t="n">
        <v>225.9111838033131</v>
      </c>
      <c r="Z541" s="27" t="n">
        <v>0.05881739322778178</v>
      </c>
      <c r="AA541" s="26" t="n">
        <v>236.4665283764699</v>
      </c>
      <c r="AB541" s="27" t="n">
        <v>0.1143520968112007</v>
      </c>
    </row>
    <row r="542">
      <c r="A542" s="26" t="n">
        <v>224.1840889540208</v>
      </c>
      <c r="B542" s="27" t="n">
        <v>0.1064579963062154</v>
      </c>
      <c r="C542" s="26" t="n">
        <v>225.7857257580822</v>
      </c>
      <c r="D542" s="27" t="n">
        <v>0.1035906426537182</v>
      </c>
      <c r="E542" s="26" t="n">
        <v>253.4517818208492</v>
      </c>
      <c r="F542" s="27" t="n">
        <v>0.08084750905598698</v>
      </c>
      <c r="G542" s="26" t="n">
        <v>270.9733516858903</v>
      </c>
      <c r="H542" s="27" t="n">
        <v>0.06112602324111503</v>
      </c>
      <c r="I542" s="26" t="n">
        <v>275.0262386781683</v>
      </c>
      <c r="J542" s="27" t="n">
        <v>0.06099260663648089</v>
      </c>
      <c r="K542" s="26" t="n">
        <v>265.8461930872637</v>
      </c>
      <c r="L542" s="27" t="n">
        <v>0.06571599568489164</v>
      </c>
      <c r="M542" s="26" t="n">
        <v>252.9920323357194</v>
      </c>
      <c r="N542" s="27" t="n">
        <v>0.08199842838740291</v>
      </c>
      <c r="O542" s="26" t="n">
        <v>212.8789348324349</v>
      </c>
      <c r="P542" s="27" t="n">
        <v>0.08092228549309688</v>
      </c>
      <c r="Q542" s="26" t="n">
        <v>238.0606115079925</v>
      </c>
      <c r="R542" s="27" t="n">
        <v>0.113078341789229</v>
      </c>
      <c r="S542" s="26" t="n">
        <v>225.9273450408892</v>
      </c>
      <c r="T542" s="27" t="n">
        <v>0.1315107844051609</v>
      </c>
      <c r="U542" s="26" t="n">
        <v>242.5083521585164</v>
      </c>
      <c r="V542" s="27" t="n">
        <v>0.1012439602939837</v>
      </c>
      <c r="W542" s="26" t="n">
        <v>245.8323095660209</v>
      </c>
      <c r="X542" s="27" t="n">
        <v>0.08309740680588462</v>
      </c>
      <c r="Y542" s="26" t="n">
        <v>226.01662496992</v>
      </c>
      <c r="Z542" s="27" t="n">
        <v>0.05907546506510445</v>
      </c>
      <c r="AA542" s="26" t="n">
        <v>236.5467160381765</v>
      </c>
      <c r="AB542" s="27" t="n">
        <v>0.114913204566392</v>
      </c>
    </row>
    <row r="543">
      <c r="A543" s="26" t="n">
        <v>224.3498506172261</v>
      </c>
      <c r="B543" s="27" t="n">
        <v>0.1069488142312368</v>
      </c>
      <c r="C543" s="26" t="n">
        <v>225.925775271897</v>
      </c>
      <c r="D543" s="27" t="n">
        <v>0.104081677980439</v>
      </c>
      <c r="E543" s="26" t="n">
        <v>253.5648394752059</v>
      </c>
      <c r="F543" s="27" t="n">
        <v>0.0812461847625239</v>
      </c>
      <c r="G543" s="26" t="n">
        <v>271.0600741164959</v>
      </c>
      <c r="H543" s="27" t="n">
        <v>0.06142521900115509</v>
      </c>
      <c r="I543" s="26" t="n">
        <v>275.1066231066682</v>
      </c>
      <c r="J543" s="27" t="n">
        <v>0.06129382962011861</v>
      </c>
      <c r="K543" s="26" t="n">
        <v>265.92243558162</v>
      </c>
      <c r="L543" s="27" t="n">
        <v>0.0660439575900973</v>
      </c>
      <c r="M543" s="26" t="n">
        <v>253.0833380378052</v>
      </c>
      <c r="N543" s="27" t="n">
        <v>0.08240997710629679</v>
      </c>
      <c r="O543" s="26" t="n">
        <v>213.0033395265234</v>
      </c>
      <c r="P543" s="27" t="n">
        <v>0.08130074776477489</v>
      </c>
      <c r="Q543" s="26" t="n">
        <v>238.1546982836254</v>
      </c>
      <c r="R543" s="27" t="n">
        <v>0.1136273210567141</v>
      </c>
      <c r="S543" s="26" t="n">
        <v>226.0337686489206</v>
      </c>
      <c r="T543" s="27" t="n">
        <v>0.1321217766013823</v>
      </c>
      <c r="U543" s="26" t="n">
        <v>242.5933974529687</v>
      </c>
      <c r="V543" s="27" t="n">
        <v>0.1017484680569885</v>
      </c>
      <c r="W543" s="26" t="n">
        <v>245.9104950580736</v>
      </c>
      <c r="X543" s="27" t="n">
        <v>0.08351780265930291</v>
      </c>
      <c r="Y543" s="26" t="n">
        <v>226.1220661365269</v>
      </c>
      <c r="Z543" s="27" t="n">
        <v>0.05933468202264754</v>
      </c>
      <c r="AA543" s="26" t="n">
        <v>236.6269036998831</v>
      </c>
      <c r="AB543" s="27" t="n">
        <v>0.1154763064588407</v>
      </c>
    </row>
    <row r="544">
      <c r="A544" s="26" t="n">
        <v>224.5156122804314</v>
      </c>
      <c r="B544" s="27" t="n">
        <v>0.107441432218858</v>
      </c>
      <c r="C544" s="26" t="n">
        <v>226.0658247857118</v>
      </c>
      <c r="D544" s="27" t="n">
        <v>0.1045746036271239</v>
      </c>
      <c r="E544" s="26" t="n">
        <v>253.6778971295627</v>
      </c>
      <c r="F544" s="27" t="n">
        <v>0.08164661648357593</v>
      </c>
      <c r="G544" s="26" t="n">
        <v>271.1467965471014</v>
      </c>
      <c r="H544" s="27" t="n">
        <v>0.06172584745049799</v>
      </c>
      <c r="I544" s="26" t="n">
        <v>275.1870075351682</v>
      </c>
      <c r="J544" s="27" t="n">
        <v>0.06159650203322767</v>
      </c>
      <c r="K544" s="26" t="n">
        <v>265.9986780759764</v>
      </c>
      <c r="L544" s="27" t="n">
        <v>0.06637349336969504</v>
      </c>
      <c r="M544" s="26" t="n">
        <v>253.1746437398911</v>
      </c>
      <c r="N544" s="27" t="n">
        <v>0.08282335971306978</v>
      </c>
      <c r="O544" s="26" t="n">
        <v>213.127744220612</v>
      </c>
      <c r="P544" s="27" t="n">
        <v>0.08168093341041625</v>
      </c>
      <c r="Q544" s="26" t="n">
        <v>238.2487850592584</v>
      </c>
      <c r="R544" s="27" t="n">
        <v>0.1141782323322535</v>
      </c>
      <c r="S544" s="26" t="n">
        <v>226.1401922569519</v>
      </c>
      <c r="T544" s="27" t="n">
        <v>0.1327345801768718</v>
      </c>
      <c r="U544" s="26" t="n">
        <v>242.6784427474211</v>
      </c>
      <c r="V544" s="27" t="n">
        <v>0.1022549649246385</v>
      </c>
      <c r="W544" s="26" t="n">
        <v>245.9886805501264</v>
      </c>
      <c r="X544" s="27" t="n">
        <v>0.08394010463480728</v>
      </c>
      <c r="Y544" s="26" t="n">
        <v>226.2275073031338</v>
      </c>
      <c r="Z544" s="27" t="n">
        <v>0.05959504922180047</v>
      </c>
      <c r="AA544" s="26" t="n">
        <v>236.7070913615897</v>
      </c>
      <c r="AB544" s="27" t="n">
        <v>0.1160414017020763</v>
      </c>
    </row>
    <row r="545">
      <c r="A545" s="26" t="n">
        <v>224.6813739436367</v>
      </c>
      <c r="B545" s="27" t="n">
        <v>0.1079358514154225</v>
      </c>
      <c r="C545" s="26" t="n">
        <v>226.2058742995266</v>
      </c>
      <c r="D545" s="27" t="n">
        <v>0.105069421686724</v>
      </c>
      <c r="E545" s="26" t="n">
        <v>253.7909547839194</v>
      </c>
      <c r="F545" s="27" t="n">
        <v>0.08204880913804996</v>
      </c>
      <c r="G545" s="26" t="n">
        <v>271.233518977707</v>
      </c>
      <c r="H545" s="27" t="n">
        <v>0.0620279148440132</v>
      </c>
      <c r="I545" s="26" t="n">
        <v>275.267391963668</v>
      </c>
      <c r="J545" s="27" t="n">
        <v>0.06190063016419509</v>
      </c>
      <c r="K545" s="26" t="n">
        <v>266.0749205703328</v>
      </c>
      <c r="L545" s="27" t="n">
        <v>0.0667046095484861</v>
      </c>
      <c r="M545" s="26" t="n">
        <v>253.2659494419769</v>
      </c>
      <c r="N545" s="27" t="n">
        <v>0.08323858134746201</v>
      </c>
      <c r="O545" s="26" t="n">
        <v>213.2521489147005</v>
      </c>
      <c r="P545" s="27" t="n">
        <v>0.08206284923402986</v>
      </c>
      <c r="Q545" s="26" t="n">
        <v>238.3428718348913</v>
      </c>
      <c r="R545" s="27" t="n">
        <v>0.1147310747695707</v>
      </c>
      <c r="S545" s="26" t="n">
        <v>226.2466158649833</v>
      </c>
      <c r="T545" s="27" t="n">
        <v>0.1333491905823896</v>
      </c>
      <c r="U545" s="26" t="n">
        <v>242.7634880418734</v>
      </c>
      <c r="V545" s="27" t="n">
        <v>0.1027634528512269</v>
      </c>
      <c r="W545" s="26" t="n">
        <v>246.0668660421792</v>
      </c>
      <c r="X545" s="27" t="n">
        <v>0.08436431844907011</v>
      </c>
      <c r="Y545" s="26" t="n">
        <v>226.3329484697408</v>
      </c>
      <c r="Z545" s="27" t="n">
        <v>0.05985657180690734</v>
      </c>
      <c r="AA545" s="26" t="n">
        <v>236.7872790232963</v>
      </c>
      <c r="AB545" s="27" t="n">
        <v>0.1166084894114831</v>
      </c>
    </row>
    <row r="546">
      <c r="A546" s="26" t="n">
        <v>224.8471356068421</v>
      </c>
      <c r="B546" s="27" t="n">
        <v>0.108432072896632</v>
      </c>
      <c r="C546" s="26" t="n">
        <v>226.3459238133414</v>
      </c>
      <c r="D546" s="27" t="n">
        <v>0.1055661341866246</v>
      </c>
      <c r="E546" s="26" t="n">
        <v>253.9040124382761</v>
      </c>
      <c r="F546" s="27" t="n">
        <v>0.08245276761936289</v>
      </c>
      <c r="G546" s="26" t="n">
        <v>271.3202414083126</v>
      </c>
      <c r="H546" s="27" t="n">
        <v>0.06233142745330766</v>
      </c>
      <c r="I546" s="26" t="n">
        <v>275.347776392168</v>
      </c>
      <c r="J546" s="27" t="n">
        <v>0.06220622031699707</v>
      </c>
      <c r="K546" s="26" t="n">
        <v>266.1511630646891</v>
      </c>
      <c r="L546" s="27" t="n">
        <v>0.06703731266176517</v>
      </c>
      <c r="M546" s="26" t="n">
        <v>253.3572551440627</v>
      </c>
      <c r="N546" s="27" t="n">
        <v>0.0836556471217392</v>
      </c>
      <c r="O546" s="26" t="n">
        <v>213.3765536087891</v>
      </c>
      <c r="P546" s="27" t="n">
        <v>0.08244650204882545</v>
      </c>
      <c r="Q546" s="26" t="n">
        <v>238.4369586105242</v>
      </c>
      <c r="R546" s="27" t="n">
        <v>0.1152858474265247</v>
      </c>
      <c r="S546" s="26" t="n">
        <v>226.3530394730147</v>
      </c>
      <c r="T546" s="27" t="n">
        <v>0.133965603152424</v>
      </c>
      <c r="U546" s="26" t="n">
        <v>242.8485333363256</v>
      </c>
      <c r="V546" s="27" t="n">
        <v>0.103273933717801</v>
      </c>
      <c r="W546" s="26" t="n">
        <v>246.1450515342321</v>
      </c>
      <c r="X546" s="27" t="n">
        <v>0.08479044979510174</v>
      </c>
      <c r="Y546" s="26" t="n">
        <v>226.4383896363477</v>
      </c>
      <c r="Z546" s="27" t="n">
        <v>0.06011925494536721</v>
      </c>
      <c r="AA546" s="26" t="n">
        <v>236.8674666850029</v>
      </c>
      <c r="AB546" s="27" t="n">
        <v>0.1171775686033649</v>
      </c>
    </row>
    <row r="547">
      <c r="A547" s="26" t="n">
        <v>225.0128972700473</v>
      </c>
      <c r="B547" s="27" t="n">
        <v>0.1089300976666486</v>
      </c>
      <c r="C547" s="26" t="n">
        <v>226.4859733271561</v>
      </c>
      <c r="D547" s="27" t="n">
        <v>0.1060647430877232</v>
      </c>
      <c r="E547" s="26" t="n">
        <v>254.0170700926328</v>
      </c>
      <c r="F547" s="27" t="n">
        <v>0.08285849679475683</v>
      </c>
      <c r="G547" s="26" t="n">
        <v>271.4069638389182</v>
      </c>
      <c r="H547" s="27" t="n">
        <v>0.06263639156657437</v>
      </c>
      <c r="I547" s="26" t="n">
        <v>275.4281608206679</v>
      </c>
      <c r="J547" s="27" t="n">
        <v>0.062513278811023</v>
      </c>
      <c r="K547" s="26" t="n">
        <v>266.2274055590455</v>
      </c>
      <c r="L547" s="27" t="n">
        <v>0.0673716092550367</v>
      </c>
      <c r="M547" s="26" t="n">
        <v>253.4485608461486</v>
      </c>
      <c r="N547" s="27" t="n">
        <v>0.0840745621199671</v>
      </c>
      <c r="O547" s="26" t="n">
        <v>213.5009583028776</v>
      </c>
      <c r="P547" s="27" t="n">
        <v>0.08283189867690099</v>
      </c>
      <c r="Q547" s="26" t="n">
        <v>238.5310453861572</v>
      </c>
      <c r="R547" s="27" t="n">
        <v>0.1158425492641937</v>
      </c>
      <c r="S547" s="26" t="n">
        <v>226.459463081046</v>
      </c>
      <c r="T547" s="27" t="n">
        <v>0.1345838131044735</v>
      </c>
      <c r="U547" s="26" t="n">
        <v>242.9335786307779</v>
      </c>
      <c r="V547" s="27" t="n">
        <v>0.1037864093311947</v>
      </c>
      <c r="W547" s="26" t="n">
        <v>246.2232370262849</v>
      </c>
      <c r="X547" s="27" t="n">
        <v>0.08521850434153115</v>
      </c>
      <c r="Y547" s="26" t="n">
        <v>226.5438308029546</v>
      </c>
      <c r="Z547" s="27" t="n">
        <v>0.06038310382773509</v>
      </c>
      <c r="AA547" s="26" t="n">
        <v>236.9476543467095</v>
      </c>
      <c r="AB547" s="27" t="n">
        <v>0.1177486381940092</v>
      </c>
    </row>
    <row r="548">
      <c r="A548" s="26" t="n">
        <v>225.1786589332527</v>
      </c>
      <c r="B548" s="27" t="n">
        <v>0.1094299266571909</v>
      </c>
      <c r="C548" s="26" t="n">
        <v>226.6260228409709</v>
      </c>
      <c r="D548" s="27" t="n">
        <v>0.1065652502834991</v>
      </c>
      <c r="E548" s="26" t="n">
        <v>254.1301277469896</v>
      </c>
      <c r="F548" s="27" t="n">
        <v>0.08326600150460542</v>
      </c>
      <c r="G548" s="26" t="n">
        <v>271.4936862695238</v>
      </c>
      <c r="H548" s="27" t="n">
        <v>0.06294281348843801</v>
      </c>
      <c r="I548" s="26" t="n">
        <v>275.5085452491679</v>
      </c>
      <c r="J548" s="27" t="n">
        <v>0.06282181198089469</v>
      </c>
      <c r="K548" s="26" t="n">
        <v>266.3036480534018</v>
      </c>
      <c r="L548" s="27" t="n">
        <v>0.0677075058837264</v>
      </c>
      <c r="M548" s="26" t="n">
        <v>253.5398665482344</v>
      </c>
      <c r="N548" s="27" t="n">
        <v>0.08449533139727722</v>
      </c>
      <c r="O548" s="26" t="n">
        <v>213.6253629969661</v>
      </c>
      <c r="P548" s="27" t="n">
        <v>0.08321904594892371</v>
      </c>
      <c r="Q548" s="26" t="n">
        <v>238.6251321617901</v>
      </c>
      <c r="R548" s="27" t="n">
        <v>0.1164011791459568</v>
      </c>
      <c r="S548" s="26" t="n">
        <v>226.5658866890774</v>
      </c>
      <c r="T548" s="27" t="n">
        <v>0.1352038155383324</v>
      </c>
      <c r="U548" s="26" t="n">
        <v>243.0186239252303</v>
      </c>
      <c r="V548" s="27" t="n">
        <v>0.1043008814230555</v>
      </c>
      <c r="W548" s="26" t="n">
        <v>246.3014225183377</v>
      </c>
      <c r="X548" s="27" t="n">
        <v>0.08564848773187764</v>
      </c>
      <c r="Y548" s="26" t="n">
        <v>226.6492719695615</v>
      </c>
      <c r="Z548" s="27" t="n">
        <v>0.06064812366782221</v>
      </c>
      <c r="AA548" s="26" t="n">
        <v>237.0278420084161</v>
      </c>
      <c r="AB548" s="27" t="n">
        <v>0.1183216969987488</v>
      </c>
    </row>
    <row r="549">
      <c r="A549" s="26" t="n">
        <v>225.344420596458</v>
      </c>
      <c r="B549" s="27" t="n">
        <v>0.1099315607266247</v>
      </c>
      <c r="C549" s="26" t="n">
        <v>226.7660723547856</v>
      </c>
      <c r="D549" s="27" t="n">
        <v>0.1070676575990777</v>
      </c>
      <c r="E549" s="26" t="n">
        <v>254.2431854013463</v>
      </c>
      <c r="F549" s="27" t="n">
        <v>0.08367528656171161</v>
      </c>
      <c r="G549" s="26" t="n">
        <v>271.5804087001293</v>
      </c>
      <c r="H549" s="27" t="n">
        <v>0.06325069953979422</v>
      </c>
      <c r="I549" s="26" t="n">
        <v>275.5889296776678</v>
      </c>
      <c r="J549" s="27" t="n">
        <v>0.06313182617628092</v>
      </c>
      <c r="K549" s="26" t="n">
        <v>266.3798905477581</v>
      </c>
      <c r="L549" s="27" t="n">
        <v>0.06804500911288734</v>
      </c>
      <c r="M549" s="26" t="n">
        <v>253.6311722503202</v>
      </c>
      <c r="N549" s="27" t="n">
        <v>0.08491795997912457</v>
      </c>
      <c r="O549" s="26" t="n">
        <v>213.7497676910547</v>
      </c>
      <c r="P549" s="27" t="n">
        <v>0.08360795070380414</v>
      </c>
      <c r="Q549" s="26" t="n">
        <v>238.7192189374231</v>
      </c>
      <c r="R549" s="27" t="n">
        <v>0.1169617358365743</v>
      </c>
      <c r="S549" s="26" t="n">
        <v>226.6723102971088</v>
      </c>
      <c r="T549" s="27" t="n">
        <v>0.1358256054353817</v>
      </c>
      <c r="U549" s="26" t="n">
        <v>243.1036692196826</v>
      </c>
      <c r="V549" s="27" t="n">
        <v>0.1048173516488647</v>
      </c>
      <c r="W549" s="26" t="n">
        <v>246.3796080103905</v>
      </c>
      <c r="X549" s="27" t="n">
        <v>0.0860804055838128</v>
      </c>
      <c r="Y549" s="26" t="n">
        <v>226.7547131361684</v>
      </c>
      <c r="Z549" s="27" t="n">
        <v>0.06091431970279816</v>
      </c>
      <c r="AA549" s="26" t="n">
        <v>237.1080296701226</v>
      </c>
      <c r="AB549" s="27" t="n">
        <v>0.1188967437310239</v>
      </c>
    </row>
    <row r="550">
      <c r="A550" s="26" t="n">
        <v>225.5101822596633</v>
      </c>
      <c r="B550" s="27" t="n">
        <v>0.1104350006590512</v>
      </c>
      <c r="C550" s="26" t="n">
        <v>226.9061218686005</v>
      </c>
      <c r="D550" s="27" t="n">
        <v>0.1075719667902887</v>
      </c>
      <c r="E550" s="26" t="n">
        <v>254.356243055703</v>
      </c>
      <c r="F550" s="27" t="n">
        <v>0.08408635675059815</v>
      </c>
      <c r="G550" s="26" t="n">
        <v>271.6671311307349</v>
      </c>
      <c r="H550" s="27" t="n">
        <v>0.06356005605764542</v>
      </c>
      <c r="I550" s="26" t="n">
        <v>275.6693141061678</v>
      </c>
      <c r="J550" s="27" t="n">
        <v>0.06344332776170652</v>
      </c>
      <c r="K550" s="26" t="n">
        <v>266.4561330421145</v>
      </c>
      <c r="L550" s="27" t="n">
        <v>0.06838412551689814</v>
      </c>
      <c r="M550" s="26" t="n">
        <v>253.7224779524061</v>
      </c>
      <c r="N550" s="27" t="n">
        <v>0.0853424528605357</v>
      </c>
      <c r="O550" s="26" t="n">
        <v>213.8741723851433</v>
      </c>
      <c r="P550" s="27" t="n">
        <v>0.08399861978836283</v>
      </c>
      <c r="Q550" s="26" t="n">
        <v>238.813305713056</v>
      </c>
      <c r="R550" s="27" t="n">
        <v>0.1175242180012672</v>
      </c>
      <c r="S550" s="26" t="n">
        <v>226.7787339051401</v>
      </c>
      <c r="T550" s="27" t="n">
        <v>0.1364491776578813</v>
      </c>
      <c r="U550" s="26" t="n">
        <v>243.1887145141349</v>
      </c>
      <c r="V550" s="27" t="n">
        <v>0.1053358215869544</v>
      </c>
      <c r="W550" s="26" t="n">
        <v>246.4577935024433</v>
      </c>
      <c r="X550" s="27" t="n">
        <v>0.08651426348841408</v>
      </c>
      <c r="Y550" s="26" t="n">
        <v>226.8601543027753</v>
      </c>
      <c r="Z550" s="27" t="n">
        <v>0.06118169719329149</v>
      </c>
      <c r="AA550" s="26" t="n">
        <v>237.1882173318293</v>
      </c>
      <c r="AB550" s="27" t="n">
        <v>0.1194737770014417</v>
      </c>
    </row>
    <row r="551">
      <c r="A551" s="26" t="n">
        <v>225.6759439228686</v>
      </c>
      <c r="B551" s="27" t="n">
        <v>0.1109402471633847</v>
      </c>
      <c r="C551" s="26" t="n">
        <v>227.0461713824152</v>
      </c>
      <c r="D551" s="27" t="n">
        <v>0.1080781795427166</v>
      </c>
      <c r="E551" s="26" t="n">
        <v>254.4693007100597</v>
      </c>
      <c r="F551" s="27" t="n">
        <v>0.0844992168267881</v>
      </c>
      <c r="G551" s="26" t="n">
        <v>271.7538535613404</v>
      </c>
      <c r="H551" s="27" t="n">
        <v>0.06387088939493139</v>
      </c>
      <c r="I551" s="26" t="n">
        <v>275.7496985346677</v>
      </c>
      <c r="J551" s="27" t="n">
        <v>0.06375632311635707</v>
      </c>
      <c r="K551" s="26" t="n">
        <v>266.5323755364708</v>
      </c>
      <c r="L551" s="27" t="n">
        <v>0.06872486167915545</v>
      </c>
      <c r="M551" s="26" t="n">
        <v>253.8137836544919</v>
      </c>
      <c r="N551" s="27" t="n">
        <v>0.08576881500534832</v>
      </c>
      <c r="O551" s="26" t="n">
        <v>213.9985770792318</v>
      </c>
      <c r="P551" s="27" t="n">
        <v>0.08439106005699168</v>
      </c>
      <c r="Q551" s="26" t="n">
        <v>238.907392488689</v>
      </c>
      <c r="R551" s="27" t="n">
        <v>0.1180886242047947</v>
      </c>
      <c r="S551" s="26" t="n">
        <v>226.8851575131715</v>
      </c>
      <c r="T551" s="27" t="n">
        <v>0.1370745269482695</v>
      </c>
      <c r="U551" s="26" t="n">
        <v>243.2737598085872</v>
      </c>
      <c r="V551" s="27" t="n">
        <v>0.1058562927375165</v>
      </c>
      <c r="W551" s="26" t="n">
        <v>246.5359789944961</v>
      </c>
      <c r="X551" s="27" t="n">
        <v>0.08695006700940791</v>
      </c>
      <c r="Y551" s="26" t="n">
        <v>226.9655954693822</v>
      </c>
      <c r="Z551" s="27" t="n">
        <v>0.06145026142349267</v>
      </c>
      <c r="AA551" s="26" t="n">
        <v>237.2684049935359</v>
      </c>
      <c r="AB551" s="27" t="n">
        <v>0.1200527953168348</v>
      </c>
    </row>
    <row r="552">
      <c r="A552" s="26" t="n">
        <v>225.8417055860739</v>
      </c>
      <c r="B552" s="27" t="n">
        <v>0.1114473008724308</v>
      </c>
      <c r="C552" s="26" t="n">
        <v>227.18622089623</v>
      </c>
      <c r="D552" s="27" t="n">
        <v>0.1085862974707466</v>
      </c>
      <c r="E552" s="26" t="n">
        <v>254.5823583644165</v>
      </c>
      <c r="F552" s="27" t="n">
        <v>0.08491387151607727</v>
      </c>
      <c r="G552" s="26" t="n">
        <v>271.840575991946</v>
      </c>
      <c r="H552" s="27" t="n">
        <v>0.06418320592035541</v>
      </c>
      <c r="I552" s="26" t="n">
        <v>275.8300829631677</v>
      </c>
      <c r="J552" s="27" t="n">
        <v>0.06407081863387799</v>
      </c>
      <c r="K552" s="26" t="n">
        <v>266.6086180308272</v>
      </c>
      <c r="L552" s="27" t="n">
        <v>0.06906722419176028</v>
      </c>
      <c r="M552" s="26" t="n">
        <v>253.9050893565777</v>
      </c>
      <c r="N552" s="27" t="n">
        <v>0.08619705134544207</v>
      </c>
      <c r="O552" s="26" t="n">
        <v>214.1229817733204</v>
      </c>
      <c r="P552" s="27" t="n">
        <v>0.08478527837130612</v>
      </c>
      <c r="Q552" s="26" t="n">
        <v>239.0014792643219</v>
      </c>
      <c r="R552" s="27" t="n">
        <v>0.1186549529105318</v>
      </c>
      <c r="S552" s="26" t="n">
        <v>226.9915811212029</v>
      </c>
      <c r="T552" s="27" t="n">
        <v>0.1377016479284653</v>
      </c>
      <c r="U552" s="26" t="n">
        <v>243.3588051030395</v>
      </c>
      <c r="V552" s="27" t="n">
        <v>0.1063787665216078</v>
      </c>
      <c r="W552" s="26" t="n">
        <v>246.6141644865489</v>
      </c>
      <c r="X552" s="27" t="n">
        <v>0.08738782168240468</v>
      </c>
      <c r="Y552" s="26" t="n">
        <v>227.0710366359891</v>
      </c>
      <c r="Z552" s="27" t="n">
        <v>0.06172001770125556</v>
      </c>
      <c r="AA552" s="26" t="n">
        <v>237.3485926552424</v>
      </c>
      <c r="AB552" s="27" t="n">
        <v>0.1206337970793217</v>
      </c>
    </row>
    <row r="553">
      <c r="A553" s="26" t="n">
        <v>226.0074672492792</v>
      </c>
      <c r="B553" s="27" t="n">
        <v>0.111956162341956</v>
      </c>
      <c r="C553" s="26" t="n">
        <v>227.3262704100447</v>
      </c>
      <c r="D553" s="27" t="n">
        <v>0.1090963221166026</v>
      </c>
      <c r="E553" s="26" t="n">
        <v>254.6954160187732</v>
      </c>
      <c r="F553" s="27" t="n">
        <v>0.08533032551379872</v>
      </c>
      <c r="G553" s="26" t="n">
        <v>271.9272984225516</v>
      </c>
      <c r="H553" s="27" t="n">
        <v>0.06449701201820555</v>
      </c>
      <c r="I553" s="26" t="n">
        <v>275.9104673916676</v>
      </c>
      <c r="J553" s="27" t="n">
        <v>0.06438682072216849</v>
      </c>
      <c r="K553" s="26" t="n">
        <v>266.6848605251836</v>
      </c>
      <c r="L553" s="27" t="n">
        <v>0.06941121965519594</v>
      </c>
      <c r="M553" s="26" t="n">
        <v>253.9963950586636</v>
      </c>
      <c r="N553" s="27" t="n">
        <v>0.08662716677996012</v>
      </c>
      <c r="O553" s="26" t="n">
        <v>214.2473864674089</v>
      </c>
      <c r="P553" s="27" t="n">
        <v>0.08518128159979212</v>
      </c>
      <c r="Q553" s="26" t="n">
        <v>239.0955660399549</v>
      </c>
      <c r="R553" s="27" t="n">
        <v>0.1192232024795437</v>
      </c>
      <c r="S553" s="26" t="n">
        <v>227.0980047292343</v>
      </c>
      <c r="T553" s="27" t="n">
        <v>0.1383305350991757</v>
      </c>
      <c r="U553" s="26" t="n">
        <v>243.4438503974918</v>
      </c>
      <c r="V553" s="27" t="n">
        <v>0.1069032442801502</v>
      </c>
      <c r="W553" s="26" t="n">
        <v>246.6923499786017</v>
      </c>
      <c r="X553" s="27" t="n">
        <v>0.08782753301412348</v>
      </c>
      <c r="Y553" s="26" t="n">
        <v>227.176477802596</v>
      </c>
      <c r="Z553" s="27" t="n">
        <v>0.06199097135820056</v>
      </c>
      <c r="AA553" s="26" t="n">
        <v>237.4287803169491</v>
      </c>
      <c r="AB553" s="27" t="n">
        <v>0.1212167805853616</v>
      </c>
    </row>
    <row r="554">
      <c r="A554" s="26" t="n">
        <v>226.1732289124845</v>
      </c>
      <c r="B554" s="27" t="n">
        <v>0.112466832049753</v>
      </c>
      <c r="C554" s="26" t="n">
        <v>227.4663199238595</v>
      </c>
      <c r="D554" s="27" t="n">
        <v>0.1096082549493809</v>
      </c>
      <c r="E554" s="26" t="n">
        <v>254.8084736731299</v>
      </c>
      <c r="F554" s="27" t="n">
        <v>0.08574858348407718</v>
      </c>
      <c r="G554" s="26" t="n">
        <v>272.0140208531572</v>
      </c>
      <c r="H554" s="27" t="n">
        <v>0.06481231408816987</v>
      </c>
      <c r="I554" s="26" t="n">
        <v>275.9908518201676</v>
      </c>
      <c r="J554" s="27" t="n">
        <v>0.06470433580317055</v>
      </c>
      <c r="K554" s="26" t="n">
        <v>266.7611030195399</v>
      </c>
      <c r="L554" s="27" t="n">
        <v>0.06975685467800266</v>
      </c>
      <c r="M554" s="26" t="n">
        <v>254.0877007607494</v>
      </c>
      <c r="N554" s="27" t="n">
        <v>0.0870591661745217</v>
      </c>
      <c r="O554" s="26" t="n">
        <v>214.3717911614974</v>
      </c>
      <c r="P554" s="27" t="n">
        <v>0.08557907661744479</v>
      </c>
      <c r="Q554" s="26" t="n">
        <v>239.1896528155878</v>
      </c>
      <c r="R554" s="27" t="n">
        <v>0.1197933711696627</v>
      </c>
      <c r="S554" s="26" t="n">
        <v>227.2044283372657</v>
      </c>
      <c r="T554" s="27" t="n">
        <v>0.1389611828392075</v>
      </c>
      <c r="U554" s="26" t="n">
        <v>243.5288956919441</v>
      </c>
      <c r="V554" s="27" t="n">
        <v>0.1074297272729232</v>
      </c>
      <c r="W554" s="26" t="n">
        <v>246.7705354706545</v>
      </c>
      <c r="X554" s="27" t="n">
        <v>0.08826920648160647</v>
      </c>
      <c r="Y554" s="26" t="n">
        <v>227.2819189692029</v>
      </c>
      <c r="Z554" s="27" t="n">
        <v>0.06226312774981697</v>
      </c>
      <c r="AA554" s="26" t="n">
        <v>237.5089679786556</v>
      </c>
      <c r="AB554" s="27" t="n">
        <v>0.1218017440248137</v>
      </c>
    </row>
    <row r="555">
      <c r="A555" s="26" t="n">
        <v>226.3389905756898</v>
      </c>
      <c r="B555" s="27" t="n">
        <v>0.1129793103947022</v>
      </c>
      <c r="C555" s="26" t="n">
        <v>227.6063694376743</v>
      </c>
      <c r="D555" s="27" t="n">
        <v>0.1101220973640747</v>
      </c>
      <c r="E555" s="26" t="n">
        <v>254.9215313274866</v>
      </c>
      <c r="F555" s="27" t="n">
        <v>0.08616865005907597</v>
      </c>
      <c r="G555" s="26" t="n">
        <v>272.1007432837628</v>
      </c>
      <c r="H555" s="27" t="n">
        <v>0.06512911854514912</v>
      </c>
      <c r="I555" s="26" t="n">
        <v>276.0712362486674</v>
      </c>
      <c r="J555" s="27" t="n">
        <v>0.06502337031265196</v>
      </c>
      <c r="K555" s="26" t="n">
        <v>266.8373455138963</v>
      </c>
      <c r="L555" s="27" t="n">
        <v>0.07010413587644203</v>
      </c>
      <c r="M555" s="26" t="n">
        <v>254.1790064628352</v>
      </c>
      <c r="N555" s="27" t="n">
        <v>0.08749305436042593</v>
      </c>
      <c r="O555" s="26" t="n">
        <v>214.496195855586</v>
      </c>
      <c r="P555" s="27" t="n">
        <v>0.08597867030539962</v>
      </c>
      <c r="Q555" s="26" t="n">
        <v>239.2837395912208</v>
      </c>
      <c r="R555" s="27" t="n">
        <v>0.1203654571345615</v>
      </c>
      <c r="S555" s="26" t="n">
        <v>227.310851945297</v>
      </c>
      <c r="T555" s="27" t="n">
        <v>0.1395935854047839</v>
      </c>
      <c r="U555" s="26" t="n">
        <v>243.6139409863964</v>
      </c>
      <c r="V555" s="27" t="n">
        <v>0.107958216677554</v>
      </c>
      <c r="W555" s="26" t="n">
        <v>246.8487209627073</v>
      </c>
      <c r="X555" s="27" t="n">
        <v>0.08871284753142616</v>
      </c>
      <c r="Y555" s="26" t="n">
        <v>227.3873601358098</v>
      </c>
      <c r="Z555" s="27" t="n">
        <v>0.06253649225556698</v>
      </c>
      <c r="AA555" s="26" t="n">
        <v>237.5891556403622</v>
      </c>
      <c r="AB555" s="27" t="n">
        <v>0.1223886854799924</v>
      </c>
    </row>
    <row r="556">
      <c r="A556" s="26" t="n">
        <v>226.5047522388952</v>
      </c>
      <c r="B556" s="27" t="n">
        <v>0.1134935976958264</v>
      </c>
      <c r="C556" s="26" t="n">
        <v>227.7464189514891</v>
      </c>
      <c r="D556" s="27" t="n">
        <v>0.1106378506805962</v>
      </c>
      <c r="E556" s="26" t="n">
        <v>255.0345889818433</v>
      </c>
      <c r="F556" s="27" t="n">
        <v>0.08659052983823412</v>
      </c>
      <c r="G556" s="26" t="n">
        <v>272.1874657143683</v>
      </c>
      <c r="H556" s="27" t="n">
        <v>0.06544743181906162</v>
      </c>
      <c r="I556" s="26" t="n">
        <v>276.1516206771674</v>
      </c>
      <c r="J556" s="27" t="n">
        <v>0.06534393069998416</v>
      </c>
      <c r="K556" s="26" t="n">
        <v>266.9135880082526</v>
      </c>
      <c r="L556" s="27" t="n">
        <v>0.07045306987415524</v>
      </c>
      <c r="M556" s="26" t="n">
        <v>254.2703121649211</v>
      </c>
      <c r="N556" s="27" t="n">
        <v>0.08792883613384596</v>
      </c>
      <c r="O556" s="26" t="n">
        <v>214.6206005496745</v>
      </c>
      <c r="P556" s="27" t="n">
        <v>0.08638006955055703</v>
      </c>
      <c r="Q556" s="26" t="n">
        <v>239.3778263668537</v>
      </c>
      <c r="R556" s="27" t="n">
        <v>0.1209394584228267</v>
      </c>
      <c r="S556" s="26" t="n">
        <v>227.4172755533284</v>
      </c>
      <c r="T556" s="27" t="n">
        <v>0.140227736928867</v>
      </c>
      <c r="U556" s="26" t="n">
        <v>243.6989862808487</v>
      </c>
      <c r="V556" s="27" t="n">
        <v>0.1084887135885008</v>
      </c>
      <c r="W556" s="26" t="n">
        <v>246.9269064547601</v>
      </c>
      <c r="X556" s="27" t="n">
        <v>0.08915846157888027</v>
      </c>
      <c r="Y556" s="26" t="n">
        <v>227.4928013024168</v>
      </c>
      <c r="Z556" s="27" t="n">
        <v>0.06281107027898876</v>
      </c>
      <c r="AA556" s="26" t="n">
        <v>237.6693433020688</v>
      </c>
      <c r="AB556" s="27" t="n">
        <v>0.1229776029247239</v>
      </c>
    </row>
    <row r="557">
      <c r="A557" s="26" t="n">
        <v>226.6705139021005</v>
      </c>
      <c r="B557" s="27" t="n">
        <v>0.1140096941913418</v>
      </c>
      <c r="C557" s="26" t="n">
        <v>227.8864684653039</v>
      </c>
      <c r="D557" s="27" t="n">
        <v>0.1111555161427895</v>
      </c>
      <c r="E557" s="26" t="n">
        <v>255.1476466362001</v>
      </c>
      <c r="F557" s="27" t="n">
        <v>0.08701422738749506</v>
      </c>
      <c r="G557" s="26" t="n">
        <v>272.2741881449739</v>
      </c>
      <c r="H557" s="27" t="n">
        <v>0.0657672603546445</v>
      </c>
      <c r="I557" s="26" t="n">
        <v>276.2320051056673</v>
      </c>
      <c r="J557" s="27" t="n">
        <v>0.06566602342791483</v>
      </c>
      <c r="K557" s="26" t="n">
        <v>266.9898305026089</v>
      </c>
      <c r="L557" s="27" t="n">
        <v>0.07080366330181651</v>
      </c>
      <c r="M557" s="26" t="n">
        <v>254.3616178670069</v>
      </c>
      <c r="N557" s="27" t="n">
        <v>0.08836651625501413</v>
      </c>
      <c r="O557" s="26" t="n">
        <v>214.745005243763</v>
      </c>
      <c r="P557" s="27" t="n">
        <v>0.08678328124519902</v>
      </c>
      <c r="Q557" s="26" t="n">
        <v>239.4719131424867</v>
      </c>
      <c r="R557" s="27" t="n">
        <v>0.1215153729770326</v>
      </c>
      <c r="S557" s="26" t="n">
        <v>227.5236991613598</v>
      </c>
      <c r="T557" s="27" t="n">
        <v>0.140863631420484</v>
      </c>
      <c r="U557" s="26" t="n">
        <v>243.784031575301</v>
      </c>
      <c r="V557" s="27" t="n">
        <v>0.1090212190160309</v>
      </c>
      <c r="W557" s="26" t="n">
        <v>247.0050919468129</v>
      </c>
      <c r="X557" s="27" t="n">
        <v>0.08960605400717828</v>
      </c>
      <c r="Y557" s="26" t="n">
        <v>227.5982424690237</v>
      </c>
      <c r="Z557" s="27" t="n">
        <v>0.06308686724780053</v>
      </c>
      <c r="AA557" s="26" t="n">
        <v>237.7495309637754</v>
      </c>
      <c r="AB557" s="27" t="n">
        <v>0.1235684942234021</v>
      </c>
    </row>
    <row r="558">
      <c r="A558" s="26" t="n">
        <v>226.8362755653058</v>
      </c>
      <c r="B558" s="27" t="n">
        <v>0.1145276000377044</v>
      </c>
      <c r="C558" s="26" t="n">
        <v>228.0265179791187</v>
      </c>
      <c r="D558" s="27" t="n">
        <v>0.1116750949174382</v>
      </c>
      <c r="E558" s="26" t="n">
        <v>255.2607042905568</v>
      </c>
      <c r="F558" s="27" t="n">
        <v>0.0874397472385266</v>
      </c>
      <c r="G558" s="26" t="n">
        <v>272.3609105755795</v>
      </c>
      <c r="H558" s="27" t="n">
        <v>0.06608861061124938</v>
      </c>
      <c r="I558" s="26" t="n">
        <v>276.3123895341673</v>
      </c>
      <c r="J558" s="27" t="n">
        <v>0.06598965497233417</v>
      </c>
      <c r="K558" s="26" t="n">
        <v>267.0660729969653</v>
      </c>
      <c r="L558" s="27" t="n">
        <v>0.07115592279677665</v>
      </c>
      <c r="M558" s="26" t="n">
        <v>254.4529235690928</v>
      </c>
      <c r="N558" s="27" t="n">
        <v>0.08880609944739816</v>
      </c>
      <c r="O558" s="26" t="n">
        <v>214.8694099378516</v>
      </c>
      <c r="P558" s="27" t="n">
        <v>0.08718831228659736</v>
      </c>
      <c r="Q558" s="26" t="n">
        <v>239.5659999181196</v>
      </c>
      <c r="R558" s="27" t="n">
        <v>0.1220931986328135</v>
      </c>
      <c r="S558" s="26" t="n">
        <v>227.6301227693911</v>
      </c>
      <c r="T558" s="27" t="n">
        <v>0.1415012627640601</v>
      </c>
      <c r="U558" s="26" t="n">
        <v>243.8690768697533</v>
      </c>
      <c r="V558" s="27" t="n">
        <v>0.1095557338851949</v>
      </c>
      <c r="W558" s="26" t="n">
        <v>247.0832774388657</v>
      </c>
      <c r="X558" s="27" t="n">
        <v>0.09005563016661795</v>
      </c>
      <c r="Y558" s="26" t="n">
        <v>227.7036836356306</v>
      </c>
      <c r="Z558" s="27" t="n">
        <v>0.06336388861400472</v>
      </c>
      <c r="AA558" s="26" t="n">
        <v>237.829718625482</v>
      </c>
      <c r="AB558" s="27" t="n">
        <v>0.1241613571300435</v>
      </c>
    </row>
    <row r="559">
      <c r="A559" s="26" t="n">
        <v>227.002037228511</v>
      </c>
      <c r="B559" s="27" t="n">
        <v>0.1150473153086501</v>
      </c>
      <c r="C559" s="26" t="n">
        <v>228.1665674929334</v>
      </c>
      <c r="D559" s="27" t="n">
        <v>0.1121965880932678</v>
      </c>
      <c r="E559" s="26" t="n">
        <v>255.3737619449136</v>
      </c>
      <c r="F559" s="27" t="n">
        <v>0.0878670938879315</v>
      </c>
      <c r="G559" s="26" t="n">
        <v>272.447633006185</v>
      </c>
      <c r="H559" s="27" t="n">
        <v>0.06641148906263167</v>
      </c>
      <c r="I559" s="26" t="n">
        <v>276.3927739626672</v>
      </c>
      <c r="J559" s="27" t="n">
        <v>0.06631483182203578</v>
      </c>
      <c r="K559" s="26" t="n">
        <v>267.1423154913217</v>
      </c>
      <c r="L559" s="27" t="n">
        <v>0.07150985500269998</v>
      </c>
      <c r="M559" s="26" t="n">
        <v>254.5442292711786</v>
      </c>
      <c r="N559" s="27" t="n">
        <v>0.08924759039686796</v>
      </c>
      <c r="O559" s="26" t="n">
        <v>214.9938146319402</v>
      </c>
      <c r="P559" s="27" t="n">
        <v>0.08759516957661523</v>
      </c>
      <c r="Q559" s="26" t="n">
        <v>239.6600866937526</v>
      </c>
      <c r="R559" s="27" t="n">
        <v>0.1226729331179368</v>
      </c>
      <c r="S559" s="26" t="n">
        <v>227.7365463774225</v>
      </c>
      <c r="T559" s="27" t="n">
        <v>0.1421406247187561</v>
      </c>
      <c r="U559" s="26" t="n">
        <v>243.9541221642056</v>
      </c>
      <c r="V559" s="27" t="n">
        <v>0.1100922590347939</v>
      </c>
      <c r="W559" s="26" t="n">
        <v>247.1614629309185</v>
      </c>
      <c r="X559" s="27" t="n">
        <v>0.09050719537375147</v>
      </c>
      <c r="Y559" s="26" t="n">
        <v>227.8091248022375</v>
      </c>
      <c r="Z559" s="27" t="n">
        <v>0.06364213985399243</v>
      </c>
      <c r="AA559" s="26" t="n">
        <v>237.9099062871886</v>
      </c>
      <c r="AB559" s="27" t="n">
        <v>0.1247561892873447</v>
      </c>
    </row>
    <row r="560">
      <c r="A560" s="26" t="n">
        <v>227.1677988917164</v>
      </c>
      <c r="B560" s="27" t="n">
        <v>0.1155688399942316</v>
      </c>
      <c r="C560" s="26" t="n">
        <v>228.3066170067482</v>
      </c>
      <c r="D560" s="27" t="n">
        <v>0.1127199966799412</v>
      </c>
      <c r="E560" s="26" t="n">
        <v>255.4868195992703</v>
      </c>
      <c r="F560" s="27" t="n">
        <v>0.08829627179644843</v>
      </c>
      <c r="G560" s="26" t="n">
        <v>272.5343554367906</v>
      </c>
      <c r="H560" s="27" t="n">
        <v>0.06673590219673654</v>
      </c>
      <c r="I560" s="26" t="n">
        <v>276.4731583911672</v>
      </c>
      <c r="J560" s="27" t="n">
        <v>0.06664156047847179</v>
      </c>
      <c r="K560" s="26" t="n">
        <v>267.218557985678</v>
      </c>
      <c r="L560" s="27" t="n">
        <v>0.07186546656919594</v>
      </c>
      <c r="M560" s="26" t="n">
        <v>254.6355349732644</v>
      </c>
      <c r="N560" s="27" t="n">
        <v>0.08969099375085235</v>
      </c>
      <c r="O560" s="26" t="n">
        <v>215.1182193260287</v>
      </c>
      <c r="P560" s="27" t="n">
        <v>0.08800386002130031</v>
      </c>
      <c r="Q560" s="26" t="n">
        <v>239.7541734693855</v>
      </c>
      <c r="R560" s="27" t="n">
        <v>0.123254574051374</v>
      </c>
      <c r="S560" s="26" t="n">
        <v>227.8429699854539</v>
      </c>
      <c r="T560" s="27" t="n">
        <v>0.1427817109178117</v>
      </c>
      <c r="U560" s="26" t="n">
        <v>244.0391674586579</v>
      </c>
      <c r="V560" s="27" t="n">
        <v>0.1106307952163443</v>
      </c>
      <c r="W560" s="26" t="n">
        <v>247.2396484229713</v>
      </c>
      <c r="X560" s="27" t="n">
        <v>0.09096075491054256</v>
      </c>
      <c r="Y560" s="26" t="n">
        <v>227.9145659688444</v>
      </c>
      <c r="Z560" s="27" t="n">
        <v>0.06392162646864867</v>
      </c>
      <c r="AA560" s="26" t="n">
        <v>237.9900939488953</v>
      </c>
      <c r="AB560" s="27" t="n">
        <v>0.1253529882257365</v>
      </c>
    </row>
    <row r="561">
      <c r="A561" s="26" t="n">
        <v>227.3335605549217</v>
      </c>
      <c r="B561" s="27" t="n">
        <v>0.1160921739998507</v>
      </c>
      <c r="C561" s="26" t="n">
        <v>228.446666520563</v>
      </c>
      <c r="D561" s="27" t="n">
        <v>0.1132453216070487</v>
      </c>
      <c r="E561" s="26" t="n">
        <v>255.599877253627</v>
      </c>
      <c r="F561" s="27" t="n">
        <v>0.08872728538814546</v>
      </c>
      <c r="G561" s="26" t="n">
        <v>272.6210778673961</v>
      </c>
      <c r="H561" s="27" t="n">
        <v>0.06706185651547703</v>
      </c>
      <c r="I561" s="26" t="n">
        <v>276.5535428196671</v>
      </c>
      <c r="J561" s="27" t="n">
        <v>0.06696984745550194</v>
      </c>
      <c r="K561" s="26" t="n">
        <v>267.2948004800344</v>
      </c>
      <c r="L561" s="27" t="n">
        <v>0.07222276415144054</v>
      </c>
      <c r="M561" s="26" t="n">
        <v>254.7268406753503</v>
      </c>
      <c r="N561" s="27" t="n">
        <v>0.09013631411748735</v>
      </c>
      <c r="O561" s="26" t="n">
        <v>215.2426240201173</v>
      </c>
      <c r="P561" s="27" t="n">
        <v>0.08841439053046972</v>
      </c>
      <c r="Q561" s="26" t="n">
        <v>239.8482602450185</v>
      </c>
      <c r="R561" s="27" t="n">
        <v>0.1238381189423753</v>
      </c>
      <c r="S561" s="26" t="n">
        <v>227.9493935934853</v>
      </c>
      <c r="T561" s="27" t="n">
        <v>0.1434245148678949</v>
      </c>
      <c r="U561" s="26" t="n">
        <v>244.1242127531102</v>
      </c>
      <c r="V561" s="27" t="n">
        <v>0.1111713430930357</v>
      </c>
      <c r="W561" s="26" t="n">
        <v>247.3178339150241</v>
      </c>
      <c r="X561" s="27" t="n">
        <v>0.09141631402351309</v>
      </c>
      <c r="Y561" s="26" t="n">
        <v>228.0200071354514</v>
      </c>
      <c r="Z561" s="27" t="n">
        <v>0.06420235398345694</v>
      </c>
      <c r="AA561" s="26" t="n">
        <v>238.0702816106018</v>
      </c>
      <c r="AB561" s="27" t="n">
        <v>0.125951751362441</v>
      </c>
    </row>
    <row r="562">
      <c r="A562" s="26" t="n">
        <v>227.499322218127</v>
      </c>
      <c r="B562" s="27" t="n">
        <v>0.1166173171452835</v>
      </c>
      <c r="C562" s="26" t="n">
        <v>228.5867160343778</v>
      </c>
      <c r="D562" s="27" t="n">
        <v>0.1137725637230909</v>
      </c>
      <c r="E562" s="26" t="n">
        <v>255.7129349079837</v>
      </c>
      <c r="F562" s="27" t="n">
        <v>0.08916013904960279</v>
      </c>
      <c r="G562" s="26" t="n">
        <v>272.7078002980018</v>
      </c>
      <c r="H562" s="27" t="n">
        <v>0.06738935853450782</v>
      </c>
      <c r="I562" s="26" t="n">
        <v>276.6339272481671</v>
      </c>
      <c r="J562" s="27" t="n">
        <v>0.0672996992791362</v>
      </c>
      <c r="K562" s="26" t="n">
        <v>267.3710429743907</v>
      </c>
      <c r="L562" s="27" t="n">
        <v>0.07258175440979193</v>
      </c>
      <c r="M562" s="26" t="n">
        <v>254.8181463774361</v>
      </c>
      <c r="N562" s="27" t="n">
        <v>0.09058355606475482</v>
      </c>
      <c r="O562" s="26" t="n">
        <v>215.3670287142058</v>
      </c>
      <c r="P562" s="27" t="n">
        <v>0.0888267680172872</v>
      </c>
      <c r="Q562" s="26" t="n">
        <v>239.9423470206514</v>
      </c>
      <c r="R562" s="27" t="n">
        <v>0.12442356518954</v>
      </c>
      <c r="S562" s="26" t="n">
        <v>228.0558172015167</v>
      </c>
      <c r="T562" s="27" t="n">
        <v>0.1440690299484571</v>
      </c>
      <c r="U562" s="26" t="n">
        <v>244.2092580475625</v>
      </c>
      <c r="V562" s="27" t="n">
        <v>0.1117139032386838</v>
      </c>
      <c r="W562" s="26" t="n">
        <v>247.3960194070769</v>
      </c>
      <c r="X562" s="27" t="n">
        <v>0.09187387792287853</v>
      </c>
      <c r="Y562" s="26" t="n">
        <v>228.1254483020583</v>
      </c>
      <c r="Z562" s="27" t="n">
        <v>0.06448432794860526</v>
      </c>
      <c r="AA562" s="26" t="n">
        <v>238.1504692723084</v>
      </c>
      <c r="AB562" s="27" t="n">
        <v>0.1265524760005285</v>
      </c>
    </row>
    <row r="563">
      <c r="A563" s="26" t="n">
        <v>227.6650838813323</v>
      </c>
      <c r="B563" s="27" t="n">
        <v>0.1171442691637051</v>
      </c>
      <c r="C563" s="26" t="n">
        <v>228.7267655481926</v>
      </c>
      <c r="D563" s="27" t="n">
        <v>0.1143017237944578</v>
      </c>
      <c r="E563" s="26" t="n">
        <v>255.8259925623404</v>
      </c>
      <c r="F563" s="27" t="n">
        <v>0.08959483712908672</v>
      </c>
      <c r="G563" s="26" t="n">
        <v>272.7945227286073</v>
      </c>
      <c r="H563" s="27" t="n">
        <v>0.06771841478299312</v>
      </c>
      <c r="I563" s="26" t="n">
        <v>276.714311676667</v>
      </c>
      <c r="J563" s="27" t="n">
        <v>0.06763112248727217</v>
      </c>
      <c r="K563" s="26" t="n">
        <v>267.4472854687471</v>
      </c>
      <c r="L563" s="27" t="n">
        <v>0.07294244400939796</v>
      </c>
      <c r="M563" s="26" t="n">
        <v>254.909452079522</v>
      </c>
      <c r="N563" s="27" t="n">
        <v>0.09103272411961022</v>
      </c>
      <c r="O563" s="26" t="n">
        <v>215.4914334082943</v>
      </c>
      <c r="P563" s="27" t="n">
        <v>0.08924099939783207</v>
      </c>
      <c r="Q563" s="26" t="n">
        <v>240.0364337962844</v>
      </c>
      <c r="R563" s="27" t="n">
        <v>0.1250109100798904</v>
      </c>
      <c r="S563" s="26" t="n">
        <v>228.1622408095481</v>
      </c>
      <c r="T563" s="27" t="n">
        <v>0.144715249411095</v>
      </c>
      <c r="U563" s="26" t="n">
        <v>244.2943033420148</v>
      </c>
      <c r="V563" s="27" t="n">
        <v>0.1122584761366814</v>
      </c>
      <c r="W563" s="26" t="n">
        <v>247.4742048991297</v>
      </c>
      <c r="X563" s="27" t="n">
        <v>0.09233345178167555</v>
      </c>
      <c r="Y563" s="26" t="n">
        <v>228.2308894686651</v>
      </c>
      <c r="Z563" s="27" t="n">
        <v>0.0647675539390913</v>
      </c>
      <c r="AA563" s="26" t="n">
        <v>238.230656934015</v>
      </c>
      <c r="AB563" s="27" t="n">
        <v>0.127155159327974</v>
      </c>
    </row>
    <row r="564">
      <c r="A564" s="26" t="n">
        <v>227.8308455445376</v>
      </c>
      <c r="B564" s="27" t="n">
        <v>0.117673029700706</v>
      </c>
      <c r="C564" s="26" t="n">
        <v>228.8668150620073</v>
      </c>
      <c r="D564" s="27" t="n">
        <v>0.1148328025043996</v>
      </c>
      <c r="E564" s="26" t="n">
        <v>255.9390502166972</v>
      </c>
      <c r="F564" s="27" t="n">
        <v>0.09003138393571494</v>
      </c>
      <c r="G564" s="26" t="n">
        <v>272.8812451592129</v>
      </c>
      <c r="H564" s="27" t="n">
        <v>0.0680490318033679</v>
      </c>
      <c r="I564" s="26" t="n">
        <v>276.794696105167</v>
      </c>
      <c r="J564" s="27" t="n">
        <v>0.06796412362942517</v>
      </c>
      <c r="K564" s="26" t="n">
        <v>267.5235279631034</v>
      </c>
      <c r="L564" s="27" t="n">
        <v>0.07330483961979481</v>
      </c>
      <c r="M564" s="26" t="n">
        <v>255.0007577816078</v>
      </c>
      <c r="N564" s="27" t="n">
        <v>0.09148382276710347</v>
      </c>
      <c r="O564" s="26" t="n">
        <v>215.6158381023829</v>
      </c>
      <c r="P564" s="27" t="n">
        <v>0.08965709159065881</v>
      </c>
      <c r="Q564" s="26" t="n">
        <v>240.1305205719173</v>
      </c>
      <c r="R564" s="27" t="n">
        <v>0.1256001507879446</v>
      </c>
      <c r="S564" s="26" t="n">
        <v>228.2686644175794</v>
      </c>
      <c r="T564" s="27" t="n">
        <v>0.1453631663789172</v>
      </c>
      <c r="U564" s="26" t="n">
        <v>244.3793486364671</v>
      </c>
      <c r="V564" s="27" t="n">
        <v>0.1128050621789413</v>
      </c>
      <c r="W564" s="26" t="n">
        <v>247.5523903911825</v>
      </c>
      <c r="X564" s="27" t="n">
        <v>0.09279504073487722</v>
      </c>
      <c r="Y564" s="26" t="n">
        <v>228.336330635272</v>
      </c>
      <c r="Z564" s="27" t="n">
        <v>0.06505203755482915</v>
      </c>
      <c r="AA564" s="26" t="n">
        <v>238.3108445957216</v>
      </c>
      <c r="AB564" s="27" t="n">
        <v>0.1277597984167148</v>
      </c>
    </row>
    <row r="565">
      <c r="A565" s="26" t="n">
        <v>227.996607207743</v>
      </c>
      <c r="B565" s="27" t="n">
        <v>0.1182035983133065</v>
      </c>
      <c r="C565" s="26" t="n">
        <v>229.0068645758221</v>
      </c>
      <c r="D565" s="27" t="n">
        <v>0.115365800451994</v>
      </c>
      <c r="E565" s="26" t="n">
        <v>256.0521078710539</v>
      </c>
      <c r="F565" s="27" t="n">
        <v>0.09046978373861153</v>
      </c>
      <c r="G565" s="26" t="n">
        <v>272.9679675898184</v>
      </c>
      <c r="H565" s="27" t="n">
        <v>0.06838121615109458</v>
      </c>
      <c r="I565" s="26" t="n">
        <v>276.8750805336668</v>
      </c>
      <c r="J565" s="27" t="n">
        <v>0.06829870926645287</v>
      </c>
      <c r="K565" s="26" t="n">
        <v>267.5997704574597</v>
      </c>
      <c r="L565" s="27" t="n">
        <v>0.07366894791450063</v>
      </c>
      <c r="M565" s="26" t="n">
        <v>255.0920634836936</v>
      </c>
      <c r="N565" s="27" t="n">
        <v>0.09193685644948757</v>
      </c>
      <c r="O565" s="26" t="n">
        <v>215.7402427964714</v>
      </c>
      <c r="P565" s="27" t="n">
        <v>0.09007505151635037</v>
      </c>
      <c r="Q565" s="26" t="n">
        <v>240.2246073475503</v>
      </c>
      <c r="R565" s="27" t="n">
        <v>0.12619128437479</v>
      </c>
      <c r="S565" s="26" t="n">
        <v>228.3750880256108</v>
      </c>
      <c r="T565" s="27" t="n">
        <v>0.1460127738459189</v>
      </c>
      <c r="U565" s="26" t="n">
        <v>244.4643939309194</v>
      </c>
      <c r="V565" s="27" t="n">
        <v>0.1133536616648363</v>
      </c>
      <c r="W565" s="26" t="n">
        <v>247.6305758832353</v>
      </c>
      <c r="X565" s="27" t="n">
        <v>0.09325864987849934</v>
      </c>
      <c r="Y565" s="26" t="n">
        <v>228.441771801879</v>
      </c>
      <c r="Z565" s="27" t="n">
        <v>0.06533778442075508</v>
      </c>
      <c r="AA565" s="26" t="n">
        <v>238.3910322574282</v>
      </c>
      <c r="AB565" s="27" t="n">
        <v>0.1283663902217102</v>
      </c>
    </row>
    <row r="566">
      <c r="A566" s="26" t="n">
        <v>228.1623688709482</v>
      </c>
      <c r="B566" s="27" t="n">
        <v>0.1187359744689657</v>
      </c>
      <c r="C566" s="26" t="n">
        <v>229.1469140896369</v>
      </c>
      <c r="D566" s="27" t="n">
        <v>0.1159007181511057</v>
      </c>
      <c r="E566" s="26" t="n">
        <v>256.1651655254107</v>
      </c>
      <c r="F566" s="27" t="n">
        <v>0.09091004076605301</v>
      </c>
      <c r="G566" s="26" t="n">
        <v>273.054690020424</v>
      </c>
      <c r="H566" s="27" t="n">
        <v>0.06871497439441158</v>
      </c>
      <c r="I566" s="26" t="n">
        <v>276.9554649621668</v>
      </c>
      <c r="J566" s="27" t="n">
        <v>0.06863488597027294</v>
      </c>
      <c r="K566" s="26" t="n">
        <v>267.6760129518161</v>
      </c>
      <c r="L566" s="27" t="n">
        <v>0.07403477557059808</v>
      </c>
      <c r="M566" s="26" t="n">
        <v>255.1833691857794</v>
      </c>
      <c r="N566" s="27" t="n">
        <v>0.09239182956531894</v>
      </c>
      <c r="O566" s="26" t="n">
        <v>215.86464749056</v>
      </c>
      <c r="P566" s="27" t="n">
        <v>0.09049488609706041</v>
      </c>
      <c r="Q566" s="26" t="n">
        <v>240.3186941231832</v>
      </c>
      <c r="R566" s="27" t="n">
        <v>0.1267843077871579</v>
      </c>
      <c r="S566" s="26" t="n">
        <v>228.4815116336421</v>
      </c>
      <c r="T566" s="27" t="n">
        <v>0.1466640646763632</v>
      </c>
      <c r="U566" s="26" t="n">
        <v>244.5494392253717</v>
      </c>
      <c r="V566" s="27" t="n">
        <v>0.1139042748001352</v>
      </c>
      <c r="W566" s="26" t="n">
        <v>247.7087613752881</v>
      </c>
      <c r="X566" s="27" t="n">
        <v>0.09372428426869571</v>
      </c>
      <c r="Y566" s="26" t="n">
        <v>228.5472129684858</v>
      </c>
      <c r="Z566" s="27" t="n">
        <v>0.06562480018693452</v>
      </c>
      <c r="AA566" s="26" t="n">
        <v>238.4712199191348</v>
      </c>
      <c r="AB566" s="27" t="n">
        <v>0.1289749315800006</v>
      </c>
    </row>
    <row r="567">
      <c r="A567" s="26" t="n">
        <v>228.3281305341536</v>
      </c>
      <c r="B567" s="27" t="n">
        <v>0.1192701575445864</v>
      </c>
      <c r="C567" s="26" t="n">
        <v>229.2869636034517</v>
      </c>
      <c r="D567" s="27" t="n">
        <v>0.116437556029342</v>
      </c>
      <c r="E567" s="26" t="n">
        <v>256.2782231797673</v>
      </c>
      <c r="F567" s="27" t="n">
        <v>0.09135215920460506</v>
      </c>
      <c r="G567" s="26" t="n">
        <v>273.1414124510296</v>
      </c>
      <c r="H567" s="27" t="n">
        <v>0.06905031311407855</v>
      </c>
      <c r="I567" s="26" t="n">
        <v>277.0358493906667</v>
      </c>
      <c r="J567" s="27" t="n">
        <v>0.0689726603235743</v>
      </c>
      <c r="K567" s="26" t="n">
        <v>267.7522554461725</v>
      </c>
      <c r="L567" s="27" t="n">
        <v>0.07440232926830991</v>
      </c>
      <c r="M567" s="26" t="n">
        <v>255.2746748878653</v>
      </c>
      <c r="N567" s="27" t="n">
        <v>0.09284874646854775</v>
      </c>
      <c r="O567" s="26" t="n">
        <v>215.9890521846485</v>
      </c>
      <c r="P567" s="27" t="n">
        <v>0.09091660225604775</v>
      </c>
      <c r="Q567" s="26" t="n">
        <v>240.4127808988162</v>
      </c>
      <c r="R567" s="27" t="n">
        <v>0.1273792178564981</v>
      </c>
      <c r="S567" s="26" t="n">
        <v>228.5879352416735</v>
      </c>
      <c r="T567" s="27" t="n">
        <v>0.1473170316041677</v>
      </c>
      <c r="U567" s="26" t="n">
        <v>244.634484519824</v>
      </c>
      <c r="V567" s="27" t="n">
        <v>0.1144569016959324</v>
      </c>
      <c r="W567" s="26" t="n">
        <v>247.7869468673409</v>
      </c>
      <c r="X567" s="27" t="n">
        <v>0.09419194892084264</v>
      </c>
      <c r="Y567" s="26" t="n">
        <v>228.6526541350927</v>
      </c>
      <c r="Z567" s="27" t="n">
        <v>0.06591309052866871</v>
      </c>
      <c r="AA567" s="26" t="n">
        <v>238.5514075808414</v>
      </c>
      <c r="AB567" s="27" t="n">
        <v>0.1295854192097674</v>
      </c>
    </row>
    <row r="568">
      <c r="A568" s="26" t="n">
        <v>228.4938921973589</v>
      </c>
      <c r="B568" s="27" t="n">
        <v>0.1198061468255158</v>
      </c>
      <c r="C568" s="26" t="n">
        <v>229.4270131172664</v>
      </c>
      <c r="D568" s="27" t="n">
        <v>0.1169763144270011</v>
      </c>
      <c r="E568" s="26" t="n">
        <v>256.391280834124</v>
      </c>
      <c r="F568" s="27" t="n">
        <v>0.09179614319825027</v>
      </c>
      <c r="G568" s="26" t="n">
        <v>273.2281348816351</v>
      </c>
      <c r="H568" s="27" t="n">
        <v>0.06938723890311253</v>
      </c>
      <c r="I568" s="26" t="n">
        <v>277.1162338191667</v>
      </c>
      <c r="J568" s="27" t="n">
        <v>0.06931203891952172</v>
      </c>
      <c r="K568" s="26" t="n">
        <v>267.8284979405288</v>
      </c>
      <c r="L568" s="27" t="n">
        <v>0.07477161569056764</v>
      </c>
      <c r="M568" s="26" t="n">
        <v>255.3659805899511</v>
      </c>
      <c r="N568" s="27" t="n">
        <v>0.09330761146759839</v>
      </c>
      <c r="O568" s="26" t="n">
        <v>216.1134568787371</v>
      </c>
      <c r="P568" s="27" t="n">
        <v>0.09134020691720314</v>
      </c>
      <c r="Q568" s="26" t="n">
        <v>240.5068676744491</v>
      </c>
      <c r="R568" s="27" t="n">
        <v>0.1279760112980556</v>
      </c>
      <c r="S568" s="26" t="n">
        <v>228.6943588497049</v>
      </c>
      <c r="T568" s="27" t="n">
        <v>0.1479716672322986</v>
      </c>
      <c r="U568" s="26" t="n">
        <v>244.7195298142763</v>
      </c>
      <c r="V568" s="27" t="n">
        <v>0.1150115423675756</v>
      </c>
      <c r="W568" s="26" t="n">
        <v>247.8651323593937</v>
      </c>
      <c r="X568" s="27" t="n">
        <v>0.09466164880861455</v>
      </c>
      <c r="Y568" s="26" t="n">
        <v>228.7580953016997</v>
      </c>
      <c r="Z568" s="27" t="n">
        <v>0.06620266114660221</v>
      </c>
      <c r="AA568" s="26" t="n">
        <v>238.631595242548</v>
      </c>
      <c r="AB568" s="27" t="n">
        <v>0.1301978497093967</v>
      </c>
    </row>
    <row r="569">
      <c r="A569" s="26" t="n">
        <v>228.6596538605642</v>
      </c>
      <c r="B569" s="27" t="n">
        <v>0.1203439415045431</v>
      </c>
      <c r="C569" s="26" t="n">
        <v>229.5670626310812</v>
      </c>
      <c r="D569" s="27" t="n">
        <v>0.1175169935960158</v>
      </c>
      <c r="E569" s="26" t="n">
        <v>256.5043384884808</v>
      </c>
      <c r="F569" s="27" t="n">
        <v>0.09224199684750453</v>
      </c>
      <c r="G569" s="26" t="n">
        <v>273.3148573122407</v>
      </c>
      <c r="H569" s="27" t="n">
        <v>0.06972575836651963</v>
      </c>
      <c r="I569" s="26" t="n">
        <v>277.1966182476666</v>
      </c>
      <c r="J569" s="27" t="n">
        <v>0.06965302836145398</v>
      </c>
      <c r="K569" s="26" t="n">
        <v>267.9047404348852</v>
      </c>
      <c r="L569" s="27" t="n">
        <v>0.07514264152256978</v>
      </c>
      <c r="M569" s="26" t="n">
        <v>255.4572862920369</v>
      </c>
      <c r="N569" s="27" t="n">
        <v>0.09376842882444025</v>
      </c>
      <c r="O569" s="26" t="n">
        <v>216.2378615728256</v>
      </c>
      <c r="P569" s="27" t="n">
        <v>0.09176570700456495</v>
      </c>
      <c r="Q569" s="26" t="n">
        <v>240.600954450082</v>
      </c>
      <c r="R569" s="27" t="n">
        <v>0.1285746847099468</v>
      </c>
      <c r="S569" s="26" t="n">
        <v>228.8007824577363</v>
      </c>
      <c r="T569" s="27" t="n">
        <v>0.1486279640321741</v>
      </c>
      <c r="U569" s="26" t="n">
        <v>244.8045751087286</v>
      </c>
      <c r="V569" s="27" t="n">
        <v>0.1155681967335877</v>
      </c>
      <c r="W569" s="26" t="n">
        <v>247.9433178514465</v>
      </c>
      <c r="X569" s="27" t="n">
        <v>0.09513338886304733</v>
      </c>
      <c r="Y569" s="26" t="n">
        <v>228.8635364683066</v>
      </c>
      <c r="Z569" s="27" t="n">
        <v>0.06649351776682998</v>
      </c>
      <c r="AA569" s="26" t="n">
        <v>238.7117829042546</v>
      </c>
      <c r="AB569" s="27" t="n">
        <v>0.1308122195565413</v>
      </c>
    </row>
    <row r="570">
      <c r="A570" s="26" t="n">
        <v>228.8254155237695</v>
      </c>
      <c r="B570" s="27" t="n">
        <v>0.1208835406808902</v>
      </c>
      <c r="C570" s="26" t="n">
        <v>229.707112144896</v>
      </c>
      <c r="D570" s="27" t="n">
        <v>0.1180595936988924</v>
      </c>
      <c r="E570" s="26" t="n">
        <v>256.6173961428375</v>
      </c>
      <c r="F570" s="27" t="n">
        <v>0.09268972420852585</v>
      </c>
      <c r="G570" s="26" t="n">
        <v>273.4015797428463</v>
      </c>
      <c r="H570" s="27" t="n">
        <v>0.0700658781210195</v>
      </c>
      <c r="I570" s="26" t="n">
        <v>277.2770026761666</v>
      </c>
      <c r="J570" s="27" t="n">
        <v>0.0699956352625742</v>
      </c>
      <c r="K570" s="26" t="n">
        <v>267.9809829292415</v>
      </c>
      <c r="L570" s="27" t="n">
        <v>0.07551541345133321</v>
      </c>
      <c r="M570" s="26" t="n">
        <v>255.5485919941228</v>
      </c>
      <c r="N570" s="27" t="n">
        <v>0.09423120275364856</v>
      </c>
      <c r="O570" s="26" t="n">
        <v>216.3622662669142</v>
      </c>
      <c r="P570" s="27" t="n">
        <v>0.09219310944182732</v>
      </c>
      <c r="Q570" s="26" t="n">
        <v>240.695041225715</v>
      </c>
      <c r="R570" s="27" t="n">
        <v>0.1291752345722389</v>
      </c>
      <c r="S570" s="26" t="n">
        <v>228.9072060657676</v>
      </c>
      <c r="T570" s="27" t="n">
        <v>0.1492859143430709</v>
      </c>
      <c r="U570" s="26" t="n">
        <v>244.8896204031809</v>
      </c>
      <c r="V570" s="27" t="n">
        <v>0.1161268646145848</v>
      </c>
      <c r="W570" s="26" t="n">
        <v>248.0215033434993</v>
      </c>
      <c r="X570" s="27" t="n">
        <v>0.09560717397159148</v>
      </c>
      <c r="Y570" s="26" t="n">
        <v>228.9689776349135</v>
      </c>
      <c r="Z570" s="27" t="n">
        <v>0.06678566614100555</v>
      </c>
      <c r="AA570" s="26" t="n">
        <v>238.7919705659612</v>
      </c>
      <c r="AB570" s="27" t="n">
        <v>0.1314285251071869</v>
      </c>
    </row>
    <row r="571">
      <c r="A571" s="26" t="n">
        <v>228.9911771869748</v>
      </c>
      <c r="B571" s="27" t="n">
        <v>0.1214249433592022</v>
      </c>
      <c r="C571" s="26" t="n">
        <v>229.8471616587107</v>
      </c>
      <c r="D571" s="27" t="n">
        <v>0.1186041148076414</v>
      </c>
      <c r="E571" s="26" t="n">
        <v>256.7304537971943</v>
      </c>
      <c r="F571" s="27" t="n">
        <v>0.09313932929221239</v>
      </c>
      <c r="G571" s="26" t="n">
        <v>273.4883021734519</v>
      </c>
      <c r="H571" s="27" t="n">
        <v>0.07040760479476259</v>
      </c>
      <c r="I571" s="26" t="n">
        <v>277.3573871046665</v>
      </c>
      <c r="J571" s="27" t="n">
        <v>0.07033986624563456</v>
      </c>
      <c r="K571" s="26" t="n">
        <v>268.0572254235979</v>
      </c>
      <c r="L571" s="27" t="n">
        <v>0.07588993816523439</v>
      </c>
      <c r="M571" s="26" t="n">
        <v>255.6398976962086</v>
      </c>
      <c r="N571" s="27" t="n">
        <v>0.09469593742145554</v>
      </c>
      <c r="O571" s="26" t="n">
        <v>216.4866709610027</v>
      </c>
      <c r="P571" s="27" t="n">
        <v>0.0926224211518388</v>
      </c>
      <c r="Q571" s="26" t="n">
        <v>240.7891280013479</v>
      </c>
      <c r="R571" s="27" t="n">
        <v>0.1297776572460284</v>
      </c>
      <c r="S571" s="26" t="n">
        <v>229.013629673799</v>
      </c>
      <c r="T571" s="27" t="n">
        <v>0.1499455103715426</v>
      </c>
      <c r="U571" s="26" t="n">
        <v>244.9746656976332</v>
      </c>
      <c r="V571" s="27" t="n">
        <v>0.1166875457321903</v>
      </c>
      <c r="W571" s="26" t="n">
        <v>248.0996888355521</v>
      </c>
      <c r="X571" s="27" t="n">
        <v>0.0960830089771558</v>
      </c>
      <c r="Y571" s="26" t="n">
        <v>229.0744188015204</v>
      </c>
      <c r="Z571" s="27" t="n">
        <v>0.06707911204644854</v>
      </c>
      <c r="AA571" s="26" t="n">
        <v>238.8721582276678</v>
      </c>
      <c r="AB571" s="27" t="n">
        <v>0.1320467625947171</v>
      </c>
    </row>
    <row r="572">
      <c r="A572" s="26" t="n">
        <v>229.1569388501801</v>
      </c>
      <c r="B572" s="27" t="n">
        <v>0.1219681484485309</v>
      </c>
      <c r="C572" s="26" t="n">
        <v>229.9872111725255</v>
      </c>
      <c r="D572" s="27" t="n">
        <v>0.1191505569027066</v>
      </c>
      <c r="E572" s="26" t="n">
        <v>256.843511451551</v>
      </c>
      <c r="F572" s="27" t="n">
        <v>0.09359081606329084</v>
      </c>
      <c r="G572" s="26" t="n">
        <v>273.5750246040575</v>
      </c>
      <c r="H572" s="27" t="n">
        <v>0.0707509450270426</v>
      </c>
      <c r="I572" s="26" t="n">
        <v>277.4377715331665</v>
      </c>
      <c r="J572" s="27" t="n">
        <v>0.07068572794261249</v>
      </c>
      <c r="K572" s="26" t="n">
        <v>268.1334679179542</v>
      </c>
      <c r="L572" s="27" t="n">
        <v>0.07626622235354419</v>
      </c>
      <c r="M572" s="26" t="n">
        <v>255.7312033982944</v>
      </c>
      <c r="N572" s="27" t="n">
        <v>0.09516263694479045</v>
      </c>
      <c r="O572" s="26" t="n">
        <v>216.6110756550913</v>
      </c>
      <c r="P572" s="27" t="n">
        <v>0.0930536490560907</v>
      </c>
      <c r="Q572" s="26" t="n">
        <v>240.8832147769809</v>
      </c>
      <c r="R572" s="27" t="n">
        <v>0.1303819489725234</v>
      </c>
      <c r="S572" s="26" t="n">
        <v>229.1200532818304</v>
      </c>
      <c r="T572" s="27" t="n">
        <v>0.1506067441908425</v>
      </c>
      <c r="U572" s="26" t="n">
        <v>245.0597109920855</v>
      </c>
      <c r="V572" s="27" t="n">
        <v>0.1172502397079448</v>
      </c>
      <c r="W572" s="26" t="n">
        <v>248.1778743276049</v>
      </c>
      <c r="X572" s="27" t="n">
        <v>0.09656089867713864</v>
      </c>
      <c r="Y572" s="26" t="n">
        <v>229.1798599681273</v>
      </c>
      <c r="Z572" s="27" t="n">
        <v>0.0673738612862534</v>
      </c>
      <c r="AA572" s="26" t="n">
        <v>238.9523458893744</v>
      </c>
      <c r="AB572" s="27" t="n">
        <v>0.1326669281289841</v>
      </c>
    </row>
    <row r="573">
      <c r="A573" s="26" t="n">
        <v>229.3227005133854</v>
      </c>
      <c r="B573" s="27" t="n">
        <v>0.1225131547613164</v>
      </c>
      <c r="C573" s="26" t="n">
        <v>230.1272606863403</v>
      </c>
      <c r="D573" s="27" t="n">
        <v>0.1196989198718851</v>
      </c>
      <c r="E573" s="26" t="n">
        <v>256.9565691059076</v>
      </c>
      <c r="F573" s="27" t="n">
        <v>0.09404418843939645</v>
      </c>
      <c r="G573" s="26" t="n">
        <v>273.661747034663</v>
      </c>
      <c r="H573" s="27" t="n">
        <v>0.07109590546800035</v>
      </c>
      <c r="I573" s="26" t="n">
        <v>277.5181559616664</v>
      </c>
      <c r="J573" s="27" t="n">
        <v>0.07103322699438105</v>
      </c>
      <c r="K573" s="26" t="n">
        <v>268.2097104123105</v>
      </c>
      <c r="L573" s="27" t="n">
        <v>0.07664427270595194</v>
      </c>
      <c r="M573" s="26" t="n">
        <v>255.8225091003803</v>
      </c>
      <c r="N573" s="27" t="n">
        <v>0.09563130539031223</v>
      </c>
      <c r="O573" s="26" t="n">
        <v>216.7354803491798</v>
      </c>
      <c r="P573" s="27" t="n">
        <v>0.09348680007419705</v>
      </c>
      <c r="Q573" s="26" t="n">
        <v>240.9773015526138</v>
      </c>
      <c r="R573" s="27" t="n">
        <v>0.1309881058721254</v>
      </c>
      <c r="S573" s="26" t="n">
        <v>229.2264768898618</v>
      </c>
      <c r="T573" s="27" t="n">
        <v>0.151269607740356</v>
      </c>
      <c r="U573" s="26" t="n">
        <v>245.1447562865378</v>
      </c>
      <c r="V573" s="27" t="n">
        <v>0.1178149460622129</v>
      </c>
      <c r="W573" s="26" t="n">
        <v>248.2560598196577</v>
      </c>
      <c r="X573" s="27" t="n">
        <v>0.09704084782244983</v>
      </c>
      <c r="Y573" s="26" t="n">
        <v>229.2853011347343</v>
      </c>
      <c r="Z573" s="27" t="n">
        <v>0.06766991968939746</v>
      </c>
      <c r="AA573" s="26" t="n">
        <v>239.032533551081</v>
      </c>
      <c r="AB573" s="27" t="n">
        <v>0.1332890176953781</v>
      </c>
    </row>
    <row r="574">
      <c r="A574" s="26" t="n">
        <v>229.4884621765907</v>
      </c>
      <c r="B574" s="27" t="n">
        <v>0.1230599610123639</v>
      </c>
      <c r="C574" s="26" t="n">
        <v>230.2673102001551</v>
      </c>
      <c r="D574" s="27" t="n">
        <v>0.1202492035092457</v>
      </c>
      <c r="E574" s="26" t="n">
        <v>257.0696267602644</v>
      </c>
      <c r="F574" s="27" t="n">
        <v>0.09449945029014058</v>
      </c>
      <c r="G574" s="26" t="n">
        <v>273.7484694652686</v>
      </c>
      <c r="H574" s="27" t="n">
        <v>0.07144249277832142</v>
      </c>
      <c r="I574" s="26" t="n">
        <v>277.5985403901664</v>
      </c>
      <c r="J574" s="27" t="n">
        <v>0.07138237005037072</v>
      </c>
      <c r="K574" s="26" t="n">
        <v>268.2859529066669</v>
      </c>
      <c r="L574" s="27" t="n">
        <v>0.07702409591208166</v>
      </c>
      <c r="M574" s="26" t="n">
        <v>255.9138148024661</v>
      </c>
      <c r="N574" s="27" t="n">
        <v>0.09610194677342908</v>
      </c>
      <c r="O574" s="26" t="n">
        <v>216.8598850432683</v>
      </c>
      <c r="P574" s="27" t="n">
        <v>0.09392188112336479</v>
      </c>
      <c r="Q574" s="26" t="n">
        <v>241.0713883282468</v>
      </c>
      <c r="R574" s="27" t="n">
        <v>0.1315961239435152</v>
      </c>
      <c r="S574" s="26" t="n">
        <v>229.3329004978931</v>
      </c>
      <c r="T574" s="27" t="n">
        <v>0.1519340928250401</v>
      </c>
      <c r="U574" s="26" t="n">
        <v>245.2298015809902</v>
      </c>
      <c r="V574" s="27" t="n">
        <v>0.1183816642130845</v>
      </c>
      <c r="W574" s="26" t="n">
        <v>248.3342453117106</v>
      </c>
      <c r="X574" s="27" t="n">
        <v>0.09752286111652002</v>
      </c>
      <c r="Y574" s="26" t="n">
        <v>229.3907423013411</v>
      </c>
      <c r="Z574" s="27" t="n">
        <v>0.06796729311085004</v>
      </c>
      <c r="AA574" s="26" t="n">
        <v>239.1127212127876</v>
      </c>
      <c r="AB574" s="27" t="n">
        <v>0.1339130271538999</v>
      </c>
    </row>
    <row r="575">
      <c r="A575" s="26" t="n">
        <v>229.654223839796</v>
      </c>
      <c r="B575" s="27" t="n">
        <v>0.1236085658178177</v>
      </c>
      <c r="C575" s="26" t="n">
        <v>230.4073597139699</v>
      </c>
      <c r="D575" s="27" t="n">
        <v>0.1208014075140381</v>
      </c>
      <c r="E575" s="26" t="n">
        <v>257.1826844146211</v>
      </c>
      <c r="F575" s="27" t="n">
        <v>0.0949566054361707</v>
      </c>
      <c r="G575" s="26" t="n">
        <v>273.8351918958741</v>
      </c>
      <c r="H575" s="27" t="n">
        <v>0.07179071362892686</v>
      </c>
      <c r="I575" s="26" t="n">
        <v>277.6789248186662</v>
      </c>
      <c r="J575" s="27" t="n">
        <v>0.07173316376822483</v>
      </c>
      <c r="K575" s="26" t="n">
        <v>268.3621954010233</v>
      </c>
      <c r="L575" s="27" t="n">
        <v>0.07740569866099753</v>
      </c>
      <c r="M575" s="26" t="n">
        <v>256.005120504552</v>
      </c>
      <c r="N575" s="27" t="n">
        <v>0.09657456505731037</v>
      </c>
      <c r="O575" s="26" t="n">
        <v>216.9842897373569</v>
      </c>
      <c r="P575" s="27" t="n">
        <v>0.09435889911785331</v>
      </c>
      <c r="Q575" s="26" t="n">
        <v>241.1654751038798</v>
      </c>
      <c r="R575" s="27" t="n">
        <v>0.1322059990627388</v>
      </c>
      <c r="S575" s="26" t="n">
        <v>229.4393241059245</v>
      </c>
      <c r="T575" s="27" t="n">
        <v>0.1526001911148711</v>
      </c>
      <c r="U575" s="26" t="n">
        <v>245.3148468754425</v>
      </c>
      <c r="V575" s="27" t="n">
        <v>0.1189503934752747</v>
      </c>
      <c r="W575" s="26" t="n">
        <v>248.4124308037634</v>
      </c>
      <c r="X575" s="27" t="n">
        <v>0.09800694321430162</v>
      </c>
      <c r="Y575" s="26" t="n">
        <v>229.496183467948</v>
      </c>
      <c r="Z575" s="27" t="n">
        <v>0.06826598743168112</v>
      </c>
      <c r="AA575" s="26" t="n">
        <v>239.1929088744942</v>
      </c>
      <c r="AB575" s="27" t="n">
        <v>0.1345389522382371</v>
      </c>
    </row>
    <row r="576">
      <c r="A576" s="26" t="n">
        <v>229.8199855030014</v>
      </c>
      <c r="B576" s="27" t="n">
        <v>0.1241589676941305</v>
      </c>
      <c r="C576" s="26" t="n">
        <v>230.5474092277846</v>
      </c>
      <c r="D576" s="27" t="n">
        <v>0.1213555314896008</v>
      </c>
      <c r="E576" s="26" t="n">
        <v>257.2957420689778</v>
      </c>
      <c r="F576" s="27" t="n">
        <v>0.09541565764822053</v>
      </c>
      <c r="G576" s="26" t="n">
        <v>273.9219143264797</v>
      </c>
      <c r="H576" s="27" t="n">
        <v>0.07214057470065666</v>
      </c>
      <c r="I576" s="26" t="n">
        <v>277.7593092471662</v>
      </c>
      <c r="J576" s="27" t="n">
        <v>0.07208561481344665</v>
      </c>
      <c r="K576" s="26" t="n">
        <v>268.4384378953796</v>
      </c>
      <c r="L576" s="27" t="n">
        <v>0.07778908764070341</v>
      </c>
      <c r="M576" s="26" t="n">
        <v>256.0964262066378</v>
      </c>
      <c r="N576" s="27" t="n">
        <v>0.09704916415188623</v>
      </c>
      <c r="O576" s="26" t="n">
        <v>217.1086944314454</v>
      </c>
      <c r="P576" s="27" t="n">
        <v>0.09479786096842513</v>
      </c>
      <c r="Q576" s="26" t="n">
        <v>241.2595618795127</v>
      </c>
      <c r="R576" s="27" t="n">
        <v>0.1328177269822968</v>
      </c>
      <c r="S576" s="26" t="n">
        <v>229.5457477139559</v>
      </c>
      <c r="T576" s="27" t="n">
        <v>0.1532678941443023</v>
      </c>
      <c r="U576" s="26" t="n">
        <v>245.3998921698948</v>
      </c>
      <c r="V576" s="27" t="n">
        <v>0.1195211330590184</v>
      </c>
      <c r="W576" s="26" t="n">
        <v>248.4906162958162</v>
      </c>
      <c r="X576" s="27" t="n">
        <v>0.09849309872125672</v>
      </c>
      <c r="Y576" s="26" t="n">
        <v>229.601624634555</v>
      </c>
      <c r="Z576" s="27" t="n">
        <v>0.0685660085591709</v>
      </c>
      <c r="AA576" s="26" t="n">
        <v>239.2730965362008</v>
      </c>
      <c r="AB576" s="27" t="n">
        <v>0.1351667885548413</v>
      </c>
    </row>
    <row r="577">
      <c r="A577" s="26" t="n">
        <v>229.9857471662066</v>
      </c>
      <c r="B577" s="27" t="n">
        <v>0.1247111650570313</v>
      </c>
      <c r="C577" s="26" t="n">
        <v>230.6874587415994</v>
      </c>
      <c r="D577" s="27" t="n">
        <v>0.1219115749422617</v>
      </c>
      <c r="E577" s="26" t="n">
        <v>257.4087997233346</v>
      </c>
      <c r="F577" s="27" t="n">
        <v>0.09587661064614811</v>
      </c>
      <c r="G577" s="26" t="n">
        <v>274.0086367570854</v>
      </c>
      <c r="H577" s="27" t="n">
        <v>0.07249208268394544</v>
      </c>
      <c r="I577" s="26" t="n">
        <v>277.8396936756661</v>
      </c>
      <c r="J577" s="27" t="n">
        <v>0.07243972985903913</v>
      </c>
      <c r="K577" s="26" t="n">
        <v>268.514680389736</v>
      </c>
      <c r="L577" s="27" t="n">
        <v>0.07817426953763043</v>
      </c>
      <c r="M577" s="26" t="n">
        <v>256.1877319087237</v>
      </c>
      <c r="N577" s="27" t="n">
        <v>0.09752574791283948</v>
      </c>
      <c r="O577" s="26" t="n">
        <v>217.233099125534</v>
      </c>
      <c r="P577" s="27" t="n">
        <v>0.0952387735817861</v>
      </c>
      <c r="Q577" s="26" t="n">
        <v>241.3536486551457</v>
      </c>
      <c r="R577" s="27" t="n">
        <v>0.1334313033302344</v>
      </c>
      <c r="S577" s="26" t="n">
        <v>229.6521713219873</v>
      </c>
      <c r="T577" s="27" t="n">
        <v>0.1539371933117274</v>
      </c>
      <c r="U577" s="26" t="n">
        <v>245.484937464347</v>
      </c>
      <c r="V577" s="27" t="n">
        <v>0.1200938820689618</v>
      </c>
      <c r="W577" s="26" t="n">
        <v>248.5688017878689</v>
      </c>
      <c r="X577" s="27" t="n">
        <v>0.09898133219233414</v>
      </c>
      <c r="Y577" s="26" t="n">
        <v>229.7070658011618</v>
      </c>
      <c r="Z577" s="27" t="n">
        <v>0.06886736242691886</v>
      </c>
      <c r="AA577" s="26" t="n">
        <v>239.3532841979074</v>
      </c>
      <c r="AB577" s="27" t="n">
        <v>0.135796531582009</v>
      </c>
    </row>
    <row r="578">
      <c r="A578" s="26" t="n">
        <v>230.151508829412</v>
      </c>
      <c r="B578" s="27" t="n">
        <v>0.1252651562204873</v>
      </c>
      <c r="C578" s="26" t="n">
        <v>230.8275082554142</v>
      </c>
      <c r="D578" s="27" t="n">
        <v>0.122469537280234</v>
      </c>
      <c r="E578" s="26" t="n">
        <v>257.5218573776913</v>
      </c>
      <c r="F578" s="27" t="n">
        <v>0.09633946809796608</v>
      </c>
      <c r="G578" s="26" t="n">
        <v>274.0953591876909</v>
      </c>
      <c r="H578" s="27" t="n">
        <v>0.07284524427849225</v>
      </c>
      <c r="I578" s="26" t="n">
        <v>277.9200781041661</v>
      </c>
      <c r="J578" s="27" t="n">
        <v>0.07279551558513708</v>
      </c>
      <c r="K578" s="26" t="n">
        <v>268.5909228840924</v>
      </c>
      <c r="L578" s="27" t="n">
        <v>0.07856125103611475</v>
      </c>
      <c r="M578" s="26" t="n">
        <v>256.2790376108095</v>
      </c>
      <c r="N578" s="27" t="n">
        <v>0.09800432014058529</v>
      </c>
      <c r="O578" s="26" t="n">
        <v>217.3575038196225</v>
      </c>
      <c r="P578" s="27" t="n">
        <v>0.09568164386001551</v>
      </c>
      <c r="Q578" s="26" t="n">
        <v>241.4477354307786</v>
      </c>
      <c r="R578" s="27" t="n">
        <v>0.1340467236092371</v>
      </c>
      <c r="S578" s="26" t="n">
        <v>229.7585949300186</v>
      </c>
      <c r="T578" s="27" t="n">
        <v>0.1546080798789543</v>
      </c>
      <c r="U578" s="26" t="n">
        <v>245.5699827587994</v>
      </c>
      <c r="V578" s="27" t="n">
        <v>0.1206686395030513</v>
      </c>
      <c r="W578" s="26" t="n">
        <v>248.6469872799217</v>
      </c>
      <c r="X578" s="27" t="n">
        <v>0.09947164813093705</v>
      </c>
      <c r="Y578" s="26" t="n">
        <v>229.8125069677688</v>
      </c>
      <c r="Z578" s="27" t="n">
        <v>0.06917005499495373</v>
      </c>
      <c r="AA578" s="26" t="n">
        <v>239.433471859614</v>
      </c>
      <c r="AB578" s="27" t="n">
        <v>0.1364281766689634</v>
      </c>
    </row>
    <row r="579">
      <c r="A579" s="26" t="n">
        <v>230.3172704926173</v>
      </c>
      <c r="B579" s="27" t="n">
        <v>0.1258209393956646</v>
      </c>
      <c r="C579" s="26" t="n">
        <v>230.967557769229</v>
      </c>
      <c r="D579" s="27" t="n">
        <v>0.1230294178125081</v>
      </c>
      <c r="E579" s="26" t="n">
        <v>257.6349150320481</v>
      </c>
      <c r="F579" s="27" t="n">
        <v>0.09680423361886144</v>
      </c>
      <c r="G579" s="26" t="n">
        <v>274.1820816182965</v>
      </c>
      <c r="H579" s="27" t="n">
        <v>0.07320006619292115</v>
      </c>
      <c r="I579" s="26" t="n">
        <v>278.000462532666</v>
      </c>
      <c r="J579" s="27" t="n">
        <v>0.07315297867863096</v>
      </c>
      <c r="K579" s="26" t="n">
        <v>268.6671653784487</v>
      </c>
      <c r="L579" s="27" t="n">
        <v>0.07895003881786901</v>
      </c>
      <c r="M579" s="26" t="n">
        <v>256.3703433128953</v>
      </c>
      <c r="N579" s="27" t="n">
        <v>0.09848488457924161</v>
      </c>
      <c r="O579" s="26" t="n">
        <v>217.481908513711</v>
      </c>
      <c r="P579" s="27" t="n">
        <v>0.09612647869998556</v>
      </c>
      <c r="Q579" s="26" t="n">
        <v>241.5418222064116</v>
      </c>
      <c r="R579" s="27" t="n">
        <v>0.1346639831957244</v>
      </c>
      <c r="S579" s="26" t="n">
        <v>229.86501853805</v>
      </c>
      <c r="T579" s="27" t="n">
        <v>0.1552805449706883</v>
      </c>
      <c r="U579" s="26" t="n">
        <v>245.6550280532517</v>
      </c>
      <c r="V579" s="27" t="n">
        <v>0.1212454042514177</v>
      </c>
      <c r="W579" s="26" t="n">
        <v>248.7251727719746</v>
      </c>
      <c r="X579" s="27" t="n">
        <v>0.09996405098787781</v>
      </c>
      <c r="Y579" s="26" t="n">
        <v>229.9179481343757</v>
      </c>
      <c r="Z579" s="27" t="n">
        <v>0.06947409224984323</v>
      </c>
      <c r="AA579" s="26" t="n">
        <v>239.5136595213206</v>
      </c>
      <c r="AB579" s="27" t="n">
        <v>0.1370617190349432</v>
      </c>
    </row>
    <row r="580">
      <c r="A580" s="26" t="n">
        <v>230.4830321558226</v>
      </c>
      <c r="B580" s="27" t="n">
        <v>0.1263785126898854</v>
      </c>
      <c r="C580" s="26" t="n">
        <v>231.1076072830438</v>
      </c>
      <c r="D580" s="27" t="n">
        <v>0.1235912157477379</v>
      </c>
      <c r="E580" s="26" t="n">
        <v>257.7479726864048</v>
      </c>
      <c r="F580" s="27" t="n">
        <v>0.09727091077020406</v>
      </c>
      <c r="G580" s="26" t="n">
        <v>274.268804048902</v>
      </c>
      <c r="H580" s="27" t="n">
        <v>0.07355655514443531</v>
      </c>
      <c r="I580" s="26" t="n">
        <v>278.080846961166</v>
      </c>
      <c r="J580" s="27" t="n">
        <v>0.07351212583278301</v>
      </c>
      <c r="K580" s="26" t="n">
        <v>268.7434078728051</v>
      </c>
      <c r="L580" s="27" t="n">
        <v>0.07934063956144045</v>
      </c>
      <c r="M580" s="26" t="n">
        <v>256.4616490149812</v>
      </c>
      <c r="N580" s="27" t="n">
        <v>0.09896744491558916</v>
      </c>
      <c r="O580" s="26" t="n">
        <v>217.6063132077996</v>
      </c>
      <c r="P580" s="27" t="n">
        <v>0.09657328499277108</v>
      </c>
      <c r="Q580" s="26" t="n">
        <v>241.6359089820445</v>
      </c>
      <c r="R580" s="27" t="n">
        <v>0.1352830773389516</v>
      </c>
      <c r="S580" s="26" t="n">
        <v>229.9714421460814</v>
      </c>
      <c r="T580" s="27" t="n">
        <v>0.1559545795740233</v>
      </c>
      <c r="U580" s="26" t="n">
        <v>245.740073347704</v>
      </c>
      <c r="V580" s="27" t="n">
        <v>0.1218241750952589</v>
      </c>
      <c r="W580" s="26" t="n">
        <v>248.8033582640274</v>
      </c>
      <c r="X580" s="27" t="n">
        <v>0.100458545160322</v>
      </c>
      <c r="Y580" s="26" t="n">
        <v>230.0233893009826</v>
      </c>
      <c r="Z580" s="27" t="n">
        <v>0.06977948020480414</v>
      </c>
      <c r="AA580" s="26" t="n">
        <v>239.5938471830272</v>
      </c>
      <c r="AB580" s="27" t="n">
        <v>0.1376971537682903</v>
      </c>
    </row>
    <row r="581">
      <c r="A581" s="26" t="n">
        <v>230.6487938190279</v>
      </c>
      <c r="B581" s="27" t="n">
        <v>0.1269378741055809</v>
      </c>
      <c r="C581" s="26" t="n">
        <v>231.2476567968585</v>
      </c>
      <c r="D581" s="27" t="n">
        <v>0.1241549301931226</v>
      </c>
      <c r="E581" s="26" t="n">
        <v>257.8610303407614</v>
      </c>
      <c r="F581" s="27" t="n">
        <v>0.09773950305854763</v>
      </c>
      <c r="G581" s="26" t="n">
        <v>274.3555264795076</v>
      </c>
      <c r="H581" s="27" t="n">
        <v>0.07391471785846289</v>
      </c>
      <c r="I581" s="26" t="n">
        <v>278.1612313896659</v>
      </c>
      <c r="J581" s="27" t="n">
        <v>0.07387296374683505</v>
      </c>
      <c r="K581" s="26" t="n">
        <v>268.8196503671614</v>
      </c>
      <c r="L581" s="27" t="n">
        <v>0.07973305994166204</v>
      </c>
      <c r="M581" s="26" t="n">
        <v>256.552954717067</v>
      </c>
      <c r="N581" s="27" t="n">
        <v>0.09945200477802091</v>
      </c>
      <c r="O581" s="26" t="n">
        <v>217.7307179018882</v>
      </c>
      <c r="P581" s="27" t="n">
        <v>0.09702206962304781</v>
      </c>
      <c r="Q581" s="26" t="n">
        <v>241.7299957576774</v>
      </c>
      <c r="R581" s="27" t="n">
        <v>0.1359040011601099</v>
      </c>
      <c r="S581" s="26" t="n">
        <v>230.0778657541127</v>
      </c>
      <c r="T581" s="27" t="n">
        <v>0.1566301745379424</v>
      </c>
      <c r="U581" s="26" t="n">
        <v>245.8251186421563</v>
      </c>
      <c r="V581" s="27" t="n">
        <v>0.1224049507057184</v>
      </c>
      <c r="W581" s="26" t="n">
        <v>248.8815437560802</v>
      </c>
      <c r="X581" s="27" t="n">
        <v>0.1009551349907225</v>
      </c>
      <c r="Y581" s="26" t="n">
        <v>230.1288304675895</v>
      </c>
      <c r="Z581" s="27" t="n">
        <v>0.07008622489981248</v>
      </c>
      <c r="AA581" s="26" t="n">
        <v>239.6740348447337</v>
      </c>
      <c r="AB581" s="27" t="n">
        <v>0.1383344758255432</v>
      </c>
    </row>
    <row r="582">
      <c r="A582" s="26" t="n">
        <v>230.8145554822332</v>
      </c>
      <c r="B582" s="27" t="n">
        <v>0.1274990215392433</v>
      </c>
      <c r="C582" s="26" t="n">
        <v>231.3877063106733</v>
      </c>
      <c r="D582" s="27" t="n">
        <v>0.124720560153284</v>
      </c>
      <c r="E582" s="26" t="n">
        <v>257.9740879951182</v>
      </c>
      <c r="F582" s="27" t="n">
        <v>0.09821001393461724</v>
      </c>
      <c r="G582" s="26" t="n">
        <v>274.4422489101132</v>
      </c>
      <c r="H582" s="27" t="n">
        <v>0.07427456106829551</v>
      </c>
      <c r="I582" s="26" t="n">
        <v>278.2416158181659</v>
      </c>
      <c r="J582" s="27" t="n">
        <v>0.07423549912560815</v>
      </c>
      <c r="K582" s="26" t="n">
        <v>268.8958928615177</v>
      </c>
      <c r="L582" s="27" t="n">
        <v>0.08012730662909062</v>
      </c>
      <c r="M582" s="26" t="n">
        <v>256.6442604191528</v>
      </c>
      <c r="N582" s="27" t="n">
        <v>0.0999385677354819</v>
      </c>
      <c r="O582" s="26" t="n">
        <v>217.8551225959767</v>
      </c>
      <c r="P582" s="27" t="n">
        <v>0.0974728394684809</v>
      </c>
      <c r="Q582" s="26" t="n">
        <v>241.8240825333104</v>
      </c>
      <c r="R582" s="27" t="n">
        <v>0.1365267496514322</v>
      </c>
      <c r="S582" s="26" t="n">
        <v>230.1842893621441</v>
      </c>
      <c r="T582" s="27" t="n">
        <v>0.1573073205728289</v>
      </c>
      <c r="U582" s="26" t="n">
        <v>245.9101639366086</v>
      </c>
      <c r="V582" s="27" t="n">
        <v>0.1229877296427621</v>
      </c>
      <c r="W582" s="26" t="n">
        <v>248.959729248133</v>
      </c>
      <c r="X582" s="27" t="n">
        <v>0.1014538247657393</v>
      </c>
      <c r="Y582" s="26" t="n">
        <v>230.2342716341964</v>
      </c>
      <c r="Z582" s="27" t="n">
        <v>0.07039433240171432</v>
      </c>
      <c r="AA582" s="26" t="n">
        <v>239.7542225064403</v>
      </c>
      <c r="AB582" s="27" t="n">
        <v>0.1389736800305341</v>
      </c>
    </row>
    <row r="583">
      <c r="A583" s="26" t="n">
        <v>230.9803171454385</v>
      </c>
      <c r="B583" s="27" t="n">
        <v>0.1280619527803732</v>
      </c>
      <c r="C583" s="26" t="n">
        <v>231.5277558244881</v>
      </c>
      <c r="D583" s="27" t="n">
        <v>0.1252881045291391</v>
      </c>
      <c r="E583" s="26" t="n">
        <v>258.0871456494749</v>
      </c>
      <c r="F583" s="27" t="n">
        <v>0.09868244679228932</v>
      </c>
      <c r="G583" s="26" t="n">
        <v>274.5289713407187</v>
      </c>
      <c r="H583" s="27" t="n">
        <v>0.07463609151471746</v>
      </c>
      <c r="I583" s="26" t="n">
        <v>278.3220002466658</v>
      </c>
      <c r="J583" s="27" t="n">
        <v>0.07459973867909366</v>
      </c>
      <c r="K583" s="26" t="n">
        <v>268.9721353558741</v>
      </c>
      <c r="L583" s="27" t="n">
        <v>0.08052338628943928</v>
      </c>
      <c r="M583" s="26" t="n">
        <v>256.7355661212387</v>
      </c>
      <c r="N583" s="27" t="n">
        <v>0.1004271372963974</v>
      </c>
      <c r="O583" s="26" t="n">
        <v>217.9795272900653</v>
      </c>
      <c r="P583" s="27" t="n">
        <v>0.09792560139910192</v>
      </c>
      <c r="Q583" s="26" t="n">
        <v>241.9181693089433</v>
      </c>
      <c r="R583" s="27" t="n">
        <v>0.1371513176753023</v>
      </c>
      <c r="S583" s="26" t="n">
        <v>230.2907129701755</v>
      </c>
      <c r="T583" s="27" t="n">
        <v>0.157986008249985</v>
      </c>
      <c r="U583" s="26" t="n">
        <v>245.9952092310609</v>
      </c>
      <c r="V583" s="27" t="n">
        <v>0.1235725103540499</v>
      </c>
      <c r="W583" s="26" t="n">
        <v>249.0379147401858</v>
      </c>
      <c r="X583" s="27" t="n">
        <v>0.1019546187151526</v>
      </c>
      <c r="Y583" s="26" t="n">
        <v>230.3397128008033</v>
      </c>
      <c r="Z583" s="27" t="n">
        <v>0.07070380880433576</v>
      </c>
      <c r="AA583" s="26" t="n">
        <v>239.8344101681469</v>
      </c>
      <c r="AB583" s="27" t="n">
        <v>0.139614761073489</v>
      </c>
    </row>
    <row r="584">
      <c r="A584" s="26" t="n">
        <v>231.1460788086438</v>
      </c>
      <c r="B584" s="27" t="n">
        <v>0.1286266655104253</v>
      </c>
      <c r="C584" s="26" t="n">
        <v>231.6678053383028</v>
      </c>
      <c r="D584" s="27" t="n">
        <v>0.1258575621167691</v>
      </c>
      <c r="E584" s="26" t="n">
        <v>258.2002033038317</v>
      </c>
      <c r="F584" s="27" t="n">
        <v>0.09915680496756067</v>
      </c>
      <c r="G584" s="26" t="n">
        <v>274.6156937713243</v>
      </c>
      <c r="H584" s="27" t="n">
        <v>0.07499931594562924</v>
      </c>
      <c r="I584" s="26" t="n">
        <v>278.4023846751658</v>
      </c>
      <c r="J584" s="27" t="n">
        <v>0.07496568912203591</v>
      </c>
      <c r="K584" s="26" t="n">
        <v>269.0483778502304</v>
      </c>
      <c r="L584" s="27" t="n">
        <v>0.0809213055829953</v>
      </c>
      <c r="M584" s="26" t="n">
        <v>256.8268718233245</v>
      </c>
      <c r="N584" s="27" t="n">
        <v>0.1009177169075923</v>
      </c>
      <c r="O584" s="26" t="n">
        <v>218.1039319841538</v>
      </c>
      <c r="P584" s="27" t="n">
        <v>0.0983803622766742</v>
      </c>
      <c r="Q584" s="26" t="n">
        <v>242.0122560845763</v>
      </c>
      <c r="R584" s="27" t="n">
        <v>0.1377776999633659</v>
      </c>
      <c r="S584" s="26" t="n">
        <v>230.3971365782069</v>
      </c>
      <c r="T584" s="27" t="n">
        <v>0.158666228001163</v>
      </c>
      <c r="U584" s="26" t="n">
        <v>246.0802545255132</v>
      </c>
      <c r="V584" s="27" t="n">
        <v>0.1241592911738083</v>
      </c>
      <c r="W584" s="26" t="n">
        <v>249.1161002322386</v>
      </c>
      <c r="X584" s="27" t="n">
        <v>0.1024575210107598</v>
      </c>
      <c r="Y584" s="26" t="n">
        <v>230.4451539674102</v>
      </c>
      <c r="Z584" s="27" t="n">
        <v>0.07101466022859462</v>
      </c>
      <c r="AA584" s="26" t="n">
        <v>239.9145978298536</v>
      </c>
      <c r="AB584" s="27" t="n">
        <v>0.1402577135101317</v>
      </c>
    </row>
    <row r="585">
      <c r="A585" s="26" t="n">
        <v>231.3118404718491</v>
      </c>
      <c r="B585" s="27" t="n">
        <v>0.1291931573017508</v>
      </c>
      <c r="C585" s="26" t="n">
        <v>231.8078548521176</v>
      </c>
      <c r="D585" s="27" t="n">
        <v>0.1264289316062819</v>
      </c>
      <c r="E585" s="26" t="n">
        <v>258.3132609581884</v>
      </c>
      <c r="F585" s="27" t="n">
        <v>0.09963309173750648</v>
      </c>
      <c r="G585" s="26" t="n">
        <v>274.7024162019299</v>
      </c>
      <c r="H585" s="27" t="n">
        <v>0.07536424111566049</v>
      </c>
      <c r="I585" s="26" t="n">
        <v>278.4827691036656</v>
      </c>
      <c r="J585" s="27" t="n">
        <v>0.0753333571735061</v>
      </c>
      <c r="K585" s="26" t="n">
        <v>269.1246203445868</v>
      </c>
      <c r="L585" s="27" t="n">
        <v>0.08132107116403071</v>
      </c>
      <c r="M585" s="26" t="n">
        <v>256.9181775254103</v>
      </c>
      <c r="N585" s="27" t="n">
        <v>0.1014103099531987</v>
      </c>
      <c r="O585" s="26" t="n">
        <v>218.2283366782424</v>
      </c>
      <c r="P585" s="27" t="n">
        <v>0.09883712895404891</v>
      </c>
      <c r="Q585" s="26" t="n">
        <v>242.1063428602092</v>
      </c>
      <c r="R585" s="27" t="n">
        <v>0.1384058911156472</v>
      </c>
      <c r="S585" s="26" t="n">
        <v>230.5035601862382</v>
      </c>
      <c r="T585" s="27" t="n">
        <v>0.1593479701181035</v>
      </c>
      <c r="U585" s="26" t="n">
        <v>246.1652998199655</v>
      </c>
      <c r="V585" s="27" t="n">
        <v>0.1247480703216969</v>
      </c>
      <c r="W585" s="26" t="n">
        <v>249.1942857242914</v>
      </c>
      <c r="X585" s="27" t="n">
        <v>0.1029625357652638</v>
      </c>
      <c r="Y585" s="26" t="n">
        <v>230.5505951340172</v>
      </c>
      <c r="Z585" s="27" t="n">
        <v>0.07132689282261041</v>
      </c>
      <c r="AA585" s="26" t="n">
        <v>239.9947854915602</v>
      </c>
      <c r="AB585" s="27" t="n">
        <v>0.1409025317607918</v>
      </c>
    </row>
    <row r="586">
      <c r="A586" s="26" t="n">
        <v>231.4776021350544</v>
      </c>
      <c r="B586" s="27" t="n">
        <v>0.1297614256165384</v>
      </c>
      <c r="C586" s="26" t="n">
        <v>231.9479043659324</v>
      </c>
      <c r="D586" s="27" t="n">
        <v>0.1270022115806734</v>
      </c>
      <c r="E586" s="26" t="n">
        <v>258.4263186125451</v>
      </c>
      <c r="F586" s="27" t="n">
        <v>0.1001113103192299</v>
      </c>
      <c r="G586" s="26" t="n">
        <v>274.7891386325355</v>
      </c>
      <c r="H586" s="27" t="n">
        <v>0.07573087378577545</v>
      </c>
      <c r="I586" s="26" t="n">
        <v>278.5631535321656</v>
      </c>
      <c r="J586" s="27" t="n">
        <v>0.07570274955646773</v>
      </c>
      <c r="K586" s="26" t="n">
        <v>269.2008628389432</v>
      </c>
      <c r="L586" s="27" t="n">
        <v>0.08172268968019956</v>
      </c>
      <c r="M586" s="26" t="n">
        <v>257.0094832274962</v>
      </c>
      <c r="N586" s="27" t="n">
        <v>0.1019049197535543</v>
      </c>
      <c r="O586" s="26" t="n">
        <v>218.3527413723309</v>
      </c>
      <c r="P586" s="27" t="n">
        <v>0.09929590827450814</v>
      </c>
      <c r="Q586" s="26" t="n">
        <v>242.2004296358422</v>
      </c>
      <c r="R586" s="27" t="n">
        <v>0.1390358855996681</v>
      </c>
      <c r="S586" s="26" t="n">
        <v>230.6099837942696</v>
      </c>
      <c r="T586" s="27" t="n">
        <v>0.1600312247520868</v>
      </c>
      <c r="U586" s="26" t="n">
        <v>246.2503451144178</v>
      </c>
      <c r="V586" s="27" t="n">
        <v>0.1253388459016748</v>
      </c>
      <c r="W586" s="26" t="n">
        <v>249.2724712163442</v>
      </c>
      <c r="X586" s="27" t="n">
        <v>0.1034696670311502</v>
      </c>
      <c r="Y586" s="26" t="n">
        <v>230.6560363006241</v>
      </c>
      <c r="Z586" s="27" t="n">
        <v>0.07164051276181611</v>
      </c>
      <c r="AA586" s="26" t="n">
        <v>240.0749731532667</v>
      </c>
      <c r="AB586" s="27" t="n">
        <v>0.1415492101095187</v>
      </c>
    </row>
    <row r="587">
      <c r="A587" s="26" t="n">
        <v>231.6433637982598</v>
      </c>
      <c r="B587" s="27" t="n">
        <v>0.130331467805752</v>
      </c>
      <c r="C587" s="26" t="n">
        <v>232.0879538797472</v>
      </c>
      <c r="D587" s="27" t="n">
        <v>0.1275774005146824</v>
      </c>
      <c r="E587" s="26" t="n">
        <v>258.5393762669019</v>
      </c>
      <c r="F587" s="27" t="n">
        <v>0.100591463868799</v>
      </c>
      <c r="G587" s="26" t="n">
        <v>274.875861063141</v>
      </c>
      <c r="H587" s="27" t="n">
        <v>0.07609922072287081</v>
      </c>
      <c r="I587" s="26" t="n">
        <v>278.6435379606655</v>
      </c>
      <c r="J587" s="27" t="n">
        <v>0.07607387299733231</v>
      </c>
      <c r="K587" s="26" t="n">
        <v>269.2771053332995</v>
      </c>
      <c r="L587" s="27" t="n">
        <v>0.08212616777192845</v>
      </c>
      <c r="M587" s="26" t="n">
        <v>257.100788929582</v>
      </c>
      <c r="N587" s="27" t="n">
        <v>0.1024015495640888</v>
      </c>
      <c r="O587" s="26" t="n">
        <v>218.4771460664194</v>
      </c>
      <c r="P587" s="27" t="n">
        <v>0.09975670707109656</v>
      </c>
      <c r="Q587" s="26" t="n">
        <v>242.2945164114751</v>
      </c>
      <c r="R587" s="27" t="n">
        <v>0.1396676777495723</v>
      </c>
      <c r="S587" s="26" t="n">
        <v>230.716407402301</v>
      </c>
      <c r="T587" s="27" t="n">
        <v>0.1607159819134921</v>
      </c>
      <c r="U587" s="26" t="n">
        <v>246.3353904088701</v>
      </c>
      <c r="V587" s="27" t="n">
        <v>0.1259316159008637</v>
      </c>
      <c r="W587" s="26" t="n">
        <v>249.350656708397</v>
      </c>
      <c r="X587" s="27" t="n">
        <v>0.1039789187995507</v>
      </c>
      <c r="Y587" s="26" t="n">
        <v>230.761477467231</v>
      </c>
      <c r="Z587" s="27" t="n">
        <v>0.0719555262490694</v>
      </c>
      <c r="AA587" s="26" t="n">
        <v>240.1551608149733</v>
      </c>
      <c r="AB587" s="27" t="n">
        <v>0.1421977427031982</v>
      </c>
    </row>
    <row r="588">
      <c r="A588" s="26" t="n">
        <v>231.809125461465</v>
      </c>
      <c r="B588" s="27" t="n">
        <v>0.1309032811080659</v>
      </c>
      <c r="C588" s="26" t="n">
        <v>232.2280033935619</v>
      </c>
      <c r="D588" s="27" t="n">
        <v>0.1281544967736419</v>
      </c>
      <c r="E588" s="26" t="n">
        <v>258.6524339212585</v>
      </c>
      <c r="F588" s="27" t="n">
        <v>0.1010735554801748</v>
      </c>
      <c r="G588" s="26" t="n">
        <v>274.9625834937466</v>
      </c>
      <c r="H588" s="27" t="n">
        <v>0.07646928869936236</v>
      </c>
      <c r="I588" s="26" t="n">
        <v>278.7239223891655</v>
      </c>
      <c r="J588" s="27" t="n">
        <v>0.07644673422550705</v>
      </c>
      <c r="K588" s="26" t="n">
        <v>269.3533478276559</v>
      </c>
      <c r="L588" s="27" t="n">
        <v>0.08253151207179323</v>
      </c>
      <c r="M588" s="26" t="n">
        <v>257.1920946316678</v>
      </c>
      <c r="N588" s="27" t="n">
        <v>0.1029002025742018</v>
      </c>
      <c r="O588" s="26" t="n">
        <v>218.601550760508</v>
      </c>
      <c r="P588" s="27" t="n">
        <v>0.1002195321659428</v>
      </c>
      <c r="Q588" s="26" t="n">
        <v>242.3886031871081</v>
      </c>
      <c r="R588" s="27" t="n">
        <v>0.1403012617652526</v>
      </c>
      <c r="S588" s="26" t="n">
        <v>230.8228310103324</v>
      </c>
      <c r="T588" s="27" t="n">
        <v>0.1614022314713691</v>
      </c>
      <c r="U588" s="26" t="n">
        <v>246.4204357033224</v>
      </c>
      <c r="V588" s="27" t="n">
        <v>0.12652637818841</v>
      </c>
      <c r="W588" s="26" t="n">
        <v>249.4288422004498</v>
      </c>
      <c r="X588" s="27" t="n">
        <v>0.1044902949990973</v>
      </c>
      <c r="Y588" s="26" t="n">
        <v>230.8669186338379</v>
      </c>
      <c r="Z588" s="27" t="n">
        <v>0.07227193951476368</v>
      </c>
      <c r="AA588" s="26" t="n">
        <v>240.2353484766799</v>
      </c>
      <c r="AB588" s="27" t="n">
        <v>0.1428481235506732</v>
      </c>
    </row>
    <row r="589">
      <c r="A589" s="26" t="n">
        <v>231.9748871246704</v>
      </c>
      <c r="B589" s="27" t="n">
        <v>0.1314768626487997</v>
      </c>
      <c r="C589" s="26" t="n">
        <v>232.3680529073767</v>
      </c>
      <c r="D589" s="27" t="n">
        <v>0.1287334986123277</v>
      </c>
      <c r="E589" s="26" t="n">
        <v>258.7654915756153</v>
      </c>
      <c r="F589" s="27" t="n">
        <v>0.1015575881841295</v>
      </c>
      <c r="G589" s="26" t="n">
        <v>275.0493059243522</v>
      </c>
      <c r="H589" s="27" t="n">
        <v>0.0768410844927665</v>
      </c>
      <c r="I589" s="26" t="n">
        <v>278.8043068176654</v>
      </c>
      <c r="J589" s="27" t="n">
        <v>0.0768213399729325</v>
      </c>
      <c r="K589" s="26" t="n">
        <v>269.4295903220122</v>
      </c>
      <c r="L589" s="27" t="n">
        <v>0.08293872920388451</v>
      </c>
      <c r="M589" s="26" t="n">
        <v>257.2834003337537</v>
      </c>
      <c r="N589" s="27" t="n">
        <v>0.1034008819061275</v>
      </c>
      <c r="O589" s="26" t="n">
        <v>218.7259554545965</v>
      </c>
      <c r="P589" s="27" t="n">
        <v>0.1006843903695677</v>
      </c>
      <c r="Q589" s="26" t="n">
        <v>242.482689962741</v>
      </c>
      <c r="R589" s="27" t="n">
        <v>0.1409366317114838</v>
      </c>
      <c r="S589" s="26" t="n">
        <v>230.9292546183638</v>
      </c>
      <c r="T589" s="27" t="n">
        <v>0.1620899631530198</v>
      </c>
      <c r="U589" s="26" t="n">
        <v>246.5054809977747</v>
      </c>
      <c r="V589" s="27" t="n">
        <v>0.127123130514343</v>
      </c>
      <c r="W589" s="26" t="n">
        <v>249.5070276925026</v>
      </c>
      <c r="X589" s="27" t="n">
        <v>0.1050037994947637</v>
      </c>
      <c r="Y589" s="26" t="n">
        <v>230.9723598004448</v>
      </c>
      <c r="Z589" s="27" t="n">
        <v>0.07258975881693995</v>
      </c>
      <c r="AA589" s="26" t="n">
        <v>240.3155361383865</v>
      </c>
      <c r="AB589" s="27" t="n">
        <v>0.1435003465218729</v>
      </c>
    </row>
    <row r="590">
      <c r="A590" s="26" t="n">
        <v>232.1406487878757</v>
      </c>
      <c r="B590" s="27" t="n">
        <v>0.1320522094388482</v>
      </c>
      <c r="C590" s="26" t="n">
        <v>232.5081024211915</v>
      </c>
      <c r="D590" s="27" t="n">
        <v>0.1293144041738013</v>
      </c>
      <c r="E590" s="26" t="n">
        <v>258.878549229972</v>
      </c>
      <c r="F590" s="27" t="n">
        <v>0.1020435649471522</v>
      </c>
      <c r="G590" s="26" t="n">
        <v>275.1360283549577</v>
      </c>
      <c r="H590" s="27" t="n">
        <v>0.07721461488526989</v>
      </c>
      <c r="I590" s="26" t="n">
        <v>278.8846912461654</v>
      </c>
      <c r="J590" s="27" t="n">
        <v>0.0771976969736113</v>
      </c>
      <c r="K590" s="26" t="n">
        <v>269.5058328163685</v>
      </c>
      <c r="L590" s="27" t="n">
        <v>0.08334782578316562</v>
      </c>
      <c r="M590" s="26" t="n">
        <v>257.3747060358396</v>
      </c>
      <c r="N590" s="27" t="n">
        <v>0.1039035906137919</v>
      </c>
      <c r="O590" s="26" t="n">
        <v>218.8503601486851</v>
      </c>
      <c r="P590" s="27" t="n">
        <v>0.1011512884801811</v>
      </c>
      <c r="Q590" s="26" t="n">
        <v>242.576776738374</v>
      </c>
      <c r="R590" s="27" t="n">
        <v>0.1415737815170598</v>
      </c>
      <c r="S590" s="26" t="n">
        <v>231.0356782263951</v>
      </c>
      <c r="T590" s="27" t="n">
        <v>0.1627791665435902</v>
      </c>
      <c r="U590" s="26" t="n">
        <v>246.590526292227</v>
      </c>
      <c r="V590" s="27" t="n">
        <v>0.1277218705084333</v>
      </c>
      <c r="W590" s="26" t="n">
        <v>249.5852131845554</v>
      </c>
      <c r="X590" s="27" t="n">
        <v>0.1055194360866948</v>
      </c>
      <c r="Y590" s="26" t="n">
        <v>231.0778009670517</v>
      </c>
      <c r="Z590" s="27" t="n">
        <v>0.07290899044139799</v>
      </c>
      <c r="AA590" s="26" t="n">
        <v>240.3957238000931</v>
      </c>
      <c r="AB590" s="27" t="n">
        <v>0.1441544053469425</v>
      </c>
    </row>
    <row r="591">
      <c r="A591" s="26" t="n">
        <v>232.306410451081</v>
      </c>
      <c r="B591" s="27" t="n">
        <v>0.1326293183736132</v>
      </c>
      <c r="C591" s="26" t="n">
        <v>232.6481519350063</v>
      </c>
      <c r="D591" s="27" t="n">
        <v>0.1298972114882511</v>
      </c>
      <c r="E591" s="26" t="n">
        <v>258.9916068843287</v>
      </c>
      <c r="F591" s="27" t="n">
        <v>0.1025314886703477</v>
      </c>
      <c r="G591" s="26" t="n">
        <v>275.2227507855633</v>
      </c>
      <c r="H591" s="27" t="n">
        <v>0.07758988666329131</v>
      </c>
      <c r="I591" s="26" t="n">
        <v>278.9650756746653</v>
      </c>
      <c r="J591" s="27" t="n">
        <v>0.07757581196312725</v>
      </c>
      <c r="K591" s="26" t="n">
        <v>269.5820753107249</v>
      </c>
      <c r="L591" s="27" t="n">
        <v>0.0837588084148158</v>
      </c>
      <c r="M591" s="26" t="n">
        <v>257.4660117379254</v>
      </c>
      <c r="N591" s="27" t="n">
        <v>0.1044083316816576</v>
      </c>
      <c r="O591" s="26" t="n">
        <v>218.9747648427736</v>
      </c>
      <c r="P591" s="27" t="n">
        <v>0.1016202332829666</v>
      </c>
      <c r="Q591" s="26" t="n">
        <v>242.6708635140069</v>
      </c>
      <c r="R591" s="27" t="n">
        <v>0.1422127049739344</v>
      </c>
      <c r="S591" s="26" t="n">
        <v>231.1421018344265</v>
      </c>
      <c r="T591" s="27" t="n">
        <v>0.1634698310856749</v>
      </c>
      <c r="U591" s="26" t="n">
        <v>246.6755715866794</v>
      </c>
      <c r="V591" s="27" t="n">
        <v>0.1283225956790484</v>
      </c>
      <c r="W591" s="26" t="n">
        <v>249.6633986766082</v>
      </c>
      <c r="X591" s="27" t="n">
        <v>0.1060372085090262</v>
      </c>
      <c r="Y591" s="26" t="n">
        <v>231.1832421336587</v>
      </c>
      <c r="Z591" s="27" t="n">
        <v>0.07322964070180862</v>
      </c>
      <c r="AA591" s="26" t="n">
        <v>240.4759114617997</v>
      </c>
      <c r="AB591" s="27" t="n">
        <v>0.1448102936153825</v>
      </c>
    </row>
    <row r="592">
      <c r="A592" s="26" t="n">
        <v>232.4721721142863</v>
      </c>
      <c r="B592" s="27" t="n">
        <v>0.1332081862319303</v>
      </c>
      <c r="C592" s="26" t="n">
        <v>232.7882014488211</v>
      </c>
      <c r="D592" s="27" t="n">
        <v>0.1304819184718279</v>
      </c>
      <c r="E592" s="26" t="n">
        <v>259.1046645386855</v>
      </c>
      <c r="F592" s="27" t="n">
        <v>0.1030213621883204</v>
      </c>
      <c r="G592" s="26" t="n">
        <v>275.3094732161688</v>
      </c>
      <c r="H592" s="27" t="n">
        <v>0.07796690661703398</v>
      </c>
      <c r="I592" s="26" t="n">
        <v>279.0454601031653</v>
      </c>
      <c r="J592" s="27" t="n">
        <v>0.07795569167815478</v>
      </c>
      <c r="K592" s="26" t="n">
        <v>269.6583178050813</v>
      </c>
      <c r="L592" s="27" t="n">
        <v>0.08417168369356391</v>
      </c>
      <c r="M592" s="26" t="n">
        <v>257.5573174400112</v>
      </c>
      <c r="N592" s="27" t="n">
        <v>0.1049151080235582</v>
      </c>
      <c r="O592" s="26" t="n">
        <v>219.0991695368622</v>
      </c>
      <c r="P592" s="27" t="n">
        <v>0.1020912315493543</v>
      </c>
      <c r="Q592" s="26" t="n">
        <v>242.7649502896399</v>
      </c>
      <c r="R592" s="27" t="n">
        <v>0.1428533957363695</v>
      </c>
      <c r="S592" s="26" t="n">
        <v>231.2485254424579</v>
      </c>
      <c r="T592" s="27" t="n">
        <v>0.1641619460789322</v>
      </c>
      <c r="U592" s="26" t="n">
        <v>246.7606168811317</v>
      </c>
      <c r="V592" s="27" t="n">
        <v>0.1289253034120064</v>
      </c>
      <c r="W592" s="26" t="n">
        <v>249.741584168661</v>
      </c>
      <c r="X592" s="27" t="n">
        <v>0.1065571204286903</v>
      </c>
      <c r="Y592" s="26" t="n">
        <v>231.2886833002655</v>
      </c>
      <c r="Z592" s="27" t="n">
        <v>0.07355171593982499</v>
      </c>
      <c r="AA592" s="26" t="n">
        <v>240.5560991235063</v>
      </c>
      <c r="AB592" s="27" t="n">
        <v>0.145468004775189</v>
      </c>
    </row>
    <row r="593">
      <c r="A593" s="26" t="n">
        <v>232.6379337774916</v>
      </c>
      <c r="B593" s="27" t="n">
        <v>0.1337888096749957</v>
      </c>
      <c r="C593" s="26" t="n">
        <v>232.9282509626358</v>
      </c>
      <c r="D593" s="27" t="n">
        <v>0.13106852292548</v>
      </c>
      <c r="E593" s="26" t="n">
        <v>259.2177221930422</v>
      </c>
      <c r="F593" s="27" t="n">
        <v>0.1035131882680514</v>
      </c>
      <c r="G593" s="26" t="n">
        <v>275.3961956467745</v>
      </c>
      <c r="H593" s="27" t="n">
        <v>0.07834568154002897</v>
      </c>
      <c r="I593" s="26" t="n">
        <v>279.1258445316652</v>
      </c>
      <c r="J593" s="27" t="n">
        <v>0.0783373428559586</v>
      </c>
      <c r="K593" s="26" t="n">
        <v>269.7345602994376</v>
      </c>
      <c r="L593" s="27" t="n">
        <v>0.08458645820300943</v>
      </c>
      <c r="M593" s="26" t="n">
        <v>257.6486231420971</v>
      </c>
      <c r="N593" s="27" t="n">
        <v>0.1054239224815224</v>
      </c>
      <c r="O593" s="26" t="n">
        <v>219.2235742309507</v>
      </c>
      <c r="P593" s="27" t="n">
        <v>0.1025642900362805</v>
      </c>
      <c r="Q593" s="26" t="n">
        <v>242.8590370652728</v>
      </c>
      <c r="R593" s="27" t="n">
        <v>0.1434958473200864</v>
      </c>
      <c r="S593" s="26" t="n">
        <v>231.3549490504892</v>
      </c>
      <c r="T593" s="27" t="n">
        <v>0.164855500679711</v>
      </c>
      <c r="U593" s="26" t="n">
        <v>246.845662175584</v>
      </c>
      <c r="V593" s="27" t="n">
        <v>0.1295299909694297</v>
      </c>
      <c r="W593" s="26" t="n">
        <v>249.8197696607138</v>
      </c>
      <c r="X593" s="27" t="n">
        <v>0.1070791754442108</v>
      </c>
      <c r="Y593" s="26" t="n">
        <v>231.3941244668724</v>
      </c>
      <c r="Z593" s="27" t="n">
        <v>0.07387522252519461</v>
      </c>
      <c r="AA593" s="26" t="n">
        <v>240.6362867852129</v>
      </c>
      <c r="AB593" s="27" t="n">
        <v>0.1461275321320044</v>
      </c>
    </row>
    <row r="594">
      <c r="A594" s="26" t="n">
        <v>232.8036954406969</v>
      </c>
      <c r="B594" s="27" t="n">
        <v>0.1343711852452919</v>
      </c>
      <c r="C594" s="26" t="n">
        <v>233.0683004764506</v>
      </c>
      <c r="D594" s="27" t="n">
        <v>0.1316570225337808</v>
      </c>
      <c r="E594" s="26" t="n">
        <v>259.330779847399</v>
      </c>
      <c r="F594" s="27" t="n">
        <v>0.1040069696077638</v>
      </c>
      <c r="G594" s="26" t="n">
        <v>275.48291807738</v>
      </c>
      <c r="H594" s="27" t="n">
        <v>0.07872621822866878</v>
      </c>
      <c r="I594" s="26" t="n">
        <v>279.2062289601652</v>
      </c>
      <c r="J594" s="27" t="n">
        <v>0.0787207722338841</v>
      </c>
      <c r="K594" s="26" t="n">
        <v>269.810802793794</v>
      </c>
      <c r="L594" s="27" t="n">
        <v>0.08500313851493409</v>
      </c>
      <c r="M594" s="26" t="n">
        <v>257.7399288441829</v>
      </c>
      <c r="N594" s="27" t="n">
        <v>0.1059347778245877</v>
      </c>
      <c r="O594" s="26" t="n">
        <v>219.3479789250392</v>
      </c>
      <c r="P594" s="27" t="n">
        <v>0.1030394154854356</v>
      </c>
      <c r="Q594" s="26" t="n">
        <v>242.9531238409058</v>
      </c>
      <c r="R594" s="27" t="n">
        <v>0.1441400531014232</v>
      </c>
      <c r="S594" s="26" t="n">
        <v>231.4613726585206</v>
      </c>
      <c r="T594" s="27" t="n">
        <v>0.1655504839006883</v>
      </c>
      <c r="U594" s="26" t="n">
        <v>246.9307074700363</v>
      </c>
      <c r="V594" s="27" t="n">
        <v>0.1301366554885964</v>
      </c>
      <c r="W594" s="26" t="n">
        <v>249.8979551527667</v>
      </c>
      <c r="X594" s="27" t="n">
        <v>0.1076033770844871</v>
      </c>
      <c r="Y594" s="26" t="n">
        <v>231.4995656334793</v>
      </c>
      <c r="Z594" s="27" t="n">
        <v>0.07420016685587151</v>
      </c>
      <c r="AA594" s="26" t="n">
        <v>240.7164744469195</v>
      </c>
      <c r="AB594" s="27" t="n">
        <v>0.1467888688482706</v>
      </c>
    </row>
    <row r="595">
      <c r="A595" s="26" t="n">
        <v>232.9694571039022</v>
      </c>
      <c r="B595" s="27" t="n">
        <v>0.1349553093655104</v>
      </c>
      <c r="C595" s="26" t="n">
        <v>233.2083499902654</v>
      </c>
      <c r="D595" s="27" t="n">
        <v>0.1322474148637571</v>
      </c>
      <c r="E595" s="26" t="n">
        <v>259.4438375017556</v>
      </c>
      <c r="F595" s="27" t="n">
        <v>0.104502708835777</v>
      </c>
      <c r="G595" s="26" t="n">
        <v>275.5696405079856</v>
      </c>
      <c r="H595" s="27" t="n">
        <v>0.07910852348173077</v>
      </c>
      <c r="I595" s="26" t="n">
        <v>279.286613388665</v>
      </c>
      <c r="J595" s="27" t="n">
        <v>0.07910598654883609</v>
      </c>
      <c r="K595" s="26" t="n">
        <v>269.8870452881503</v>
      </c>
      <c r="L595" s="27" t="n">
        <v>0.08542173118859965</v>
      </c>
      <c r="M595" s="26" t="n">
        <v>257.8312345462687</v>
      </c>
      <c r="N595" s="27" t="n">
        <v>0.1064476767476031</v>
      </c>
      <c r="O595" s="26" t="n">
        <v>219.4723836191278</v>
      </c>
      <c r="P595" s="27" t="n">
        <v>0.1035166146224984</v>
      </c>
      <c r="Q595" s="26" t="n">
        <v>243.0472106165387</v>
      </c>
      <c r="R595" s="27" t="n">
        <v>0.1447860063164981</v>
      </c>
      <c r="S595" s="26" t="n">
        <v>231.567796266552</v>
      </c>
      <c r="T595" s="27" t="n">
        <v>0.1662468846105205</v>
      </c>
      <c r="U595" s="26" t="n">
        <v>247.0157527644886</v>
      </c>
      <c r="V595" s="27" t="n">
        <v>0.1307452939807907</v>
      </c>
      <c r="W595" s="26" t="n">
        <v>249.9761406448195</v>
      </c>
      <c r="X595" s="27" t="n">
        <v>0.1081297288075655</v>
      </c>
      <c r="Y595" s="26" t="n">
        <v>231.6050068000862</v>
      </c>
      <c r="Z595" s="27" t="n">
        <v>0.0745265553581278</v>
      </c>
      <c r="AA595" s="26" t="n">
        <v>240.7966621086262</v>
      </c>
      <c r="AB595" s="27" t="n">
        <v>0.1474520079423894</v>
      </c>
    </row>
    <row r="596">
      <c r="A596" s="26" t="n">
        <v>233.1352187671075</v>
      </c>
      <c r="B596" s="27" t="n">
        <v>0.1355411783374759</v>
      </c>
      <c r="C596" s="26" t="n">
        <v>233.3483995040802</v>
      </c>
      <c r="D596" s="27" t="n">
        <v>0.1328396973637127</v>
      </c>
      <c r="E596" s="26" t="n">
        <v>259.5568951561123</v>
      </c>
      <c r="F596" s="27" t="n">
        <v>0.1050004085093524</v>
      </c>
      <c r="G596" s="26" t="n">
        <v>275.6563629385912</v>
      </c>
      <c r="H596" s="27" t="n">
        <v>0.07949260409989249</v>
      </c>
      <c r="I596" s="26" t="n">
        <v>279.366997817165</v>
      </c>
      <c r="J596" s="27" t="n">
        <v>0.07949299253674921</v>
      </c>
      <c r="K596" s="26" t="n">
        <v>269.9632877825067</v>
      </c>
      <c r="L596" s="27" t="n">
        <v>0.08584224277003456</v>
      </c>
      <c r="M596" s="26" t="n">
        <v>257.9225402483546</v>
      </c>
      <c r="N596" s="27" t="n">
        <v>0.1069626218700213</v>
      </c>
      <c r="O596" s="26" t="n">
        <v>219.5967883132163</v>
      </c>
      <c r="P596" s="27" t="n">
        <v>0.1039958941563585</v>
      </c>
      <c r="Q596" s="26" t="n">
        <v>243.1412973921716</v>
      </c>
      <c r="R596" s="27" t="n">
        <v>0.1454337000603783</v>
      </c>
      <c r="S596" s="26" t="n">
        <v>231.6742198745833</v>
      </c>
      <c r="T596" s="27" t="n">
        <v>0.1669446915335058</v>
      </c>
      <c r="U596" s="26" t="n">
        <v>247.1007980589409</v>
      </c>
      <c r="V596" s="27" t="n">
        <v>0.1313559033301529</v>
      </c>
      <c r="W596" s="26" t="n">
        <v>250.0543261368722</v>
      </c>
      <c r="X596" s="27" t="n">
        <v>0.1086582339993977</v>
      </c>
      <c r="Y596" s="26" t="n">
        <v>231.7104479666932</v>
      </c>
      <c r="Z596" s="27" t="n">
        <v>0.07485439448666613</v>
      </c>
      <c r="AA596" s="26" t="n">
        <v>240.8768497703327</v>
      </c>
      <c r="AB596" s="27" t="n">
        <v>0.14811694228789</v>
      </c>
    </row>
    <row r="597">
      <c r="A597" s="26" t="n">
        <v>233.3009804303128</v>
      </c>
      <c r="B597" s="27" t="n">
        <v>0.1361287883410669</v>
      </c>
      <c r="C597" s="26" t="n">
        <v>233.488449017895</v>
      </c>
      <c r="D597" s="27" t="n">
        <v>0.1334338673620486</v>
      </c>
      <c r="E597" s="26" t="n">
        <v>259.6699528104691</v>
      </c>
      <c r="F597" s="27" t="n">
        <v>0.1055000711135253</v>
      </c>
      <c r="G597" s="26" t="n">
        <v>275.7430853691967</v>
      </c>
      <c r="H597" s="27" t="n">
        <v>0.07987846688523545</v>
      </c>
      <c r="I597" s="26" t="n">
        <v>279.4473822456649</v>
      </c>
      <c r="J597" s="27" t="n">
        <v>0.07988179693204672</v>
      </c>
      <c r="K597" s="26" t="n">
        <v>270.039530276863</v>
      </c>
      <c r="L597" s="27" t="n">
        <v>0.08626467979130789</v>
      </c>
      <c r="M597" s="26" t="n">
        <v>258.0138459504404</v>
      </c>
      <c r="N597" s="27" t="n">
        <v>0.1074796157346806</v>
      </c>
      <c r="O597" s="26" t="n">
        <v>219.7211930073049</v>
      </c>
      <c r="P597" s="27" t="n">
        <v>0.1044772607783252</v>
      </c>
      <c r="Q597" s="26" t="n">
        <v>243.2353841678046</v>
      </c>
      <c r="R597" s="27" t="n">
        <v>0.1460831272862549</v>
      </c>
      <c r="S597" s="26" t="n">
        <v>231.7806434826147</v>
      </c>
      <c r="T597" s="27" t="n">
        <v>0.1676438932492587</v>
      </c>
      <c r="U597" s="26" t="n">
        <v>247.1858433533932</v>
      </c>
      <c r="V597" s="27" t="n">
        <v>0.1319684802925281</v>
      </c>
      <c r="W597" s="26" t="n">
        <v>250.132511628925</v>
      </c>
      <c r="X597" s="27" t="n">
        <v>0.1091888959725908</v>
      </c>
      <c r="Y597" s="26" t="n">
        <v>231.8158891333001</v>
      </c>
      <c r="Z597" s="27" t="n">
        <v>0.07518369072473119</v>
      </c>
      <c r="AA597" s="26" t="n">
        <v>240.9570374320393</v>
      </c>
      <c r="AB597" s="27" t="n">
        <v>0.1487836646126016</v>
      </c>
    </row>
    <row r="598">
      <c r="A598" s="26" t="n">
        <v>233.4667420935181</v>
      </c>
      <c r="B598" s="27" t="n">
        <v>0.1367181354331366</v>
      </c>
      <c r="C598" s="26" t="n">
        <v>233.6284985317098</v>
      </c>
      <c r="D598" s="27" t="n">
        <v>0.1340299220660814</v>
      </c>
      <c r="E598" s="26" t="n">
        <v>259.7830104648258</v>
      </c>
      <c r="F598" s="27" t="n">
        <v>0.1060016990599293</v>
      </c>
      <c r="G598" s="26" t="n">
        <v>275.8298077998023</v>
      </c>
      <c r="H598" s="27" t="n">
        <v>0.08026611864073949</v>
      </c>
      <c r="I598" s="26" t="n">
        <v>279.5277666741649</v>
      </c>
      <c r="J598" s="27" t="n">
        <v>0.0802724064670894</v>
      </c>
      <c r="K598" s="26" t="n">
        <v>270.1157727712193</v>
      </c>
      <c r="L598" s="27" t="n">
        <v>0.08668904876979311</v>
      </c>
      <c r="M598" s="26" t="n">
        <v>258.1051516525262</v>
      </c>
      <c r="N598" s="27" t="n">
        <v>0.107998660806576</v>
      </c>
      <c r="O598" s="26" t="n">
        <v>219.8455977013934</v>
      </c>
      <c r="P598" s="27" t="n">
        <v>0.104960721161322</v>
      </c>
      <c r="Q598" s="26" t="n">
        <v>243.3294709434376</v>
      </c>
      <c r="R598" s="27" t="n">
        <v>0.1467342808046239</v>
      </c>
      <c r="S598" s="26" t="n">
        <v>231.8870670906461</v>
      </c>
      <c r="T598" s="27" t="n">
        <v>0.1683444781923973</v>
      </c>
      <c r="U598" s="26" t="n">
        <v>247.2708886478455</v>
      </c>
      <c r="V598" s="27" t="n">
        <v>0.1325830214943148</v>
      </c>
      <c r="W598" s="26" t="n">
        <v>250.2106971209778</v>
      </c>
      <c r="X598" s="27" t="n">
        <v>0.1097217179651407</v>
      </c>
      <c r="Y598" s="26" t="n">
        <v>231.921330299907</v>
      </c>
      <c r="Z598" s="27" t="n">
        <v>0.07551445058422229</v>
      </c>
      <c r="AA598" s="26" t="n">
        <v>241.0372250937459</v>
      </c>
      <c r="AB598" s="27" t="n">
        <v>0.1494521674978347</v>
      </c>
    </row>
    <row r="599">
      <c r="A599" s="26" t="n">
        <v>233.6325037567235</v>
      </c>
      <c r="B599" s="27" t="n">
        <v>0.1373092155464342</v>
      </c>
      <c r="C599" s="26" t="n">
        <v>233.7685480455245</v>
      </c>
      <c r="D599" s="27" t="n">
        <v>0.1346278585608582</v>
      </c>
      <c r="E599" s="26" t="n">
        <v>259.8960681191825</v>
      </c>
      <c r="F599" s="27" t="n">
        <v>0.1065052946856101</v>
      </c>
      <c r="G599" s="26" t="n">
        <v>275.9165302304079</v>
      </c>
      <c r="H599" s="27" t="n">
        <v>0.08065556616976707</v>
      </c>
      <c r="I599" s="26" t="n">
        <v>279.6081511026648</v>
      </c>
      <c r="J599" s="27" t="n">
        <v>0.08066482787161328</v>
      </c>
      <c r="K599" s="26" t="n">
        <v>270.1920152655757</v>
      </c>
      <c r="L599" s="27" t="n">
        <v>0.08711535620741773</v>
      </c>
      <c r="M599" s="26" t="n">
        <v>258.1964573546121</v>
      </c>
      <c r="N599" s="27" t="n">
        <v>0.1085197594716195</v>
      </c>
      <c r="O599" s="26" t="n">
        <v>219.970002395482</v>
      </c>
      <c r="P599" s="27" t="n">
        <v>0.1054462819590707</v>
      </c>
      <c r="Q599" s="26" t="n">
        <v>243.4235577190705</v>
      </c>
      <c r="R599" s="27" t="n">
        <v>0.147387153282474</v>
      </c>
      <c r="S599" s="26" t="n">
        <v>231.9934906986775</v>
      </c>
      <c r="T599" s="27" t="n">
        <v>0.1690464346522447</v>
      </c>
      <c r="U599" s="26" t="n">
        <v>247.3559339422978</v>
      </c>
      <c r="V599" s="27" t="n">
        <v>0.1331995234313122</v>
      </c>
      <c r="W599" s="26" t="n">
        <v>250.2888826130306</v>
      </c>
      <c r="X599" s="27" t="n">
        <v>0.1102567031391586</v>
      </c>
      <c r="Y599" s="26" t="n">
        <v>232.0267714665139</v>
      </c>
      <c r="Z599" s="27" t="n">
        <v>0.07584668060580498</v>
      </c>
      <c r="AA599" s="26" t="n">
        <v>241.1174127554525</v>
      </c>
      <c r="AB599" s="27" t="n">
        <v>0.1501224433775661</v>
      </c>
    </row>
    <row r="600">
      <c r="A600" s="26" t="n">
        <v>233.7982654199288</v>
      </c>
      <c r="B600" s="27" t="n">
        <v>0.1379020244885232</v>
      </c>
      <c r="C600" s="26" t="n">
        <v>233.9085975593393</v>
      </c>
      <c r="D600" s="27" t="n">
        <v>0.1352276738079702</v>
      </c>
      <c r="E600" s="26" t="n">
        <v>260.0091257735393</v>
      </c>
      <c r="F600" s="27" t="n">
        <v>0.1070108602518256</v>
      </c>
      <c r="G600" s="26" t="n">
        <v>276.0032526610134</v>
      </c>
      <c r="H600" s="27" t="n">
        <v>0.08104681627553589</v>
      </c>
      <c r="I600" s="26" t="n">
        <v>279.6885355311648</v>
      </c>
      <c r="J600" s="27" t="n">
        <v>0.08105906787215703</v>
      </c>
      <c r="K600" s="26" t="n">
        <v>270.2682577599321</v>
      </c>
      <c r="L600" s="27" t="n">
        <v>0.08754360858989943</v>
      </c>
      <c r="M600" s="26" t="n">
        <v>258.2877630566979</v>
      </c>
      <c r="N600" s="27" t="n">
        <v>0.1090429140353896</v>
      </c>
      <c r="O600" s="26" t="n">
        <v>220.0944070895705</v>
      </c>
      <c r="P600" s="27" t="n">
        <v>0.1059339498052589</v>
      </c>
      <c r="Q600" s="26" t="n">
        <v>243.5176444947035</v>
      </c>
      <c r="R600" s="27" t="n">
        <v>0.1480417372424808</v>
      </c>
      <c r="S600" s="26" t="n">
        <v>232.0999143067089</v>
      </c>
      <c r="T600" s="27" t="n">
        <v>0.1697497507725401</v>
      </c>
      <c r="U600" s="26" t="n">
        <v>247.4409792367501</v>
      </c>
      <c r="V600" s="27" t="n">
        <v>0.1338179824675689</v>
      </c>
      <c r="W600" s="26" t="n">
        <v>250.3670681050834</v>
      </c>
      <c r="X600" s="27" t="n">
        <v>0.1107938545795821</v>
      </c>
      <c r="Y600" s="26" t="n">
        <v>232.1322126331208</v>
      </c>
      <c r="Z600" s="27" t="n">
        <v>0.07618038735902316</v>
      </c>
      <c r="AA600" s="26" t="n">
        <v>241.1976004171591</v>
      </c>
      <c r="AB600" s="27" t="n">
        <v>0.1507944845376352</v>
      </c>
    </row>
    <row r="601">
      <c r="A601" s="26" t="n">
        <v>233.9640270831341</v>
      </c>
      <c r="B601" s="27" t="n">
        <v>0.1384965579407013</v>
      </c>
      <c r="C601" s="26" t="n">
        <v>234.0486470731541</v>
      </c>
      <c r="D601" s="27" t="n">
        <v>0.1358293646443624</v>
      </c>
      <c r="E601" s="26" t="n">
        <v>260.1221834278959</v>
      </c>
      <c r="F601" s="27" t="n">
        <v>0.107518397942839</v>
      </c>
      <c r="G601" s="26" t="n">
        <v>276.0899750916191</v>
      </c>
      <c r="H601" s="27" t="n">
        <v>0.08143987576058384</v>
      </c>
      <c r="I601" s="26" t="n">
        <v>279.7689199596647</v>
      </c>
      <c r="J601" s="27" t="n">
        <v>0.08145513319147822</v>
      </c>
      <c r="K601" s="26" t="n">
        <v>270.3445002542884</v>
      </c>
      <c r="L601" s="27" t="n">
        <v>0.08797381238597329</v>
      </c>
      <c r="M601" s="26" t="n">
        <v>258.3790687587837</v>
      </c>
      <c r="N601" s="27" t="n">
        <v>0.1095681267218714</v>
      </c>
      <c r="O601" s="26" t="n">
        <v>220.218811783659</v>
      </c>
      <c r="P601" s="27" t="n">
        <v>0.1064237313126948</v>
      </c>
      <c r="Q601" s="26" t="n">
        <v>243.6117312703364</v>
      </c>
      <c r="R601" s="27" t="n">
        <v>0.1486980250622083</v>
      </c>
      <c r="S601" s="26" t="n">
        <v>232.2063379147402</v>
      </c>
      <c r="T601" s="27" t="n">
        <v>0.1704544145511664</v>
      </c>
      <c r="U601" s="26" t="n">
        <v>247.5260245312024</v>
      </c>
      <c r="V601" s="27" t="n">
        <v>0.1344383948342301</v>
      </c>
      <c r="W601" s="26" t="n">
        <v>250.4452535971362</v>
      </c>
      <c r="X601" s="27" t="n">
        <v>0.1113331752928753</v>
      </c>
      <c r="Y601" s="26" t="n">
        <v>232.2376537997277</v>
      </c>
      <c r="Z601" s="27" t="n">
        <v>0.07651557744241128</v>
      </c>
      <c r="AA601" s="26" t="n">
        <v>241.2777880788657</v>
      </c>
      <c r="AB601" s="27" t="n">
        <v>0.1514682831149456</v>
      </c>
    </row>
    <row r="602">
      <c r="A602" s="26" t="n">
        <v>234.1297887463394</v>
      </c>
      <c r="B602" s="27" t="n">
        <v>0.1390928114569201</v>
      </c>
      <c r="C602" s="26" t="n">
        <v>234.1886965869688</v>
      </c>
      <c r="D602" s="27" t="n">
        <v>0.1364329277811425</v>
      </c>
      <c r="E602" s="26" t="n">
        <v>260.2352410822527</v>
      </c>
      <c r="F602" s="27" t="n">
        <v>0.1080279098646997</v>
      </c>
      <c r="G602" s="26" t="n">
        <v>276.1766975222246</v>
      </c>
      <c r="H602" s="27" t="n">
        <v>0.08183475142622013</v>
      </c>
      <c r="I602" s="26" t="n">
        <v>279.8493043881647</v>
      </c>
      <c r="J602" s="27" t="n">
        <v>0.0818530305479581</v>
      </c>
      <c r="K602" s="26" t="n">
        <v>270.4207427486448</v>
      </c>
      <c r="L602" s="27" t="n">
        <v>0.08840597404660244</v>
      </c>
      <c r="M602" s="26" t="n">
        <v>258.4703744608696</v>
      </c>
      <c r="N602" s="27" t="n">
        <v>0.1100953996721843</v>
      </c>
      <c r="O602" s="26" t="n">
        <v>220.3432164777476</v>
      </c>
      <c r="P602" s="27" t="n">
        <v>0.1069156330724495</v>
      </c>
      <c r="Q602" s="26" t="n">
        <v>243.7058180459694</v>
      </c>
      <c r="R602" s="27" t="n">
        <v>0.1493560089733169</v>
      </c>
      <c r="S602" s="26" t="n">
        <v>232.3127615227716</v>
      </c>
      <c r="T602" s="27" t="n">
        <v>0.1711604138398891</v>
      </c>
      <c r="U602" s="26" t="n">
        <v>247.6110698256547</v>
      </c>
      <c r="V602" s="27" t="n">
        <v>0.1350607566283854</v>
      </c>
      <c r="W602" s="26" t="n">
        <v>250.523439089189</v>
      </c>
      <c r="X602" s="27" t="n">
        <v>0.1118746682057176</v>
      </c>
      <c r="Y602" s="26" t="n">
        <v>232.3430949663346</v>
      </c>
      <c r="Z602" s="27" t="n">
        <v>0.07685225748360586</v>
      </c>
      <c r="AA602" s="26" t="n">
        <v>241.3579757405723</v>
      </c>
      <c r="AB602" s="27" t="n">
        <v>0.152143831096673</v>
      </c>
    </row>
    <row r="603">
      <c r="A603" s="26" t="n">
        <v>234.2955504095447</v>
      </c>
      <c r="B603" s="27" t="n">
        <v>0.1396907804627033</v>
      </c>
      <c r="C603" s="26" t="n">
        <v>234.3287461007836</v>
      </c>
      <c r="D603" s="27" t="n">
        <v>0.1370383598023867</v>
      </c>
      <c r="E603" s="26" t="n">
        <v>260.3482987366094</v>
      </c>
      <c r="F603" s="27" t="n">
        <v>0.1085393980440134</v>
      </c>
      <c r="G603" s="26" t="n">
        <v>276.2634199528302</v>
      </c>
      <c r="H603" s="27" t="n">
        <v>0.08223145007196742</v>
      </c>
      <c r="I603" s="26" t="n">
        <v>279.9296888166646</v>
      </c>
      <c r="J603" s="27" t="n">
        <v>0.08225276665499587</v>
      </c>
      <c r="K603" s="26" t="n">
        <v>270.4969852430011</v>
      </c>
      <c r="L603" s="27" t="n">
        <v>0.08884010000417825</v>
      </c>
      <c r="M603" s="26" t="n">
        <v>258.5616801629554</v>
      </c>
      <c r="N603" s="27" t="n">
        <v>0.1106247349433006</v>
      </c>
      <c r="O603" s="26" t="n">
        <v>220.4676211718362</v>
      </c>
      <c r="P603" s="27" t="n">
        <v>0.1074096616529824</v>
      </c>
      <c r="Q603" s="26" t="n">
        <v>243.7999048216023</v>
      </c>
      <c r="R603" s="27" t="n">
        <v>0.1500156810607788</v>
      </c>
      <c r="S603" s="26" t="n">
        <v>232.419185130803</v>
      </c>
      <c r="T603" s="27" t="n">
        <v>0.1718677363441096</v>
      </c>
      <c r="U603" s="26" t="n">
        <v>247.696115120107</v>
      </c>
      <c r="V603" s="27" t="n">
        <v>0.1356850638119173</v>
      </c>
      <c r="W603" s="26" t="n">
        <v>250.6016245812419</v>
      </c>
      <c r="X603" s="27" t="n">
        <v>0.1124183361636804</v>
      </c>
      <c r="Y603" s="26" t="n">
        <v>232.4485361329415</v>
      </c>
      <c r="Z603" s="27" t="n">
        <v>0.07719043413945741</v>
      </c>
      <c r="AA603" s="26" t="n">
        <v>241.4381634022789</v>
      </c>
      <c r="AB603" s="27" t="n">
        <v>0.1528211203194837</v>
      </c>
    </row>
    <row r="604">
      <c r="A604" s="26" t="n">
        <v>234.46131207275</v>
      </c>
      <c r="B604" s="27" t="n">
        <v>0.1402904602540664</v>
      </c>
      <c r="C604" s="26" t="n">
        <v>234.4687956145984</v>
      </c>
      <c r="D604" s="27" t="n">
        <v>0.1376456571639444</v>
      </c>
      <c r="E604" s="26" t="n">
        <v>260.4613563909661</v>
      </c>
      <c r="F604" s="27" t="n">
        <v>0.1090528644267038</v>
      </c>
      <c r="G604" s="26" t="n">
        <v>276.3501423834357</v>
      </c>
      <c r="H604" s="27" t="n">
        <v>0.08262997849499215</v>
      </c>
      <c r="I604" s="26" t="n">
        <v>280.0100732451646</v>
      </c>
      <c r="J604" s="27" t="n">
        <v>0.08265434822039047</v>
      </c>
      <c r="K604" s="26" t="n">
        <v>270.5732277373575</v>
      </c>
      <c r="L604" s="27" t="n">
        <v>0.08927619667170465</v>
      </c>
      <c r="M604" s="26" t="n">
        <v>258.6529858650412</v>
      </c>
      <c r="N604" s="27" t="n">
        <v>0.1111561345067529</v>
      </c>
      <c r="O604" s="26" t="n">
        <v>220.5920258659247</v>
      </c>
      <c r="P604" s="27" t="n">
        <v>0.1079058235992554</v>
      </c>
      <c r="Q604" s="26" t="n">
        <v>243.8939915972352</v>
      </c>
      <c r="R604" s="27" t="n">
        <v>0.150677033262102</v>
      </c>
      <c r="S604" s="26" t="n">
        <v>232.5256087388344</v>
      </c>
      <c r="T604" s="27" t="n">
        <v>0.1725763696226319</v>
      </c>
      <c r="U604" s="26" t="n">
        <v>247.7811604145593</v>
      </c>
      <c r="V604" s="27" t="n">
        <v>0.1363113122103488</v>
      </c>
      <c r="W604" s="26" t="n">
        <v>250.6798100732946</v>
      </c>
      <c r="X604" s="27" t="n">
        <v>0.112964181929891</v>
      </c>
      <c r="Y604" s="26" t="n">
        <v>232.5539772995484</v>
      </c>
      <c r="Z604" s="27" t="n">
        <v>0.07753011409614238</v>
      </c>
      <c r="AA604" s="26" t="n">
        <v>241.5183510639855</v>
      </c>
      <c r="AB604" s="27" t="n">
        <v>0.1535001424687604</v>
      </c>
    </row>
    <row r="605">
      <c r="A605" s="26" t="n">
        <v>234.6270737359553</v>
      </c>
      <c r="B605" s="27" t="n">
        <v>0.1408918459964362</v>
      </c>
      <c r="C605" s="26" t="n">
        <v>234.6088451284132</v>
      </c>
      <c r="D605" s="27" t="n">
        <v>0.1382548161922409</v>
      </c>
      <c r="E605" s="26" t="n">
        <v>260.5744140453229</v>
      </c>
      <c r="F605" s="27" t="n">
        <v>0.1095683108767595</v>
      </c>
      <c r="G605" s="26" t="n">
        <v>276.4368648140413</v>
      </c>
      <c r="H605" s="27" t="n">
        <v>0.08303034348952421</v>
      </c>
      <c r="I605" s="26" t="n">
        <v>280.0904576736644</v>
      </c>
      <c r="J605" s="27" t="n">
        <v>0.08305778194571162</v>
      </c>
      <c r="K605" s="26" t="n">
        <v>270.6494702317138</v>
      </c>
      <c r="L605" s="27" t="n">
        <v>0.08971427044197358</v>
      </c>
      <c r="M605" s="26" t="n">
        <v>258.7442915671271</v>
      </c>
      <c r="N605" s="27" t="n">
        <v>0.1116896002473311</v>
      </c>
      <c r="O605" s="26" t="n">
        <v>220.7164305600133</v>
      </c>
      <c r="P605" s="27" t="n">
        <v>0.1084041254318306</v>
      </c>
      <c r="Q605" s="26" t="n">
        <v>243.9880783728682</v>
      </c>
      <c r="R605" s="27" t="n">
        <v>0.1513400573665601</v>
      </c>
      <c r="S605" s="26" t="n">
        <v>232.6320323468657</v>
      </c>
      <c r="T605" s="27" t="n">
        <v>0.1732863010874433</v>
      </c>
      <c r="U605" s="26" t="n">
        <v>247.8662057090116</v>
      </c>
      <c r="V605" s="27" t="n">
        <v>0.1369394975116938</v>
      </c>
      <c r="W605" s="26" t="n">
        <v>250.7579955653475</v>
      </c>
      <c r="X605" s="27" t="n">
        <v>0.1135122081836857</v>
      </c>
      <c r="Y605" s="26" t="n">
        <v>232.6594184661554</v>
      </c>
      <c r="Z605" s="27" t="n">
        <v>0.0778713040692746</v>
      </c>
      <c r="AA605" s="26" t="n">
        <v>241.5985387256921</v>
      </c>
      <c r="AB605" s="27" t="n">
        <v>0.1541808890778348</v>
      </c>
    </row>
    <row r="606">
      <c r="A606" s="26" t="n">
        <v>234.7928353991607</v>
      </c>
      <c r="B606" s="27" t="n">
        <v>0.1414949327235711</v>
      </c>
      <c r="C606" s="26" t="n">
        <v>234.7488946422279</v>
      </c>
      <c r="D606" s="27" t="n">
        <v>0.1388658330830778</v>
      </c>
      <c r="E606" s="26" t="n">
        <v>260.6874716996796</v>
      </c>
      <c r="F606" s="27" t="n">
        <v>0.110085739174975</v>
      </c>
      <c r="G606" s="26" t="n">
        <v>276.5235872446469</v>
      </c>
      <c r="H606" s="27" t="n">
        <v>0.08343255184626498</v>
      </c>
      <c r="I606" s="26" t="n">
        <v>280.1708421021644</v>
      </c>
      <c r="J606" s="27" t="n">
        <v>0.0834630745256587</v>
      </c>
      <c r="K606" s="26" t="n">
        <v>270.7257127260701</v>
      </c>
      <c r="L606" s="27" t="n">
        <v>0.09015432768672241</v>
      </c>
      <c r="M606" s="26" t="n">
        <v>258.8355972692129</v>
      </c>
      <c r="N606" s="27" t="n">
        <v>0.1122251339617672</v>
      </c>
      <c r="O606" s="26" t="n">
        <v>220.8408352541018</v>
      </c>
      <c r="P606" s="27" t="n">
        <v>0.1089045736459542</v>
      </c>
      <c r="Q606" s="26" t="n">
        <v>244.0821651485011</v>
      </c>
      <c r="R606" s="27" t="n">
        <v>0.1520047450144321</v>
      </c>
      <c r="S606" s="26" t="n">
        <v>232.7384559548971</v>
      </c>
      <c r="T606" s="27" t="n">
        <v>0.1739975180035093</v>
      </c>
      <c r="U606" s="26" t="n">
        <v>247.9512510034639</v>
      </c>
      <c r="V606" s="27" t="n">
        <v>0.1375696152653073</v>
      </c>
      <c r="W606" s="26" t="n">
        <v>250.8361810574003</v>
      </c>
      <c r="X606" s="27" t="n">
        <v>0.1140624175192494</v>
      </c>
      <c r="Y606" s="26" t="n">
        <v>232.7648596327622</v>
      </c>
      <c r="Z606" s="27" t="n">
        <v>0.07821401080401671</v>
      </c>
      <c r="AA606" s="26" t="n">
        <v>241.6787263873987</v>
      </c>
      <c r="AB606" s="27" t="n">
        <v>0.15486335152723</v>
      </c>
    </row>
    <row r="607">
      <c r="A607" s="26" t="n">
        <v>234.9585970623659</v>
      </c>
      <c r="B607" s="27" t="n">
        <v>0.1420997153364814</v>
      </c>
      <c r="C607" s="26" t="n">
        <v>234.8889441560427</v>
      </c>
      <c r="D607" s="27" t="n">
        <v>0.1394787039004339</v>
      </c>
      <c r="E607" s="26" t="n">
        <v>260.8005293540364</v>
      </c>
      <c r="F607" s="27" t="n">
        <v>0.1106051510176781</v>
      </c>
      <c r="G607" s="26" t="n">
        <v>276.6103096752524</v>
      </c>
      <c r="H607" s="27" t="n">
        <v>0.08383661035178321</v>
      </c>
      <c r="I607" s="26" t="n">
        <v>280.2512265306643</v>
      </c>
      <c r="J607" s="27" t="n">
        <v>0.08387023264740764</v>
      </c>
      <c r="K607" s="26" t="n">
        <v>270.8019552204265</v>
      </c>
      <c r="L607" s="27" t="n">
        <v>0.09059637475578093</v>
      </c>
      <c r="M607" s="26" t="n">
        <v>258.9269029712988</v>
      </c>
      <c r="N607" s="27" t="n">
        <v>0.1127627373574141</v>
      </c>
      <c r="O607" s="26" t="n">
        <v>220.9652399481903</v>
      </c>
      <c r="P607" s="27" t="n">
        <v>0.1094071747106253</v>
      </c>
      <c r="Q607" s="26" t="n">
        <v>244.1762519241341</v>
      </c>
      <c r="R607" s="27" t="n">
        <v>0.1526710876962497</v>
      </c>
      <c r="S607" s="26" t="n">
        <v>232.8448795629285</v>
      </c>
      <c r="T607" s="27" t="n">
        <v>0.1747100074885827</v>
      </c>
      <c r="U607" s="26" t="n">
        <v>248.0362962979162</v>
      </c>
      <c r="V607" s="27" t="n">
        <v>0.138201660880736</v>
      </c>
      <c r="W607" s="26" t="n">
        <v>250.9143665494531</v>
      </c>
      <c r="X607" s="27" t="n">
        <v>0.1146148124442455</v>
      </c>
      <c r="Y607" s="26" t="n">
        <v>232.8703007993691</v>
      </c>
      <c r="Z607" s="27" t="n">
        <v>0.0785582410751918</v>
      </c>
      <c r="AA607" s="26" t="n">
        <v>241.7589140491053</v>
      </c>
      <c r="AB607" s="27" t="n">
        <v>0.1555475210439127</v>
      </c>
    </row>
    <row r="608">
      <c r="A608" s="26" t="n">
        <v>235.1243587255713</v>
      </c>
      <c r="B608" s="27" t="n">
        <v>0.1427061886023517</v>
      </c>
      <c r="C608" s="26" t="n">
        <v>235.0289936698575</v>
      </c>
      <c r="D608" s="27" t="n">
        <v>0.1400934245752621</v>
      </c>
      <c r="E608" s="26" t="n">
        <v>260.9135870083931</v>
      </c>
      <c r="F608" s="27" t="n">
        <v>0.1111265480154479</v>
      </c>
      <c r="G608" s="26" t="n">
        <v>276.6970321058581</v>
      </c>
      <c r="H608" s="27" t="n">
        <v>0.08424252578790094</v>
      </c>
      <c r="I608" s="26" t="n">
        <v>280.3316109591643</v>
      </c>
      <c r="J608" s="27" t="n">
        <v>0.08427926298994569</v>
      </c>
      <c r="K608" s="26" t="n">
        <v>270.8781977147829</v>
      </c>
      <c r="L608" s="27" t="n">
        <v>0.09104041797620209</v>
      </c>
      <c r="M608" s="26" t="n">
        <v>259.0182086733846</v>
      </c>
      <c r="N608" s="27" t="n">
        <v>0.1133024120509081</v>
      </c>
      <c r="O608" s="26" t="n">
        <v>221.0896446422789</v>
      </c>
      <c r="P608" s="27" t="n">
        <v>0.1099119350676505</v>
      </c>
      <c r="Q608" s="26" t="n">
        <v>244.270338699767</v>
      </c>
      <c r="R608" s="27" t="n">
        <v>0.1533390767520521</v>
      </c>
      <c r="S608" s="26" t="n">
        <v>232.9513031709599</v>
      </c>
      <c r="T608" s="27" t="n">
        <v>0.1754237565130275</v>
      </c>
      <c r="U608" s="26" t="n">
        <v>248.1213415923685</v>
      </c>
      <c r="V608" s="27" t="n">
        <v>0.1388356296265716</v>
      </c>
      <c r="W608" s="26" t="n">
        <v>250.9925520415059</v>
      </c>
      <c r="X608" s="27" t="n">
        <v>0.1151693953784314</v>
      </c>
      <c r="Y608" s="26" t="n">
        <v>232.9757419659761</v>
      </c>
      <c r="Z608" s="27" t="n">
        <v>0.07890400168739423</v>
      </c>
      <c r="AA608" s="26" t="n">
        <v>241.8391017108119</v>
      </c>
      <c r="AB608" s="27" t="n">
        <v>0.1562333887005525</v>
      </c>
    </row>
    <row r="609">
      <c r="A609" s="26" t="n">
        <v>235.2901203887766</v>
      </c>
      <c r="B609" s="27" t="n">
        <v>0.1433143471534623</v>
      </c>
      <c r="C609" s="26" t="n">
        <v>235.1690431836723</v>
      </c>
      <c r="D609" s="27" t="n">
        <v>0.1407099909042886</v>
      </c>
      <c r="E609" s="26" t="n">
        <v>261.0266446627497</v>
      </c>
      <c r="F609" s="27" t="n">
        <v>0.1116499316918232</v>
      </c>
      <c r="G609" s="26" t="n">
        <v>276.7837545364636</v>
      </c>
      <c r="H609" s="27" t="n">
        <v>0.08465030493106589</v>
      </c>
      <c r="I609" s="26" t="n">
        <v>280.4119953876642</v>
      </c>
      <c r="J609" s="27" t="n">
        <v>0.08469017222339401</v>
      </c>
      <c r="K609" s="26" t="n">
        <v>270.9544402091392</v>
      </c>
      <c r="L609" s="27" t="n">
        <v>0.09148646365138202</v>
      </c>
      <c r="M609" s="26" t="n">
        <v>259.1095143754704</v>
      </c>
      <c r="N609" s="27" t="n">
        <v>0.1138441595668253</v>
      </c>
      <c r="O609" s="26" t="n">
        <v>221.2140493363675</v>
      </c>
      <c r="P609" s="27" t="n">
        <v>0.1104188611306825</v>
      </c>
      <c r="Q609" s="26" t="n">
        <v>244.3644254754</v>
      </c>
      <c r="R609" s="27" t="n">
        <v>0.1540087033706511</v>
      </c>
      <c r="S609" s="26" t="n">
        <v>233.0577267789913</v>
      </c>
      <c r="T609" s="27" t="n">
        <v>0.1761387518996577</v>
      </c>
      <c r="U609" s="26" t="n">
        <v>248.2063868868208</v>
      </c>
      <c r="V609" s="27" t="n">
        <v>0.1394715166293042</v>
      </c>
      <c r="W609" s="26" t="n">
        <v>251.0707375335587</v>
      </c>
      <c r="X609" s="27" t="n">
        <v>0.115726168652264</v>
      </c>
      <c r="Y609" s="26" t="n">
        <v>233.081183132583</v>
      </c>
      <c r="Z609" s="27" t="n">
        <v>0.07925129947510065</v>
      </c>
      <c r="AA609" s="26" t="n">
        <v>241.9192893725185</v>
      </c>
      <c r="AB609" s="27" t="n">
        <v>0.1569209454147915</v>
      </c>
    </row>
    <row r="610">
      <c r="A610" s="26" t="n">
        <v>235.4558820519818</v>
      </c>
      <c r="B610" s="27" t="n">
        <v>0.1439241854861149</v>
      </c>
      <c r="C610" s="26" t="n">
        <v>235.3090926974871</v>
      </c>
      <c r="D610" s="27" t="n">
        <v>0.1413283985488079</v>
      </c>
      <c r="E610" s="26" t="n">
        <v>261.1397023171065</v>
      </c>
      <c r="F610" s="27" t="n">
        <v>0.112175303481998</v>
      </c>
      <c r="G610" s="26" t="n">
        <v>276.8704769670692</v>
      </c>
      <c r="H610" s="27" t="n">
        <v>0.08505995455171238</v>
      </c>
      <c r="I610" s="26" t="n">
        <v>280.4923798161642</v>
      </c>
      <c r="J610" s="27" t="n">
        <v>0.08510296700831786</v>
      </c>
      <c r="K610" s="26" t="n">
        <v>271.0306827034956</v>
      </c>
      <c r="L610" s="27" t="n">
        <v>0.09193451806016344</v>
      </c>
      <c r="M610" s="26" t="n">
        <v>259.2008200775563</v>
      </c>
      <c r="N610" s="27" t="n">
        <v>0.114387981336325</v>
      </c>
      <c r="O610" s="26" t="n">
        <v>221.338454030456</v>
      </c>
      <c r="P610" s="27" t="n">
        <v>0.1109279592842433</v>
      </c>
      <c r="Q610" s="26" t="n">
        <v>244.4585122510329</v>
      </c>
      <c r="R610" s="27" t="n">
        <v>0.1546799585889048</v>
      </c>
      <c r="S610" s="26" t="n">
        <v>233.1641503870226</v>
      </c>
      <c r="T610" s="27" t="n">
        <v>0.1768549803235889</v>
      </c>
      <c r="U610" s="26" t="n">
        <v>248.2914321812731</v>
      </c>
      <c r="V610" s="27" t="n">
        <v>0.1401093168721786</v>
      </c>
      <c r="W610" s="26" t="n">
        <v>251.1489230256115</v>
      </c>
      <c r="X610" s="27" t="n">
        <v>0.1162851345054915</v>
      </c>
      <c r="Y610" s="26" t="n">
        <v>233.1866242991899</v>
      </c>
      <c r="Z610" s="27" t="n">
        <v>0.07960014130278124</v>
      </c>
      <c r="AA610" s="26" t="n">
        <v>241.9994770342251</v>
      </c>
      <c r="AB610" s="27" t="n">
        <v>0.1576101819485233</v>
      </c>
    </row>
    <row r="611">
      <c r="A611" s="26" t="n">
        <v>235.6216437151871</v>
      </c>
      <c r="B611" s="27" t="n">
        <v>0.1445356979595563</v>
      </c>
      <c r="C611" s="26" t="n">
        <v>235.4491422113018</v>
      </c>
      <c r="D611" s="27" t="n">
        <v>0.1419486430334795</v>
      </c>
      <c r="E611" s="26" t="n">
        <v>261.2527599714632</v>
      </c>
      <c r="F611" s="27" t="n">
        <v>0.1127026647315081</v>
      </c>
      <c r="G611" s="26" t="n">
        <v>276.9571993976747</v>
      </c>
      <c r="H611" s="27" t="n">
        <v>0.08547148141361044</v>
      </c>
      <c r="I611" s="26" t="n">
        <v>280.5727642446641</v>
      </c>
      <c r="J611" s="27" t="n">
        <v>0.0855176539950239</v>
      </c>
      <c r="K611" s="26" t="n">
        <v>271.106925197852</v>
      </c>
      <c r="L611" s="27" t="n">
        <v>0.09238458745592432</v>
      </c>
      <c r="M611" s="26" t="n">
        <v>259.2921257796421</v>
      </c>
      <c r="N611" s="27" t="n">
        <v>0.1149338786957844</v>
      </c>
      <c r="O611" s="26" t="n">
        <v>221.4628587245445</v>
      </c>
      <c r="P611" s="27" t="n">
        <v>0.1114392358827336</v>
      </c>
      <c r="Q611" s="26" t="n">
        <v>244.5525990266659</v>
      </c>
      <c r="R611" s="27" t="n">
        <v>0.1553528332909982</v>
      </c>
      <c r="S611" s="26" t="n">
        <v>233.270573995054</v>
      </c>
      <c r="T611" s="27" t="n">
        <v>0.1775724283121102</v>
      </c>
      <c r="U611" s="26" t="n">
        <v>248.3764774757254</v>
      </c>
      <c r="V611" s="27" t="n">
        <v>0.1407490251940523</v>
      </c>
      <c r="W611" s="26" t="n">
        <v>251.2271085176643</v>
      </c>
      <c r="X611" s="27" t="n">
        <v>0.1168462950857353</v>
      </c>
      <c r="Y611" s="26" t="n">
        <v>233.2920654657968</v>
      </c>
      <c r="Z611" s="27" t="n">
        <v>0.0799505340650094</v>
      </c>
      <c r="AA611" s="26" t="n">
        <v>242.0796646959317</v>
      </c>
      <c r="AB611" s="27" t="n">
        <v>0.1583010889071822</v>
      </c>
    </row>
    <row r="612">
      <c r="A612" s="26" t="n">
        <v>235.7874053783925</v>
      </c>
      <c r="B612" s="27" t="n">
        <v>0.1451488787949067</v>
      </c>
      <c r="C612" s="26" t="n">
        <v>235.5891917251166</v>
      </c>
      <c r="D612" s="27" t="n">
        <v>0.1425707197451233</v>
      </c>
      <c r="E612" s="26" t="n">
        <v>261.36581762582</v>
      </c>
      <c r="F612" s="27" t="n">
        <v>0.1132320166949079</v>
      </c>
      <c r="G612" s="26" t="n">
        <v>277.0439218282803</v>
      </c>
      <c r="H612" s="27" t="n">
        <v>0.08588489227320106</v>
      </c>
      <c r="I612" s="26" t="n">
        <v>280.6531486731641</v>
      </c>
      <c r="J612" s="27" t="n">
        <v>0.08593423982284479</v>
      </c>
      <c r="K612" s="26" t="n">
        <v>271.1831676922083</v>
      </c>
      <c r="L612" s="27" t="n">
        <v>0.09283667806565558</v>
      </c>
      <c r="M612" s="26" t="n">
        <v>259.3834314817279</v>
      </c>
      <c r="N612" s="27" t="n">
        <v>0.1154818528854214</v>
      </c>
      <c r="O612" s="26" t="n">
        <v>221.5872634186331</v>
      </c>
      <c r="P612" s="27" t="n">
        <v>0.1119526972494238</v>
      </c>
      <c r="Q612" s="26" t="n">
        <v>244.6466858022989</v>
      </c>
      <c r="R612" s="27" t="n">
        <v>0.1560273182077376</v>
      </c>
      <c r="S612" s="26" t="n">
        <v>233.3769976030854</v>
      </c>
      <c r="T612" s="27" t="n">
        <v>0.1782910822445651</v>
      </c>
      <c r="U612" s="26" t="n">
        <v>248.4615227701777</v>
      </c>
      <c r="V612" s="27" t="n">
        <v>0.1413906362882543</v>
      </c>
      <c r="W612" s="26" t="n">
        <v>251.3052940097171</v>
      </c>
      <c r="X612" s="27" t="n">
        <v>0.1174096524470577</v>
      </c>
      <c r="Y612" s="26" t="n">
        <v>233.3975066324037</v>
      </c>
      <c r="Z612" s="27" t="n">
        <v>0.08030248468657289</v>
      </c>
      <c r="AA612" s="26" t="n">
        <v>242.1598523576383</v>
      </c>
      <c r="AB612" s="27" t="n">
        <v>0.1589936567390417</v>
      </c>
    </row>
    <row r="613">
      <c r="A613" s="26" t="n">
        <v>235.9531670415978</v>
      </c>
      <c r="B613" s="27" t="n">
        <v>0.1457637220740878</v>
      </c>
      <c r="C613" s="26" t="n">
        <v>235.7292412389314</v>
      </c>
      <c r="D613" s="27" t="n">
        <v>0.1431946239315137</v>
      </c>
      <c r="E613" s="26" t="n">
        <v>261.4788752801767</v>
      </c>
      <c r="F613" s="27" t="n">
        <v>0.1137633605344348</v>
      </c>
      <c r="G613" s="26" t="n">
        <v>277.1306442588859</v>
      </c>
      <c r="H613" s="27" t="n">
        <v>0.08630019387892175</v>
      </c>
      <c r="I613" s="26" t="n">
        <v>280.733533101664</v>
      </c>
      <c r="J613" s="27" t="n">
        <v>0.0863527311194108</v>
      </c>
      <c r="K613" s="26" t="n">
        <v>271.2594101865647</v>
      </c>
      <c r="L613" s="27" t="n">
        <v>0.09329079608902069</v>
      </c>
      <c r="M613" s="26" t="n">
        <v>259.4747371838138</v>
      </c>
      <c r="N613" s="27" t="n">
        <v>0.1160319050479082</v>
      </c>
      <c r="O613" s="26" t="n">
        <v>221.7116681127216</v>
      </c>
      <c r="P613" s="27" t="n">
        <v>0.1124683496754314</v>
      </c>
      <c r="Q613" s="26" t="n">
        <v>244.7407725779318</v>
      </c>
      <c r="R613" s="27" t="n">
        <v>0.1567034039158505</v>
      </c>
      <c r="S613" s="26" t="n">
        <v>233.4834212111167</v>
      </c>
      <c r="T613" s="27" t="n">
        <v>0.179010928352252</v>
      </c>
      <c r="U613" s="26" t="n">
        <v>248.54656806463</v>
      </c>
      <c r="V613" s="27" t="n">
        <v>0.1420341447014482</v>
      </c>
      <c r="W613" s="26" t="n">
        <v>251.3834795017699</v>
      </c>
      <c r="X613" s="27" t="n">
        <v>0.1179752085485189</v>
      </c>
      <c r="Y613" s="26" t="n">
        <v>233.5029477990107</v>
      </c>
      <c r="Z613" s="27" t="n">
        <v>0.08065600012258325</v>
      </c>
      <c r="AA613" s="26" t="n">
        <v>242.2400400193449</v>
      </c>
      <c r="AB613" s="27" t="n">
        <v>0.1596878757345234</v>
      </c>
    </row>
    <row r="614">
      <c r="A614" s="26" t="n">
        <v>236.1189287048031</v>
      </c>
      <c r="B614" s="27" t="n">
        <v>0.1463802217387539</v>
      </c>
      <c r="C614" s="26" t="n">
        <v>235.8692907527462</v>
      </c>
      <c r="D614" s="27" t="n">
        <v>0.1438203507001764</v>
      </c>
      <c r="E614" s="26" t="n">
        <v>261.5919329345334</v>
      </c>
      <c r="F614" s="27" t="n">
        <v>0.1142966973186656</v>
      </c>
      <c r="G614" s="26" t="n">
        <v>277.2173666894914</v>
      </c>
      <c r="H614" s="27" t="n">
        <v>0.08671739297051599</v>
      </c>
      <c r="I614" s="26" t="n">
        <v>280.813917530164</v>
      </c>
      <c r="J614" s="27" t="n">
        <v>0.08677313449990838</v>
      </c>
      <c r="K614" s="26" t="n">
        <v>271.335652680921</v>
      </c>
      <c r="L614" s="27" t="n">
        <v>0.0937469476974027</v>
      </c>
      <c r="M614" s="26" t="n">
        <v>259.5660428858996</v>
      </c>
      <c r="N614" s="27" t="n">
        <v>0.1165840362269741</v>
      </c>
      <c r="O614" s="26" t="n">
        <v>221.8360728068102</v>
      </c>
      <c r="P614" s="27" t="n">
        <v>0.1129861994186822</v>
      </c>
      <c r="Q614" s="26" t="n">
        <v>244.8348593535647</v>
      </c>
      <c r="R614" s="27" t="n">
        <v>0.1573810808372976</v>
      </c>
      <c r="S614" s="26" t="n">
        <v>233.5898448191481</v>
      </c>
      <c r="T614" s="27" t="n">
        <v>0.1797319527183401</v>
      </c>
      <c r="U614" s="26" t="n">
        <v>248.6316133590823</v>
      </c>
      <c r="V614" s="27" t="n">
        <v>0.1426795448324969</v>
      </c>
      <c r="W614" s="26" t="n">
        <v>251.4616649938227</v>
      </c>
      <c r="X614" s="27" t="n">
        <v>0.1185429652527229</v>
      </c>
      <c r="Y614" s="26" t="n">
        <v>233.6083889656175</v>
      </c>
      <c r="Z614" s="27" t="n">
        <v>0.08101108735858577</v>
      </c>
      <c r="AA614" s="26" t="n">
        <v>242.3202276810514</v>
      </c>
      <c r="AB614" s="27" t="n">
        <v>0.1603837360255166</v>
      </c>
    </row>
    <row r="615">
      <c r="A615" s="26" t="n">
        <v>236.2846903680084</v>
      </c>
      <c r="B615" s="27" t="n">
        <v>0.1469983715892255</v>
      </c>
      <c r="C615" s="26" t="n">
        <v>236.009340266561</v>
      </c>
      <c r="D615" s="27" t="n">
        <v>0.1444478950171815</v>
      </c>
      <c r="E615" s="26" t="n">
        <v>261.7049905888902</v>
      </c>
      <c r="F615" s="27" t="n">
        <v>0.1148320280211599</v>
      </c>
      <c r="G615" s="26" t="n">
        <v>277.304089120097</v>
      </c>
      <c r="H615" s="27" t="n">
        <v>0.08713649627833221</v>
      </c>
      <c r="I615" s="26" t="n">
        <v>280.8943019586638</v>
      </c>
      <c r="J615" s="27" t="n">
        <v>0.0871954565663251</v>
      </c>
      <c r="K615" s="26" t="n">
        <v>271.4118951752773</v>
      </c>
      <c r="L615" s="27" t="n">
        <v>0.09420513903293411</v>
      </c>
      <c r="M615" s="26" t="n">
        <v>259.6573485879854</v>
      </c>
      <c r="N615" s="27" t="n">
        <v>0.1171382473659979</v>
      </c>
      <c r="O615" s="26" t="n">
        <v>221.9604775008987</v>
      </c>
      <c r="P615" s="27" t="n">
        <v>0.1135062527028526</v>
      </c>
      <c r="Q615" s="26" t="n">
        <v>244.9289461291976</v>
      </c>
      <c r="R615" s="27" t="n">
        <v>0.1580603392385947</v>
      </c>
      <c r="S615" s="26" t="n">
        <v>233.6962684271795</v>
      </c>
      <c r="T615" s="27" t="n">
        <v>0.1804541412778003</v>
      </c>
      <c r="U615" s="26" t="n">
        <v>248.7166586535346</v>
      </c>
      <c r="V615" s="27" t="n">
        <v>0.1433268309313302</v>
      </c>
      <c r="W615" s="26" t="n">
        <v>251.5398504858755</v>
      </c>
      <c r="X615" s="27" t="n">
        <v>0.1191129243243493</v>
      </c>
      <c r="Y615" s="26" t="n">
        <v>233.7138301322244</v>
      </c>
      <c r="Z615" s="27" t="n">
        <v>0.08136775341066864</v>
      </c>
      <c r="AA615" s="26" t="n">
        <v>242.4004153427581</v>
      </c>
      <c r="AB615" s="27" t="n">
        <v>0.1610812275847097</v>
      </c>
    </row>
    <row r="616">
      <c r="A616" s="26" t="n">
        <v>236.4504520312137</v>
      </c>
      <c r="B616" s="27" t="n">
        <v>0.1476181652834246</v>
      </c>
      <c r="C616" s="26" t="n">
        <v>236.1493897803757</v>
      </c>
      <c r="D616" s="27" t="n">
        <v>0.1450772517059397</v>
      </c>
      <c r="E616" s="26" t="n">
        <v>261.8180482432468</v>
      </c>
      <c r="F616" s="27" t="n">
        <v>0.1153693535190953</v>
      </c>
      <c r="G616" s="26" t="n">
        <v>277.3908115507026</v>
      </c>
      <c r="H616" s="27" t="n">
        <v>0.08755751052260824</v>
      </c>
      <c r="I616" s="26" t="n">
        <v>280.9746863871638</v>
      </c>
      <c r="J616" s="27" t="n">
        <v>0.08761970390668121</v>
      </c>
      <c r="K616" s="26" t="n">
        <v>271.4881376696337</v>
      </c>
      <c r="L616" s="27" t="n">
        <v>0.09466537620751533</v>
      </c>
      <c r="M616" s="26" t="n">
        <v>259.7486542900713</v>
      </c>
      <c r="N616" s="27" t="n">
        <v>0.1176945393065902</v>
      </c>
      <c r="O616" s="26" t="n">
        <v>222.0848821949872</v>
      </c>
      <c r="P616" s="27" t="n">
        <v>0.1140285157163001</v>
      </c>
      <c r="Q616" s="26" t="n">
        <v>245.0230329048306</v>
      </c>
      <c r="R616" s="27" t="n">
        <v>0.1587411692301443</v>
      </c>
      <c r="S616" s="26" t="n">
        <v>233.8026920352108</v>
      </c>
      <c r="T616" s="27" t="n">
        <v>0.1811774798173514</v>
      </c>
      <c r="U616" s="26" t="n">
        <v>248.8017039479869</v>
      </c>
      <c r="V616" s="27" t="n">
        <v>0.1439759970978145</v>
      </c>
      <c r="W616" s="26" t="n">
        <v>251.6180359779283</v>
      </c>
      <c r="X616" s="27" t="n">
        <v>0.1196850874286753</v>
      </c>
      <c r="Y616" s="26" t="n">
        <v>233.8192712988314</v>
      </c>
      <c r="Z616" s="27" t="n">
        <v>0.08172600532557213</v>
      </c>
      <c r="AA616" s="26" t="n">
        <v>242.4806030044647</v>
      </c>
      <c r="AB616" s="27" t="n">
        <v>0.16178034022493</v>
      </c>
    </row>
    <row r="617">
      <c r="A617" s="26" t="n">
        <v>236.6162136944191</v>
      </c>
      <c r="B617" s="27" t="n">
        <v>0.1482395963358129</v>
      </c>
      <c r="C617" s="26" t="n">
        <v>236.2894392941905</v>
      </c>
      <c r="D617" s="27" t="n">
        <v>0.1457084154459986</v>
      </c>
      <c r="E617" s="26" t="n">
        <v>261.9311058976036</v>
      </c>
      <c r="F617" s="27" t="n">
        <v>0.1159086745918913</v>
      </c>
      <c r="G617" s="26" t="n">
        <v>277.4775339813082</v>
      </c>
      <c r="H617" s="27" t="n">
        <v>0.08798044241274344</v>
      </c>
      <c r="I617" s="26" t="n">
        <v>281.0550708156637</v>
      </c>
      <c r="J617" s="27" t="n">
        <v>0.08804588309424745</v>
      </c>
      <c r="K617" s="26" t="n">
        <v>271.56438016399</v>
      </c>
      <c r="L617" s="27" t="n">
        <v>0.09512766530181425</v>
      </c>
      <c r="M617" s="26" t="n">
        <v>259.8399599921571</v>
      </c>
      <c r="N617" s="27" t="n">
        <v>0.1182529127871658</v>
      </c>
      <c r="O617" s="26" t="n">
        <v>222.2092868890758</v>
      </c>
      <c r="P617" s="27" t="n">
        <v>0.114552994610973</v>
      </c>
      <c r="Q617" s="26" t="n">
        <v>245.1171196804636</v>
      </c>
      <c r="R617" s="27" t="n">
        <v>0.1594235607655786</v>
      </c>
      <c r="S617" s="26" t="n">
        <v>233.9091156432422</v>
      </c>
      <c r="T617" s="27" t="n">
        <v>0.1819019539754257</v>
      </c>
      <c r="U617" s="26" t="n">
        <v>248.8867492424393</v>
      </c>
      <c r="V617" s="27" t="n">
        <v>0.1446270372806279</v>
      </c>
      <c r="W617" s="26" t="n">
        <v>251.6962214699811</v>
      </c>
      <c r="X617" s="27" t="n">
        <v>0.1202594561300845</v>
      </c>
      <c r="Y617" s="26" t="n">
        <v>233.9247124654382</v>
      </c>
      <c r="Z617" s="27" t="n">
        <v>0.08208585018079707</v>
      </c>
      <c r="AA617" s="26" t="n">
        <v>242.5607906661712</v>
      </c>
      <c r="AB617" s="27" t="n">
        <v>0.1624810635984979</v>
      </c>
    </row>
    <row r="618">
      <c r="A618" s="26" t="n">
        <v>236.7819753576243</v>
      </c>
      <c r="B618" s="27" t="n">
        <v>0.1488626581163336</v>
      </c>
      <c r="C618" s="26" t="n">
        <v>236.4294888080053</v>
      </c>
      <c r="D618" s="27" t="n">
        <v>0.1463413807718384</v>
      </c>
      <c r="E618" s="26" t="n">
        <v>262.0441635519603</v>
      </c>
      <c r="F618" s="27" t="n">
        <v>0.1164499919198226</v>
      </c>
      <c r="G618" s="26" t="n">
        <v>277.5642564119138</v>
      </c>
      <c r="H618" s="27" t="n">
        <v>0.08840529864655577</v>
      </c>
      <c r="I618" s="26" t="n">
        <v>281.1354552441637</v>
      </c>
      <c r="J618" s="27" t="n">
        <v>0.08847400068674902</v>
      </c>
      <c r="K618" s="26" t="n">
        <v>271.6406226583464</v>
      </c>
      <c r="L618" s="27" t="n">
        <v>0.09559201236425294</v>
      </c>
      <c r="M618" s="26" t="n">
        <v>259.9312656942429</v>
      </c>
      <c r="N618" s="27" t="n">
        <v>0.1188133684415053</v>
      </c>
      <c r="O618" s="26" t="n">
        <v>222.3336915831644</v>
      </c>
      <c r="P618" s="27" t="n">
        <v>0.1150796955013045</v>
      </c>
      <c r="Q618" s="26" t="n">
        <v>245.2112064560965</v>
      </c>
      <c r="R618" s="27" t="n">
        <v>0.1601075036411129</v>
      </c>
      <c r="S618" s="26" t="n">
        <v>234.0155392512736</v>
      </c>
      <c r="T618" s="27" t="n">
        <v>0.1826275492421477</v>
      </c>
      <c r="U618" s="26" t="n">
        <v>248.9717945368916</v>
      </c>
      <c r="V618" s="27" t="n">
        <v>0.1452799452761375</v>
      </c>
      <c r="W618" s="26" t="n">
        <v>251.7744069620339</v>
      </c>
      <c r="X618" s="27" t="n">
        <v>0.120836031890565</v>
      </c>
      <c r="Y618" s="26" t="n">
        <v>234.0301536320452</v>
      </c>
      <c r="Z618" s="27" t="n">
        <v>0.08244729508471331</v>
      </c>
      <c r="AA618" s="26" t="n">
        <v>242.6409783278778</v>
      </c>
      <c r="AB618" s="27" t="n">
        <v>0.1631833871965901</v>
      </c>
    </row>
    <row r="619">
      <c r="A619" s="26" t="n">
        <v>236.9477370208297</v>
      </c>
      <c r="B619" s="27" t="n">
        <v>0.1494873438493553</v>
      </c>
      <c r="C619" s="26" t="n">
        <v>236.56953832182</v>
      </c>
      <c r="D619" s="27" t="n">
        <v>0.1469761420716696</v>
      </c>
      <c r="E619" s="26" t="n">
        <v>262.157221206317</v>
      </c>
      <c r="F619" s="27" t="n">
        <v>0.1169933060826241</v>
      </c>
      <c r="G619" s="26" t="n">
        <v>277.6509788425193</v>
      </c>
      <c r="H619" s="27" t="n">
        <v>0.08883208590952765</v>
      </c>
      <c r="I619" s="26" t="n">
        <v>281.2158396726636</v>
      </c>
      <c r="J619" s="27" t="n">
        <v>0.08890406322555532</v>
      </c>
      <c r="K619" s="26" t="n">
        <v>271.7168651527028</v>
      </c>
      <c r="L619" s="27" t="n">
        <v>0.09605842340997606</v>
      </c>
      <c r="M619" s="26" t="n">
        <v>260.0225713963288</v>
      </c>
      <c r="N619" s="27" t="n">
        <v>0.1193759067973081</v>
      </c>
      <c r="O619" s="26" t="n">
        <v>222.4580962772529</v>
      </c>
      <c r="P619" s="27" t="n">
        <v>0.1156086244630921</v>
      </c>
      <c r="Q619" s="26" t="n">
        <v>245.3052932317295</v>
      </c>
      <c r="R619" s="27" t="n">
        <v>0.1607929874949107</v>
      </c>
      <c r="S619" s="26" t="n">
        <v>234.121962859305</v>
      </c>
      <c r="T619" s="27" t="n">
        <v>0.1833542509593326</v>
      </c>
      <c r="U619" s="26" t="n">
        <v>249.0568398313438</v>
      </c>
      <c r="V619" s="27" t="n">
        <v>0.1459347147272792</v>
      </c>
      <c r="W619" s="26" t="n">
        <v>251.8525924540867</v>
      </c>
      <c r="X619" s="27" t="n">
        <v>0.1214148160681946</v>
      </c>
      <c r="Y619" s="26" t="n">
        <v>234.1355947986521</v>
      </c>
      <c r="Z619" s="27" t="n">
        <v>0.08281034717666702</v>
      </c>
      <c r="AA619" s="26" t="n">
        <v>242.7211659895844</v>
      </c>
      <c r="AB619" s="27" t="n">
        <v>0.1638873003486168</v>
      </c>
    </row>
    <row r="620">
      <c r="A620" s="26" t="n">
        <v>237.113498684035</v>
      </c>
      <c r="B620" s="27" t="n">
        <v>0.1501136466126201</v>
      </c>
      <c r="C620" s="26" t="n">
        <v>236.7095878356348</v>
      </c>
      <c r="D620" s="27" t="n">
        <v>0.1476126935862313</v>
      </c>
      <c r="E620" s="26" t="n">
        <v>262.2702788606738</v>
      </c>
      <c r="F620" s="27" t="n">
        <v>0.117538617558083</v>
      </c>
      <c r="G620" s="26" t="n">
        <v>277.7377012731249</v>
      </c>
      <c r="H620" s="27" t="n">
        <v>0.08926081087403571</v>
      </c>
      <c r="I620" s="26" t="n">
        <v>281.2962241011636</v>
      </c>
      <c r="J620" s="27" t="n">
        <v>0.08933607723485558</v>
      </c>
      <c r="K620" s="26" t="n">
        <v>271.7931076470591</v>
      </c>
      <c r="L620" s="27" t="n">
        <v>0.09652690441980749</v>
      </c>
      <c r="M620" s="26" t="n">
        <v>260.1138770984147</v>
      </c>
      <c r="N620" s="27" t="n">
        <v>0.1199405282747322</v>
      </c>
      <c r="O620" s="26" t="n">
        <v>222.5825009713414</v>
      </c>
      <c r="P620" s="27" t="n">
        <v>0.1161397875323563</v>
      </c>
      <c r="Q620" s="26" t="n">
        <v>245.3993800073624</v>
      </c>
      <c r="R620" s="27" t="n">
        <v>0.1614800018064596</v>
      </c>
      <c r="S620" s="26" t="n">
        <v>234.2283864673363</v>
      </c>
      <c r="T620" s="27" t="n">
        <v>0.1840820443204991</v>
      </c>
      <c r="U620" s="26" t="n">
        <v>249.1418851257961</v>
      </c>
      <c r="V620" s="27" t="n">
        <v>0.1465913391224446</v>
      </c>
      <c r="W620" s="26" t="n">
        <v>251.9307779461395</v>
      </c>
      <c r="X620" s="27" t="n">
        <v>0.1219958099156155</v>
      </c>
      <c r="Y620" s="26" t="n">
        <v>234.241035965259</v>
      </c>
      <c r="Z620" s="27" t="n">
        <v>0.08317501362708839</v>
      </c>
      <c r="AA620" s="26" t="n">
        <v>242.801353651291</v>
      </c>
      <c r="AB620" s="27" t="n">
        <v>0.1645927922216081</v>
      </c>
    </row>
    <row r="621">
      <c r="A621" s="26" t="n">
        <v>237.2792603472403</v>
      </c>
      <c r="B621" s="27" t="n">
        <v>0.1507415593361949</v>
      </c>
      <c r="C621" s="26" t="n">
        <v>236.8496373494496</v>
      </c>
      <c r="D621" s="27" t="n">
        <v>0.1482510294075924</v>
      </c>
      <c r="E621" s="26" t="n">
        <v>262.3833365150305</v>
      </c>
      <c r="F621" s="27" t="n">
        <v>0.1180859267206216</v>
      </c>
      <c r="G621" s="26" t="n">
        <v>277.8244237037304</v>
      </c>
      <c r="H621" s="27" t="n">
        <v>0.08969148019856728</v>
      </c>
      <c r="I621" s="26" t="n">
        <v>281.3766085296635</v>
      </c>
      <c r="J621" s="27" t="n">
        <v>0.08977004922081966</v>
      </c>
      <c r="K621" s="26" t="n">
        <v>271.8693501414155</v>
      </c>
      <c r="L621" s="27" t="n">
        <v>0.09699746133918789</v>
      </c>
      <c r="M621" s="26" t="n">
        <v>260.2051828005005</v>
      </c>
      <c r="N621" s="27" t="n">
        <v>0.1205072331849287</v>
      </c>
      <c r="O621" s="26" t="n">
        <v>222.70690566543</v>
      </c>
      <c r="P621" s="27" t="n">
        <v>0.1166731907041839</v>
      </c>
      <c r="Q621" s="26" t="n">
        <v>245.4934667829954</v>
      </c>
      <c r="R621" s="27" t="n">
        <v>0.1621685358959598</v>
      </c>
      <c r="S621" s="26" t="n">
        <v>234.3348100753677</v>
      </c>
      <c r="T621" s="27" t="n">
        <v>0.1848109143709016</v>
      </c>
      <c r="U621" s="26" t="n">
        <v>249.2269304202484</v>
      </c>
      <c r="V621" s="27" t="n">
        <v>0.1472498117943694</v>
      </c>
      <c r="W621" s="26" t="n">
        <v>252.0089634381923</v>
      </c>
      <c r="X621" s="27" t="n">
        <v>0.1225790145784949</v>
      </c>
      <c r="Y621" s="26" t="n">
        <v>234.3464771318659</v>
      </c>
      <c r="Z621" s="27" t="n">
        <v>0.08354130163759815</v>
      </c>
      <c r="AA621" s="26" t="n">
        <v>242.8815413129976</v>
      </c>
      <c r="AB621" s="27" t="n">
        <v>0.1652998518196165</v>
      </c>
    </row>
    <row r="622">
      <c r="A622" s="26" t="n">
        <v>237.4450220104456</v>
      </c>
      <c r="B622" s="27" t="n">
        <v>0.1513710748014263</v>
      </c>
      <c r="C622" s="26" t="n">
        <v>236.9896868632644</v>
      </c>
      <c r="D622" s="27" t="n">
        <v>0.148891143477951</v>
      </c>
      <c r="E622" s="26" t="n">
        <v>262.4963941693871</v>
      </c>
      <c r="F622" s="27" t="n">
        <v>0.1186352338398731</v>
      </c>
      <c r="G622" s="26" t="n">
        <v>277.911146134336</v>
      </c>
      <c r="H622" s="27" t="n">
        <v>0.09012410052692262</v>
      </c>
      <c r="I622" s="26" t="n">
        <v>281.4569929581635</v>
      </c>
      <c r="J622" s="27" t="n">
        <v>0.09020598567074471</v>
      </c>
      <c r="K622" s="26" t="n">
        <v>271.9455926357718</v>
      </c>
      <c r="L622" s="27" t="n">
        <v>0.09747010007709603</v>
      </c>
      <c r="M622" s="26" t="n">
        <v>260.2964885025863</v>
      </c>
      <c r="N622" s="27" t="n">
        <v>0.1210760217285628</v>
      </c>
      <c r="O622" s="26" t="n">
        <v>222.8313103595185</v>
      </c>
      <c r="P622" s="27" t="n">
        <v>0.1172088399315545</v>
      </c>
      <c r="Q622" s="26" t="n">
        <v>245.5875535586283</v>
      </c>
      <c r="R622" s="27" t="n">
        <v>0.1628585789237232</v>
      </c>
      <c r="S622" s="26" t="n">
        <v>234.4412336833991</v>
      </c>
      <c r="T622" s="27" t="n">
        <v>0.1855408460075778</v>
      </c>
      <c r="U622" s="26" t="n">
        <v>249.3119757147007</v>
      </c>
      <c r="V622" s="27" t="n">
        <v>0.1479101259190269</v>
      </c>
      <c r="W622" s="26" t="n">
        <v>252.0871489302451</v>
      </c>
      <c r="X622" s="27" t="n">
        <v>0.1231644310939781</v>
      </c>
      <c r="Y622" s="26" t="n">
        <v>234.4519182984728</v>
      </c>
      <c r="Z622" s="27" t="n">
        <v>0.08390921844111408</v>
      </c>
      <c r="AA622" s="26" t="n">
        <v>242.9617289747042</v>
      </c>
      <c r="AB622" s="27" t="n">
        <v>0.1660084679831291</v>
      </c>
    </row>
    <row r="623">
      <c r="A623" s="26" t="n">
        <v>237.6107836736509</v>
      </c>
      <c r="B623" s="27" t="n">
        <v>0.1520021856399005</v>
      </c>
      <c r="C623" s="26" t="n">
        <v>237.1297363770792</v>
      </c>
      <c r="D623" s="27" t="n">
        <v>0.14953302958844</v>
      </c>
      <c r="E623" s="26" t="n">
        <v>262.6094518237439</v>
      </c>
      <c r="F623" s="27" t="n">
        <v>0.1191865390792421</v>
      </c>
      <c r="G623" s="26" t="n">
        <v>277.9978685649416</v>
      </c>
      <c r="H623" s="27" t="n">
        <v>0.09055867848740287</v>
      </c>
      <c r="I623" s="26" t="n">
        <v>281.5373773866634</v>
      </c>
      <c r="J623" s="27" t="n">
        <v>0.09064389305218629</v>
      </c>
      <c r="K623" s="26" t="n">
        <v>272.0218351301281</v>
      </c>
      <c r="L623" s="27" t="n">
        <v>0.09794482650495676</v>
      </c>
      <c r="M623" s="26" t="n">
        <v>260.3877942046722</v>
      </c>
      <c r="N623" s="27" t="n">
        <v>0.1216468939943257</v>
      </c>
      <c r="O623" s="26" t="n">
        <v>222.9557150536071</v>
      </c>
      <c r="P623" s="27" t="n">
        <v>0.1177467411241463</v>
      </c>
      <c r="Q623" s="26" t="n">
        <v>245.6816403342613</v>
      </c>
      <c r="R623" s="27" t="n">
        <v>0.1635501198895857</v>
      </c>
      <c r="S623" s="26" t="n">
        <v>234.5476572914305</v>
      </c>
      <c r="T623" s="27" t="n">
        <v>0.1862718239794164</v>
      </c>
      <c r="U623" s="26" t="n">
        <v>249.3970210091531</v>
      </c>
      <c r="V623" s="27" t="n">
        <v>0.148572274514528</v>
      </c>
      <c r="W623" s="26" t="n">
        <v>252.1653344222979</v>
      </c>
      <c r="X623" s="27" t="n">
        <v>0.1237520603891254</v>
      </c>
      <c r="Y623" s="26" t="n">
        <v>234.5573594650797</v>
      </c>
      <c r="Z623" s="27" t="n">
        <v>0.08427877130195641</v>
      </c>
      <c r="AA623" s="26" t="n">
        <v>243.0419166364109</v>
      </c>
      <c r="AB623" s="27" t="n">
        <v>0.1667186293884926</v>
      </c>
    </row>
    <row r="624">
      <c r="A624" s="26" t="n">
        <v>237.7765453368562</v>
      </c>
      <c r="B624" s="27" t="n">
        <v>0.1526348843324062</v>
      </c>
      <c r="C624" s="26" t="n">
        <v>237.269785890894</v>
      </c>
      <c r="D624" s="27" t="n">
        <v>0.1501766813779306</v>
      </c>
      <c r="E624" s="26" t="n">
        <v>262.7225094781006</v>
      </c>
      <c r="F624" s="27" t="n">
        <v>0.1197398424944589</v>
      </c>
      <c r="G624" s="26" t="n">
        <v>278.0845909955472</v>
      </c>
      <c r="H624" s="27" t="n">
        <v>0.09099522069198204</v>
      </c>
      <c r="I624" s="26" t="n">
        <v>281.6177618151634</v>
      </c>
      <c r="J624" s="27" t="n">
        <v>0.09108377781207541</v>
      </c>
      <c r="K624" s="26" t="n">
        <v>272.0980776244845</v>
      </c>
      <c r="L624" s="27" t="n">
        <v>0.09842164645552987</v>
      </c>
      <c r="M624" s="26" t="n">
        <v>260.479099906758</v>
      </c>
      <c r="N624" s="27" t="n">
        <v>0.1222198499574376</v>
      </c>
      <c r="O624" s="26" t="n">
        <v>223.0801197476956</v>
      </c>
      <c r="P624" s="27" t="n">
        <v>0.1182869001471273</v>
      </c>
      <c r="Q624" s="26" t="n">
        <v>245.7757271098942</v>
      </c>
      <c r="R624" s="27" t="n">
        <v>0.1642431476323324</v>
      </c>
      <c r="S624" s="26" t="n">
        <v>234.6540808994619</v>
      </c>
      <c r="T624" s="27" t="n">
        <v>0.1870038328872392</v>
      </c>
      <c r="U624" s="26" t="n">
        <v>249.4820663036054</v>
      </c>
      <c r="V624" s="27" t="n">
        <v>0.149236250440023</v>
      </c>
      <c r="W624" s="26" t="n">
        <v>252.2435199143508</v>
      </c>
      <c r="X624" s="27" t="n">
        <v>0.1243419032793406</v>
      </c>
      <c r="Y624" s="26" t="n">
        <v>234.6628006316867</v>
      </c>
      <c r="Z624" s="27" t="n">
        <v>0.08464996751595315</v>
      </c>
      <c r="AA624" s="26" t="n">
        <v>243.1221042981174</v>
      </c>
      <c r="AB624" s="27" t="n">
        <v>0.1674303245473541</v>
      </c>
    </row>
    <row r="625">
      <c r="A625" s="26" t="n">
        <v>237.9423070000615</v>
      </c>
      <c r="B625" s="27" t="n">
        <v>0.1532691632079031</v>
      </c>
      <c r="C625" s="26" t="n">
        <v>237.4098354047087</v>
      </c>
      <c r="D625" s="27" t="n">
        <v>0.1508220923318409</v>
      </c>
      <c r="E625" s="26" t="n">
        <v>262.8355671324574</v>
      </c>
      <c r="F625" s="27" t="n">
        <v>0.1202951440321234</v>
      </c>
      <c r="G625" s="26" t="n">
        <v>278.1713134261528</v>
      </c>
      <c r="H625" s="27" t="n">
        <v>0.09143373373546673</v>
      </c>
      <c r="I625" s="26" t="n">
        <v>281.6981462436632</v>
      </c>
      <c r="J625" s="27" t="n">
        <v>0.09152564637581891</v>
      </c>
      <c r="K625" s="26" t="n">
        <v>272.1743201188409</v>
      </c>
      <c r="L625" s="27" t="n">
        <v>0.09890056572178348</v>
      </c>
      <c r="M625" s="26" t="n">
        <v>260.5704056088438</v>
      </c>
      <c r="N625" s="27" t="n">
        <v>0.1227948894781413</v>
      </c>
      <c r="O625" s="26" t="n">
        <v>223.2045244417841</v>
      </c>
      <c r="P625" s="27" t="n">
        <v>0.1188293228199264</v>
      </c>
      <c r="Q625" s="26" t="n">
        <v>245.8698138855272</v>
      </c>
      <c r="R625" s="27" t="n">
        <v>0.1649376508291338</v>
      </c>
      <c r="S625" s="26" t="n">
        <v>234.7605045074932</v>
      </c>
      <c r="T625" s="27" t="n">
        <v>0.1877368571839046</v>
      </c>
      <c r="U625" s="26" t="n">
        <v>249.5671115980577</v>
      </c>
      <c r="V625" s="27" t="n">
        <v>0.1499020463946119</v>
      </c>
      <c r="W625" s="26" t="n">
        <v>252.3217054064036</v>
      </c>
      <c r="X625" s="27" t="n">
        <v>0.1249339604667868</v>
      </c>
      <c r="Y625" s="26" t="n">
        <v>234.7682417982935</v>
      </c>
      <c r="Z625" s="27" t="n">
        <v>0.0850228144105443</v>
      </c>
      <c r="AA625" s="26" t="n">
        <v>243.202291959824</v>
      </c>
      <c r="AB625" s="27" t="n">
        <v>0.1681435418061126</v>
      </c>
    </row>
    <row r="626">
      <c r="A626" s="26" t="n">
        <v>238.1080686632668</v>
      </c>
      <c r="B626" s="27" t="n">
        <v>0.1539050144424945</v>
      </c>
      <c r="C626" s="26" t="n">
        <v>237.5498849185235</v>
      </c>
      <c r="D626" s="27" t="n">
        <v>0.151469255780946</v>
      </c>
      <c r="E626" s="26" t="n">
        <v>262.9486247868141</v>
      </c>
      <c r="F626" s="27" t="n">
        <v>0.1208524435282374</v>
      </c>
      <c r="G626" s="26" t="n">
        <v>278.2580358567583</v>
      </c>
      <c r="H626" s="27" t="n">
        <v>0.09187422419463785</v>
      </c>
      <c r="I626" s="26" t="n">
        <v>281.7785306721632</v>
      </c>
      <c r="J626" s="27" t="n">
        <v>0.09196950514638576</v>
      </c>
      <c r="K626" s="26" t="n">
        <v>272.2505626131972</v>
      </c>
      <c r="L626" s="27" t="n">
        <v>0.09938159005574941</v>
      </c>
      <c r="M626" s="26" t="n">
        <v>260.6617113109297</v>
      </c>
      <c r="N626" s="27" t="n">
        <v>0.1233720123001844</v>
      </c>
      <c r="O626" s="26" t="n">
        <v>223.3289291358727</v>
      </c>
      <c r="P626" s="27" t="n">
        <v>0.1193740149149863</v>
      </c>
      <c r="Q626" s="26" t="n">
        <v>245.9639006611601</v>
      </c>
      <c r="R626" s="27" t="n">
        <v>0.1656336179949972</v>
      </c>
      <c r="S626" s="26" t="n">
        <v>234.8669281155246</v>
      </c>
      <c r="T626" s="27" t="n">
        <v>0.1884708811744266</v>
      </c>
      <c r="U626" s="26" t="n">
        <v>249.65215689251</v>
      </c>
      <c r="V626" s="27" t="n">
        <v>0.1505696549162586</v>
      </c>
      <c r="W626" s="26" t="n">
        <v>252.3998908984564</v>
      </c>
      <c r="X626" s="27" t="n">
        <v>0.1255282325387906</v>
      </c>
      <c r="Y626" s="26" t="n">
        <v>234.8736829649004</v>
      </c>
      <c r="Z626" s="27" t="n">
        <v>0.08539731934488572</v>
      </c>
      <c r="AA626" s="26" t="n">
        <v>243.2824796215306</v>
      </c>
      <c r="AB626" s="27" t="n">
        <v>0.1688582693453858</v>
      </c>
    </row>
    <row r="627">
      <c r="A627" s="26" t="n">
        <v>238.2738303264721</v>
      </c>
      <c r="B627" s="27" t="n">
        <v>0.1545424300584064</v>
      </c>
      <c r="C627" s="26" t="n">
        <v>237.6899344323382</v>
      </c>
      <c r="D627" s="27" t="n">
        <v>0.1521181649001911</v>
      </c>
      <c r="E627" s="26" t="n">
        <v>263.0616824411708</v>
      </c>
      <c r="F627" s="27" t="n">
        <v>0.1214117407067305</v>
      </c>
      <c r="G627" s="26" t="n">
        <v>278.3447582873639</v>
      </c>
      <c r="H627" s="27" t="n">
        <v>0.09231669862737883</v>
      </c>
      <c r="I627" s="26" t="n">
        <v>281.8589151006631</v>
      </c>
      <c r="J627" s="27" t="n">
        <v>0.09241536050337701</v>
      </c>
      <c r="K627" s="26" t="n">
        <v>272.3268051075536</v>
      </c>
      <c r="L627" s="27" t="n">
        <v>0.09986472516736442</v>
      </c>
      <c r="M627" s="26" t="n">
        <v>260.7530170130155</v>
      </c>
      <c r="N627" s="27" t="n">
        <v>0.1239512180492941</v>
      </c>
      <c r="O627" s="26" t="n">
        <v>223.4533338299613</v>
      </c>
      <c r="P627" s="27" t="n">
        <v>0.1199209821564981</v>
      </c>
      <c r="Q627" s="26" t="n">
        <v>246.057987436793</v>
      </c>
      <c r="R627" s="27" t="n">
        <v>0.1663310374822293</v>
      </c>
      <c r="S627" s="26" t="n">
        <v>234.973351723556</v>
      </c>
      <c r="T627" s="27" t="n">
        <v>0.1892058890161144</v>
      </c>
      <c r="U627" s="26" t="n">
        <v>249.7372021869623</v>
      </c>
      <c r="V627" s="27" t="n">
        <v>0.1512390683807104</v>
      </c>
      <c r="W627" s="26" t="n">
        <v>252.4780763905092</v>
      </c>
      <c r="X627" s="27" t="n">
        <v>0.1261247199662356</v>
      </c>
      <c r="Y627" s="26" t="n">
        <v>234.9791241315073</v>
      </c>
      <c r="Z627" s="27" t="n">
        <v>0.08577348970995242</v>
      </c>
      <c r="AA627" s="26" t="n">
        <v>243.3626672832372</v>
      </c>
      <c r="AB627" s="27" t="n">
        <v>0.1695744951794885</v>
      </c>
    </row>
    <row r="628">
      <c r="A628" s="26" t="n">
        <v>238.4395919896775</v>
      </c>
      <c r="B628" s="27" t="n">
        <v>0.1551814019229685</v>
      </c>
      <c r="C628" s="26" t="n">
        <v>237.829983946153</v>
      </c>
      <c r="D628" s="27" t="n">
        <v>0.1527688127075069</v>
      </c>
      <c r="E628" s="26" t="n">
        <v>263.1747400955276</v>
      </c>
      <c r="F628" s="27" t="n">
        <v>0.1219730351779719</v>
      </c>
      <c r="G628" s="26" t="n">
        <v>278.4314807179695</v>
      </c>
      <c r="H628" s="27" t="n">
        <v>0.09276116357178803</v>
      </c>
      <c r="I628" s="26" t="n">
        <v>281.9392995291631</v>
      </c>
      <c r="J628" s="27" t="n">
        <v>0.09286321880207955</v>
      </c>
      <c r="K628" s="26" t="n">
        <v>272.4030476019099</v>
      </c>
      <c r="L628" s="27" t="n">
        <v>0.1003499767232914</v>
      </c>
      <c r="M628" s="26" t="n">
        <v>260.8443227151013</v>
      </c>
      <c r="N628" s="27" t="n">
        <v>0.1245325062316414</v>
      </c>
      <c r="O628" s="26" t="n">
        <v>223.5777385240498</v>
      </c>
      <c r="P628" s="27" t="n">
        <v>0.120470230219118</v>
      </c>
      <c r="Q628" s="26" t="n">
        <v>246.152074212426</v>
      </c>
      <c r="R628" s="27" t="n">
        <v>0.1670298974799139</v>
      </c>
      <c r="S628" s="26" t="n">
        <v>235.0797753315873</v>
      </c>
      <c r="T628" s="27" t="n">
        <v>0.1899418647187285</v>
      </c>
      <c r="U628" s="26" t="n">
        <v>249.8222474814146</v>
      </c>
      <c r="V628" s="27" t="n">
        <v>0.1519102790004257</v>
      </c>
      <c r="W628" s="26" t="n">
        <v>252.556261882562</v>
      </c>
      <c r="X628" s="27" t="n">
        <v>0.126723423101944</v>
      </c>
      <c r="Y628" s="26" t="n">
        <v>235.0845652981143</v>
      </c>
      <c r="Z628" s="27" t="n">
        <v>0.08615133292864043</v>
      </c>
      <c r="AA628" s="26" t="n">
        <v>243.4428549449438</v>
      </c>
      <c r="AB628" s="27" t="n">
        <v>0.17029220715593</v>
      </c>
    </row>
    <row r="629">
      <c r="A629" s="26" t="n">
        <v>238.6053536528827</v>
      </c>
      <c r="B629" s="27" t="n">
        <v>0.1558219217476056</v>
      </c>
      <c r="C629" s="26" t="n">
        <v>237.9700334599678</v>
      </c>
      <c r="D629" s="27" t="n">
        <v>0.1534211920626293</v>
      </c>
      <c r="E629" s="26" t="n">
        <v>263.2877977498842</v>
      </c>
      <c r="F629" s="27" t="n">
        <v>0.1225363264372761</v>
      </c>
      <c r="G629" s="26" t="n">
        <v>278.518203148575</v>
      </c>
      <c r="H629" s="27" t="n">
        <v>0.09320762554527401</v>
      </c>
      <c r="I629" s="26" t="n">
        <v>282.019683957663</v>
      </c>
      <c r="J629" s="27" t="n">
        <v>0.09331308637250478</v>
      </c>
      <c r="K629" s="26" t="n">
        <v>272.4792900962663</v>
      </c>
      <c r="L629" s="27" t="n">
        <v>0.1008373503457247</v>
      </c>
      <c r="M629" s="26" t="n">
        <v>260.9356284171872</v>
      </c>
      <c r="N629" s="27" t="n">
        <v>0.1251158762322965</v>
      </c>
      <c r="O629" s="26" t="n">
        <v>223.7021432181384</v>
      </c>
      <c r="P629" s="27" t="n">
        <v>0.1210217647266635</v>
      </c>
      <c r="Q629" s="26" t="n">
        <v>246.246160988059</v>
      </c>
      <c r="R629" s="27" t="n">
        <v>0.1677301860134031</v>
      </c>
      <c r="S629" s="26" t="n">
        <v>235.1861989396187</v>
      </c>
      <c r="T629" s="27" t="n">
        <v>0.1906787921446568</v>
      </c>
      <c r="U629" s="26" t="n">
        <v>249.9072927758669</v>
      </c>
      <c r="V629" s="27" t="n">
        <v>0.1525832788235048</v>
      </c>
      <c r="W629" s="26" t="n">
        <v>252.6344473746148</v>
      </c>
      <c r="X629" s="27" t="n">
        <v>0.1273243421790468</v>
      </c>
      <c r="Y629" s="26" t="n">
        <v>235.1900064647212</v>
      </c>
      <c r="Z629" s="27" t="n">
        <v>0.08653085645586869</v>
      </c>
      <c r="AA629" s="26" t="n">
        <v>243.5230426066504</v>
      </c>
      <c r="AB629" s="27" t="n">
        <v>0.1710113929549205</v>
      </c>
    </row>
    <row r="630">
      <c r="A630" s="26" t="n">
        <v>238.7711153160881</v>
      </c>
      <c r="B630" s="27" t="n">
        <v>0.1564639810868312</v>
      </c>
      <c r="C630" s="26" t="n">
        <v>238.1100829737826</v>
      </c>
      <c r="D630" s="27" t="n">
        <v>0.1540752956659225</v>
      </c>
      <c r="E630" s="26" t="n">
        <v>263.400855404241</v>
      </c>
      <c r="F630" s="27" t="n">
        <v>0.1231016138633981</v>
      </c>
      <c r="G630" s="26" t="n">
        <v>278.6049255791806</v>
      </c>
      <c r="H630" s="27" t="n">
        <v>0.09365609104363756</v>
      </c>
      <c r="I630" s="26" t="n">
        <v>282.100068386163</v>
      </c>
      <c r="J630" s="27" t="n">
        <v>0.09376496951841004</v>
      </c>
      <c r="K630" s="26" t="n">
        <v>272.5555325906226</v>
      </c>
      <c r="L630" s="27" t="n">
        <v>0.1013268516111768</v>
      </c>
      <c r="M630" s="26" t="n">
        <v>261.026934119273</v>
      </c>
      <c r="N630" s="27" t="n">
        <v>0.1257013273136746</v>
      </c>
      <c r="O630" s="26" t="n">
        <v>223.8265479122269</v>
      </c>
      <c r="P630" s="27" t="n">
        <v>0.1215755912507911</v>
      </c>
      <c r="Q630" s="26" t="n">
        <v>246.3402477636919</v>
      </c>
      <c r="R630" s="27" t="n">
        <v>0.1684318909438211</v>
      </c>
      <c r="S630" s="26" t="n">
        <v>235.2926225476501</v>
      </c>
      <c r="T630" s="27" t="n">
        <v>0.1914166550091095</v>
      </c>
      <c r="U630" s="26" t="n">
        <v>249.9923380703192</v>
      </c>
      <c r="V630" s="27" t="n">
        <v>0.153258059732631</v>
      </c>
      <c r="W630" s="26" t="n">
        <v>252.7126328666675</v>
      </c>
      <c r="X630" s="27" t="n">
        <v>0.127927477309344</v>
      </c>
      <c r="Y630" s="26" t="n">
        <v>235.2954476313281</v>
      </c>
      <c r="Z630" s="27" t="n">
        <v>0.08691206777867976</v>
      </c>
      <c r="AA630" s="26" t="n">
        <v>243.603230268357</v>
      </c>
      <c r="AB630" s="27" t="n">
        <v>0.1717320400888951</v>
      </c>
    </row>
    <row r="631">
      <c r="A631" s="26" t="n">
        <v>238.9368769792934</v>
      </c>
      <c r="B631" s="27" t="n">
        <v>0.1571075713372477</v>
      </c>
      <c r="C631" s="26" t="n">
        <v>238.2501324875974</v>
      </c>
      <c r="D631" s="27" t="n">
        <v>0.1547311160572049</v>
      </c>
      <c r="E631" s="26" t="n">
        <v>263.5139130585977</v>
      </c>
      <c r="F631" s="27" t="n">
        <v>0.1236688967170185</v>
      </c>
      <c r="G631" s="26" t="n">
        <v>278.6916480097861</v>
      </c>
      <c r="H631" s="27" t="n">
        <v>0.09410656654013548</v>
      </c>
      <c r="I631" s="26" t="n">
        <v>282.1804528146629</v>
      </c>
      <c r="J631" s="27" t="n">
        <v>0.09421887451630426</v>
      </c>
      <c r="K631" s="26" t="n">
        <v>272.6317750849789</v>
      </c>
      <c r="L631" s="27" t="n">
        <v>0.1018184860492501</v>
      </c>
      <c r="M631" s="26" t="n">
        <v>261.1182398213588</v>
      </c>
      <c r="N631" s="27" t="n">
        <v>0.1262888586139733</v>
      </c>
      <c r="O631" s="26" t="n">
        <v>223.9509526063154</v>
      </c>
      <c r="P631" s="27" t="n">
        <v>0.1221317153096557</v>
      </c>
      <c r="Q631" s="26" t="n">
        <v>246.4343345393248</v>
      </c>
      <c r="R631" s="27" t="n">
        <v>0.1691349999675857</v>
      </c>
      <c r="S631" s="26" t="n">
        <v>235.3990461556815</v>
      </c>
      <c r="T631" s="27" t="n">
        <v>0.1921554368803331</v>
      </c>
      <c r="U631" s="26" t="n">
        <v>250.0773833647715</v>
      </c>
      <c r="V631" s="27" t="n">
        <v>0.1539346134440161</v>
      </c>
      <c r="W631" s="26" t="n">
        <v>252.7908183587204</v>
      </c>
      <c r="X631" s="27" t="n">
        <v>0.1285328284816525</v>
      </c>
      <c r="Y631" s="26" t="n">
        <v>235.400888797935</v>
      </c>
      <c r="Z631" s="27" t="n">
        <v>0.08729497441633914</v>
      </c>
      <c r="AA631" s="26" t="n">
        <v>243.6834179300636</v>
      </c>
      <c r="AB631" s="27" t="n">
        <v>0.1724541359020539</v>
      </c>
    </row>
    <row r="632">
      <c r="A632" s="26" t="n">
        <v>239.1026386424987</v>
      </c>
      <c r="B632" s="27" t="n">
        <v>0.1577526837365548</v>
      </c>
      <c r="C632" s="26" t="n">
        <v>238.3901820014122</v>
      </c>
      <c r="D632" s="27" t="n">
        <v>0.1553886456145802</v>
      </c>
      <c r="E632" s="26" t="n">
        <v>263.6269707129544</v>
      </c>
      <c r="F632" s="27" t="n">
        <v>0.1242381741392208</v>
      </c>
      <c r="G632" s="26" t="n">
        <v>278.7783704403918</v>
      </c>
      <c r="H632" s="27" t="n">
        <v>0.09455905848452827</v>
      </c>
      <c r="I632" s="26" t="n">
        <v>282.2608372431629</v>
      </c>
      <c r="J632" s="27" t="n">
        <v>0.09467480761443614</v>
      </c>
      <c r="K632" s="26" t="n">
        <v>272.7080175793353</v>
      </c>
      <c r="L632" s="27" t="n">
        <v>0.102312259141388</v>
      </c>
      <c r="M632" s="26" t="n">
        <v>261.2095455234447</v>
      </c>
      <c r="N632" s="27" t="n">
        <v>0.1268784691456002</v>
      </c>
      <c r="O632" s="26" t="n">
        <v>224.075357300404</v>
      </c>
      <c r="P632" s="27" t="n">
        <v>0.1226901423665477</v>
      </c>
      <c r="Q632" s="26" t="n">
        <v>246.5284213149578</v>
      </c>
      <c r="R632" s="27" t="n">
        <v>0.1698395006159404</v>
      </c>
      <c r="S632" s="26" t="n">
        <v>235.5054697637128</v>
      </c>
      <c r="T632" s="27" t="n">
        <v>0.1928951211798435</v>
      </c>
      <c r="U632" s="26" t="n">
        <v>250.1624286592238</v>
      </c>
      <c r="V632" s="27" t="n">
        <v>0.154612931506354</v>
      </c>
      <c r="W632" s="26" t="n">
        <v>252.8690038507732</v>
      </c>
      <c r="X632" s="27" t="n">
        <v>0.1291403955601428</v>
      </c>
      <c r="Y632" s="26" t="n">
        <v>235.5063299645419</v>
      </c>
      <c r="Z632" s="27" t="n">
        <v>0.08767958392043503</v>
      </c>
      <c r="AA632" s="26" t="n">
        <v>243.7636055917702</v>
      </c>
      <c r="AB632" s="27" t="n">
        <v>0.173177667569915</v>
      </c>
    </row>
    <row r="633">
      <c r="A633" s="26" t="n">
        <v>239.268400305704</v>
      </c>
      <c r="B633" s="27" t="n">
        <v>0.1583993093625625</v>
      </c>
      <c r="C633" s="26" t="n">
        <v>238.5302315152269</v>
      </c>
      <c r="D633" s="27" t="n">
        <v>0.1560478765532727</v>
      </c>
      <c r="E633" s="26" t="n">
        <v>263.7400283673112</v>
      </c>
      <c r="F633" s="27" t="n">
        <v>0.1248094451499574</v>
      </c>
      <c r="G633" s="26" t="n">
        <v>278.8650928709973</v>
      </c>
      <c r="H633" s="27" t="n">
        <v>0.09501357330211163</v>
      </c>
      <c r="I633" s="26" t="n">
        <v>282.3412216716628</v>
      </c>
      <c r="J633" s="27" t="n">
        <v>0.0951327750317664</v>
      </c>
      <c r="K633" s="26" t="n">
        <v>272.7842600736917</v>
      </c>
      <c r="L633" s="27" t="n">
        <v>0.1028081763196078</v>
      </c>
      <c r="M633" s="26" t="n">
        <v>261.3008512255305</v>
      </c>
      <c r="N633" s="27" t="n">
        <v>0.1274701577935922</v>
      </c>
      <c r="O633" s="26" t="n">
        <v>224.1997619944925</v>
      </c>
      <c r="P633" s="27" t="n">
        <v>0.1232508778285148</v>
      </c>
      <c r="Q633" s="26" t="n">
        <v>246.6225080905907</v>
      </c>
      <c r="R633" s="27" t="n">
        <v>0.1705453802545048</v>
      </c>
      <c r="S633" s="26" t="n">
        <v>235.6118933717442</v>
      </c>
      <c r="T633" s="27" t="n">
        <v>0.193635691182679</v>
      </c>
      <c r="U633" s="26" t="n">
        <v>250.2474739536761</v>
      </c>
      <c r="V633" s="27" t="n">
        <v>0.1552930052997817</v>
      </c>
      <c r="W633" s="26" t="n">
        <v>252.947189342826</v>
      </c>
      <c r="X633" s="27" t="n">
        <v>0.1297501782826665</v>
      </c>
      <c r="Y633" s="26" t="n">
        <v>235.6117711311488</v>
      </c>
      <c r="Z633" s="27" t="n">
        <v>0.0880659038749754</v>
      </c>
      <c r="AA633" s="26" t="n">
        <v>243.8437932534768</v>
      </c>
      <c r="AB633" s="27" t="n">
        <v>0.1739026220988842</v>
      </c>
    </row>
    <row r="634">
      <c r="A634" s="26" t="n">
        <v>239.4341619689093</v>
      </c>
      <c r="B634" s="27" t="n">
        <v>0.1590474391322125</v>
      </c>
      <c r="C634" s="26" t="n">
        <v>238.6702810290417</v>
      </c>
      <c r="D634" s="27" t="n">
        <v>0.1567088009244664</v>
      </c>
      <c r="E634" s="26" t="n">
        <v>263.8530860216679</v>
      </c>
      <c r="F634" s="27" t="n">
        <v>0.1253827086465076</v>
      </c>
      <c r="G634" s="26" t="n">
        <v>278.9518153016029</v>
      </c>
      <c r="H634" s="27" t="n">
        <v>0.09547011739273144</v>
      </c>
      <c r="I634" s="26" t="n">
        <v>282.4216061001628</v>
      </c>
      <c r="J634" s="27" t="n">
        <v>0.09559278295692214</v>
      </c>
      <c r="K634" s="26" t="n">
        <v>272.860502568048</v>
      </c>
      <c r="L634" s="27" t="n">
        <v>0.1033062429652189</v>
      </c>
      <c r="M634" s="26" t="n">
        <v>261.3921569276163</v>
      </c>
      <c r="N634" s="27" t="n">
        <v>0.1280639233140264</v>
      </c>
      <c r="O634" s="26" t="n">
        <v>224.3241666885811</v>
      </c>
      <c r="P634" s="27" t="n">
        <v>0.1238139270449594</v>
      </c>
      <c r="Q634" s="26" t="n">
        <v>246.7165948662237</v>
      </c>
      <c r="R634" s="27" t="n">
        <v>0.1712526260828382</v>
      </c>
      <c r="S634" s="26" t="n">
        <v>235.7183169797756</v>
      </c>
      <c r="T634" s="27" t="n">
        <v>0.1943771300176724</v>
      </c>
      <c r="U634" s="26" t="n">
        <v>250.3325192481284</v>
      </c>
      <c r="V634" s="27" t="n">
        <v>0.1559748260348482</v>
      </c>
      <c r="W634" s="26" t="n">
        <v>253.0253748348788</v>
      </c>
      <c r="X634" s="27" t="n">
        <v>0.1303621762590713</v>
      </c>
      <c r="Y634" s="26" t="n">
        <v>235.7172122977557</v>
      </c>
      <c r="Z634" s="27" t="n">
        <v>0.08845394189648573</v>
      </c>
      <c r="AA634" s="26" t="n">
        <v>243.9239809151834</v>
      </c>
      <c r="AB634" s="27" t="n">
        <v>0.1746289863258405</v>
      </c>
    </row>
    <row r="635">
      <c r="A635" s="26" t="n">
        <v>239.5999236321146</v>
      </c>
      <c r="B635" s="27" t="n">
        <v>0.1596970638006059</v>
      </c>
      <c r="C635" s="26" t="n">
        <v>238.8103305428565</v>
      </c>
      <c r="D635" s="27" t="n">
        <v>0.1573714106141502</v>
      </c>
      <c r="E635" s="26" t="n">
        <v>263.9661436760247</v>
      </c>
      <c r="F635" s="27" t="n">
        <v>0.1259579634019274</v>
      </c>
      <c r="G635" s="26" t="n">
        <v>279.0385377322085</v>
      </c>
      <c r="H635" s="27" t="n">
        <v>0.09592869712978087</v>
      </c>
      <c r="I635" s="26" t="n">
        <v>282.5019905286626</v>
      </c>
      <c r="J635" s="27" t="n">
        <v>0.09605483754713406</v>
      </c>
      <c r="K635" s="26" t="n">
        <v>272.9367450624044</v>
      </c>
      <c r="L635" s="27" t="n">
        <v>0.103806464407519</v>
      </c>
      <c r="M635" s="26" t="n">
        <v>261.4834626297022</v>
      </c>
      <c r="N635" s="27" t="n">
        <v>0.1286597643324211</v>
      </c>
      <c r="O635" s="26" t="n">
        <v>224.4485713826696</v>
      </c>
      <c r="P635" s="27" t="n">
        <v>0.1243792953062169</v>
      </c>
      <c r="Q635" s="26" t="n">
        <v>246.8106816418566</v>
      </c>
      <c r="R635" s="27" t="n">
        <v>0.1719612251340195</v>
      </c>
      <c r="S635" s="26" t="n">
        <v>235.824740587807</v>
      </c>
      <c r="T635" s="27" t="n">
        <v>0.1951194206677445</v>
      </c>
      <c r="U635" s="26" t="n">
        <v>250.4175645425807</v>
      </c>
      <c r="V635" s="27" t="n">
        <v>0.1566583847514915</v>
      </c>
      <c r="W635" s="26" t="n">
        <v>253.1035603269316</v>
      </c>
      <c r="X635" s="27" t="n">
        <v>0.1309763889695061</v>
      </c>
      <c r="Y635" s="26" t="n">
        <v>235.8226534643626</v>
      </c>
      <c r="Z635" s="27" t="n">
        <v>0.08884370563410429</v>
      </c>
      <c r="AA635" s="26" t="n">
        <v>244.00416857689</v>
      </c>
      <c r="AB635" s="27" t="n">
        <v>0.1753567469177394</v>
      </c>
    </row>
    <row r="636">
      <c r="A636" s="26" t="n">
        <v>239.7656852953199</v>
      </c>
      <c r="B636" s="27" t="n">
        <v>0.1603481739600385</v>
      </c>
      <c r="C636" s="26" t="n">
        <v>238.9503800566713</v>
      </c>
      <c r="D636" s="27" t="n">
        <v>0.1580356973419666</v>
      </c>
      <c r="E636" s="26" t="n">
        <v>264.0792013303814</v>
      </c>
      <c r="F636" s="27" t="n">
        <v>0.1265352080634888</v>
      </c>
      <c r="G636" s="26" t="n">
        <v>279.125260162814</v>
      </c>
      <c r="H636" s="27" t="n">
        <v>0.09638931885918023</v>
      </c>
      <c r="I636" s="26" t="n">
        <v>282.5823749571626</v>
      </c>
      <c r="J636" s="27" t="n">
        <v>0.09651894492715642</v>
      </c>
      <c r="K636" s="26" t="n">
        <v>273.0129875567607</v>
      </c>
      <c r="L636" s="27" t="n">
        <v>0.1043088459224741</v>
      </c>
      <c r="M636" s="26" t="n">
        <v>261.5747683317881</v>
      </c>
      <c r="N636" s="27" t="n">
        <v>0.1292576793421301</v>
      </c>
      <c r="O636" s="26" t="n">
        <v>224.5729760767582</v>
      </c>
      <c r="P636" s="27" t="n">
        <v>0.1249469878421174</v>
      </c>
      <c r="Q636" s="26" t="n">
        <v>246.9047684174896</v>
      </c>
      <c r="R636" s="27" t="n">
        <v>0.172671164274243</v>
      </c>
      <c r="S636" s="26" t="n">
        <v>235.9311641958383</v>
      </c>
      <c r="T636" s="27" t="n">
        <v>0.1958625459702158</v>
      </c>
      <c r="U636" s="26" t="n">
        <v>250.502609837033</v>
      </c>
      <c r="V636" s="27" t="n">
        <v>0.1573436723180242</v>
      </c>
      <c r="W636" s="26" t="n">
        <v>253.1817458189844</v>
      </c>
      <c r="X636" s="27" t="n">
        <v>0.1315928157627151</v>
      </c>
      <c r="Y636" s="26" t="n">
        <v>235.9280946309696</v>
      </c>
      <c r="Z636" s="27" t="n">
        <v>0.08923520276967725</v>
      </c>
      <c r="AA636" s="26" t="n">
        <v>244.0843562385966</v>
      </c>
      <c r="AB636" s="27" t="n">
        <v>0.1760858903712295</v>
      </c>
    </row>
    <row r="637">
      <c r="A637" s="26" t="n">
        <v>239.9314469585252</v>
      </c>
      <c r="B637" s="27" t="n">
        <v>0.1610007600390446</v>
      </c>
      <c r="C637" s="26" t="n">
        <v>239.090429570486</v>
      </c>
      <c r="D637" s="27" t="n">
        <v>0.1587016526600685</v>
      </c>
      <c r="E637" s="26" t="n">
        <v>264.192258984738</v>
      </c>
      <c r="F637" s="27" t="n">
        <v>0.1271144411511121</v>
      </c>
      <c r="G637" s="26" t="n">
        <v>279.2119825934196</v>
      </c>
      <c r="H637" s="27" t="n">
        <v>0.09685198889834093</v>
      </c>
      <c r="I637" s="26" t="n">
        <v>282.6627593856625</v>
      </c>
      <c r="J637" s="27" t="n">
        <v>0.09698511118816888</v>
      </c>
      <c r="K637" s="26" t="n">
        <v>273.0892300511171</v>
      </c>
      <c r="L637" s="27" t="n">
        <v>0.1048133927313767</v>
      </c>
      <c r="M637" s="26" t="n">
        <v>261.6660740338739</v>
      </c>
      <c r="N637" s="27" t="n">
        <v>0.1298576667027264</v>
      </c>
      <c r="O637" s="26" t="n">
        <v>224.6973807708467</v>
      </c>
      <c r="P637" s="27" t="n">
        <v>0.1255170098205209</v>
      </c>
      <c r="Q637" s="26" t="n">
        <v>246.9988551931226</v>
      </c>
      <c r="R637" s="27" t="n">
        <v>0.1733824302024294</v>
      </c>
      <c r="S637" s="26" t="n">
        <v>236.0375878038697</v>
      </c>
      <c r="T637" s="27" t="n">
        <v>0.1966064886171395</v>
      </c>
      <c r="U637" s="26" t="n">
        <v>250.5876551314853</v>
      </c>
      <c r="V637" s="27" t="n">
        <v>0.1580306794301268</v>
      </c>
      <c r="W637" s="26" t="n">
        <v>253.2599313110372</v>
      </c>
      <c r="X637" s="27" t="n">
        <v>0.1322114558543209</v>
      </c>
      <c r="Y637" s="26" t="n">
        <v>236.0335357975765</v>
      </c>
      <c r="Z637" s="27" t="n">
        <v>0.08962844101785242</v>
      </c>
      <c r="AA637" s="26" t="n">
        <v>244.1645439003032</v>
      </c>
      <c r="AB637" s="27" t="n">
        <v>0.1768164030122878</v>
      </c>
    </row>
    <row r="638">
      <c r="A638" s="26" t="n">
        <v>240.0972086217305</v>
      </c>
      <c r="B638" s="27" t="n">
        <v>0.1616548123014482</v>
      </c>
      <c r="C638" s="26" t="n">
        <v>239.2304790843008</v>
      </c>
      <c r="D638" s="27" t="n">
        <v>0.1593692679519786</v>
      </c>
      <c r="E638" s="26" t="n">
        <v>264.3053166390948</v>
      </c>
      <c r="F638" s="27" t="n">
        <v>0.1276956610557872</v>
      </c>
      <c r="G638" s="26" t="n">
        <v>279.2987050240251</v>
      </c>
      <c r="H638" s="27" t="n">
        <v>0.09731671353510964</v>
      </c>
      <c r="I638" s="26" t="n">
        <v>282.7431438141625</v>
      </c>
      <c r="J638" s="27" t="n">
        <v>0.09745334238666042</v>
      </c>
      <c r="K638" s="26" t="n">
        <v>273.1654725454734</v>
      </c>
      <c r="L638" s="27" t="n">
        <v>0.1053201099994906</v>
      </c>
      <c r="M638" s="26" t="n">
        <v>261.7573797359597</v>
      </c>
      <c r="N638" s="27" t="n">
        <v>0.1304597246383805</v>
      </c>
      <c r="O638" s="26" t="n">
        <v>224.8217854649353</v>
      </c>
      <c r="P638" s="27" t="n">
        <v>0.1260893663458364</v>
      </c>
      <c r="Q638" s="26" t="n">
        <v>247.0929419687555</v>
      </c>
      <c r="R638" s="27" t="n">
        <v>0.1740950094498546</v>
      </c>
      <c r="S638" s="26" t="n">
        <v>236.1440114119011</v>
      </c>
      <c r="T638" s="27" t="n">
        <v>0.1973512311556556</v>
      </c>
      <c r="U638" s="26" t="n">
        <v>250.6727004259376</v>
      </c>
      <c r="V638" s="27" t="n">
        <v>0.1587193966098518</v>
      </c>
      <c r="W638" s="26" t="n">
        <v>253.33811680309</v>
      </c>
      <c r="X638" s="27" t="n">
        <v>0.1328323083250997</v>
      </c>
      <c r="Y638" s="26" t="n">
        <v>236.1389769641834</v>
      </c>
      <c r="Z638" s="27" t="n">
        <v>0.09002342812617124</v>
      </c>
      <c r="AA638" s="26" t="n">
        <v>244.2447315620098</v>
      </c>
      <c r="AB638" s="27" t="n">
        <v>0.1775482709958735</v>
      </c>
    </row>
    <row r="639">
      <c r="A639" s="26" t="n">
        <v>240.2629702849358</v>
      </c>
      <c r="B639" s="27" t="n">
        <v>0.1623103208454229</v>
      </c>
      <c r="C639" s="26" t="n">
        <v>239.3705285981156</v>
      </c>
      <c r="D639" s="27" t="n">
        <v>0.1600385344314579</v>
      </c>
      <c r="E639" s="26" t="n">
        <v>264.4183742934516</v>
      </c>
      <c r="F639" s="27" t="n">
        <v>0.1282788660379884</v>
      </c>
      <c r="G639" s="26" t="n">
        <v>279.3854274546308</v>
      </c>
      <c r="H639" s="27" t="n">
        <v>0.0977834990266957</v>
      </c>
      <c r="I639" s="26" t="n">
        <v>282.8235282426624</v>
      </c>
      <c r="J639" s="27" t="n">
        <v>0.09792364454329541</v>
      </c>
      <c r="K639" s="26" t="n">
        <v>273.2417150398297</v>
      </c>
      <c r="L639" s="27" t="n">
        <v>0.1058290028346707</v>
      </c>
      <c r="M639" s="26" t="n">
        <v>261.8486854380455</v>
      </c>
      <c r="N639" s="27" t="n">
        <v>0.1310638512362285</v>
      </c>
      <c r="O639" s="26" t="n">
        <v>224.9461901590238</v>
      </c>
      <c r="P639" s="27" t="n">
        <v>0.126664062457518</v>
      </c>
      <c r="Q639" s="26" t="n">
        <v>247.1870287443884</v>
      </c>
      <c r="R639" s="27" t="n">
        <v>0.1748088883797939</v>
      </c>
      <c r="S639" s="26" t="n">
        <v>236.2504350199325</v>
      </c>
      <c r="T639" s="27" t="n">
        <v>0.198096755988364</v>
      </c>
      <c r="U639" s="26" t="n">
        <v>250.7577457203899</v>
      </c>
      <c r="V639" s="27" t="n">
        <v>0.159409814204636</v>
      </c>
      <c r="W639" s="26" t="n">
        <v>253.4163022951428</v>
      </c>
      <c r="X639" s="27" t="n">
        <v>0.1334553721192429</v>
      </c>
      <c r="Y639" s="26" t="n">
        <v>236.2444181307903</v>
      </c>
      <c r="Z639" s="27" t="n">
        <v>0.09042017187516059</v>
      </c>
      <c r="AA639" s="26" t="n">
        <v>244.3249192237164</v>
      </c>
      <c r="AB639" s="27" t="n">
        <v>0.1782814803055956</v>
      </c>
    </row>
    <row r="640">
      <c r="A640" s="26" t="n">
        <v>240.4287319481411</v>
      </c>
      <c r="B640" s="27" t="n">
        <v>0.1629672756025603</v>
      </c>
      <c r="C640" s="26" t="n">
        <v>239.5105781119304</v>
      </c>
      <c r="D640" s="27" t="n">
        <v>0.160709443141378</v>
      </c>
      <c r="E640" s="26" t="n">
        <v>264.5314319478083</v>
      </c>
      <c r="F640" s="27" t="n">
        <v>0.1288640542260797</v>
      </c>
      <c r="G640" s="26" t="n">
        <v>279.4721498852364</v>
      </c>
      <c r="H640" s="27" t="n">
        <v>0.09825235159858012</v>
      </c>
      <c r="I640" s="26" t="n">
        <v>282.9039126711624</v>
      </c>
      <c r="J640" s="27" t="n">
        <v>0.09839602364176077</v>
      </c>
      <c r="K640" s="26" t="n">
        <v>273.3179575341861</v>
      </c>
      <c r="L640" s="27" t="n">
        <v>0.1063400762859679</v>
      </c>
      <c r="M640" s="26" t="n">
        <v>261.9399911401314</v>
      </c>
      <c r="N640" s="27" t="n">
        <v>0.1316700444447325</v>
      </c>
      <c r="O640" s="26" t="n">
        <v>225.0705948531124</v>
      </c>
      <c r="P640" s="27" t="n">
        <v>0.1272411031285402</v>
      </c>
      <c r="Q640" s="26" t="n">
        <v>247.2811155200214</v>
      </c>
      <c r="R640" s="27" t="n">
        <v>0.1755240531871834</v>
      </c>
      <c r="S640" s="26" t="n">
        <v>236.3568586279638</v>
      </c>
      <c r="T640" s="27" t="n">
        <v>0.1988430453737205</v>
      </c>
      <c r="U640" s="26" t="n">
        <v>250.8427910148422</v>
      </c>
      <c r="V640" s="27" t="n">
        <v>0.1601019223863227</v>
      </c>
      <c r="W640" s="26" t="n">
        <v>253.4944877871956</v>
      </c>
      <c r="X640" s="27" t="n">
        <v>0.1340806460426103</v>
      </c>
      <c r="Y640" s="26" t="n">
        <v>236.3498592973972</v>
      </c>
      <c r="Z640" s="27" t="n">
        <v>0.09081868007842218</v>
      </c>
      <c r="AA640" s="26" t="n">
        <v>244.405106885423</v>
      </c>
      <c r="AB640" s="27" t="n">
        <v>0.1790160167534015</v>
      </c>
    </row>
    <row r="641">
      <c r="A641" s="26" t="n">
        <v>240.5944936113465</v>
      </c>
      <c r="B641" s="27" t="n">
        <v>0.1636256663369476</v>
      </c>
      <c r="C641" s="26" t="n">
        <v>239.6506276257451</v>
      </c>
      <c r="D641" s="27" t="n">
        <v>0.1613819849526023</v>
      </c>
      <c r="E641" s="26" t="n">
        <v>264.644489602165</v>
      </c>
      <c r="F641" s="27" t="n">
        <v>0.1294512236147126</v>
      </c>
      <c r="G641" s="26" t="n">
        <v>279.5588723158419</v>
      </c>
      <c r="H641" s="27" t="n">
        <v>0.09872327744340523</v>
      </c>
      <c r="I641" s="26" t="n">
        <v>282.9842970996623</v>
      </c>
      <c r="J641" s="27" t="n">
        <v>0.09887048562759473</v>
      </c>
      <c r="K641" s="26" t="n">
        <v>273.3942000285425</v>
      </c>
      <c r="L641" s="27" t="n">
        <v>0.106853335342211</v>
      </c>
      <c r="M641" s="26" t="n">
        <v>262.0312968422172</v>
      </c>
      <c r="N641" s="27" t="n">
        <v>0.1322783020720346</v>
      </c>
      <c r="O641" s="26" t="n">
        <v>225.1949995472009</v>
      </c>
      <c r="P641" s="27" t="n">
        <v>0.1278204932638513</v>
      </c>
      <c r="Q641" s="26" t="n">
        <v>247.3752022956543</v>
      </c>
      <c r="R641" s="27" t="n">
        <v>0.1762404898982991</v>
      </c>
      <c r="S641" s="26" t="n">
        <v>236.4632822359952</v>
      </c>
      <c r="T641" s="27" t="n">
        <v>0.1995900814264517</v>
      </c>
      <c r="U641" s="26" t="n">
        <v>250.9278363092946</v>
      </c>
      <c r="V641" s="27" t="n">
        <v>0.1607957111501931</v>
      </c>
      <c r="W641" s="26" t="n">
        <v>253.5726732792484</v>
      </c>
      <c r="X641" s="27" t="n">
        <v>0.1347081287609738</v>
      </c>
      <c r="Y641" s="26" t="n">
        <v>236.4553004640041</v>
      </c>
      <c r="Z641" s="27" t="n">
        <v>0.09121896058272114</v>
      </c>
      <c r="AA641" s="26" t="n">
        <v>244.4852945471296</v>
      </c>
      <c r="AB641" s="27" t="n">
        <v>0.1797518659792808</v>
      </c>
    </row>
    <row r="642">
      <c r="A642" s="26" t="n">
        <v>240.7602552745518</v>
      </c>
      <c r="B642" s="27" t="n">
        <v>0.1642854826442541</v>
      </c>
      <c r="C642" s="26" t="n">
        <v>239.7906771395599</v>
      </c>
      <c r="D642" s="27" t="n">
        <v>0.1620561505628721</v>
      </c>
      <c r="E642" s="26" t="n">
        <v>264.7575472565217</v>
      </c>
      <c r="F642" s="27" t="n">
        <v>0.1300403720632156</v>
      </c>
      <c r="G642" s="26" t="n">
        <v>279.6455947464475</v>
      </c>
      <c r="H642" s="27" t="n">
        <v>0.09919628271984797</v>
      </c>
      <c r="I642" s="26" t="n">
        <v>283.0646815281623</v>
      </c>
      <c r="J642" s="27" t="n">
        <v>0.09934703640699677</v>
      </c>
      <c r="K642" s="26" t="n">
        <v>273.4704425228988</v>
      </c>
      <c r="L642" s="27" t="n">
        <v>0.1073687849305735</v>
      </c>
      <c r="M642" s="26" t="n">
        <v>262.122602544303</v>
      </c>
      <c r="N642" s="27" t="n">
        <v>0.1328886217843016</v>
      </c>
      <c r="O642" s="26" t="n">
        <v>225.3194042412895</v>
      </c>
      <c r="P642" s="27" t="n">
        <v>0.1284022376988074</v>
      </c>
      <c r="Q642" s="26" t="n">
        <v>247.4692890712873</v>
      </c>
      <c r="R642" s="27" t="n">
        <v>0.1769581843704533</v>
      </c>
      <c r="S642" s="26" t="n">
        <v>236.5697058440266</v>
      </c>
      <c r="T642" s="27" t="n">
        <v>0.2003378461179927</v>
      </c>
      <c r="U642" s="26" t="n">
        <v>251.0128816037469</v>
      </c>
      <c r="V642" s="27" t="n">
        <v>0.1614911703140108</v>
      </c>
      <c r="W642" s="26" t="n">
        <v>253.6508587713012</v>
      </c>
      <c r="X642" s="27" t="n">
        <v>0.13533781879825</v>
      </c>
      <c r="Y642" s="26" t="n">
        <v>236.560741630611</v>
      </c>
      <c r="Z642" s="27" t="n">
        <v>0.09162102126807319</v>
      </c>
      <c r="AA642" s="26" t="n">
        <v>244.5654822088362</v>
      </c>
      <c r="AB642" s="27" t="n">
        <v>0.1804890134509902</v>
      </c>
    </row>
    <row r="643">
      <c r="A643" s="26" t="n">
        <v>240.9260169377571</v>
      </c>
      <c r="B643" s="27" t="n">
        <v>0.1649467139508287</v>
      </c>
      <c r="C643" s="26" t="n">
        <v>239.9307266533747</v>
      </c>
      <c r="D643" s="27" t="n">
        <v>0.1627319304957019</v>
      </c>
      <c r="E643" s="26" t="n">
        <v>264.8706049108785</v>
      </c>
      <c r="F643" s="27" t="n">
        <v>0.1306314972939745</v>
      </c>
      <c r="G643" s="26" t="n">
        <v>279.732317177053</v>
      </c>
      <c r="H643" s="27" t="n">
        <v>0.09967137355147192</v>
      </c>
      <c r="I643" s="26" t="n">
        <v>283.1450659566622</v>
      </c>
      <c r="J643" s="27" t="n">
        <v>0.09982568184561846</v>
      </c>
      <c r="K643" s="26" t="n">
        <v>273.5466850172552</v>
      </c>
      <c r="L643" s="27" t="n">
        <v>0.1078864299151167</v>
      </c>
      <c r="M643" s="26" t="n">
        <v>262.2139082463889</v>
      </c>
      <c r="N643" s="27" t="n">
        <v>0.1335010011040637</v>
      </c>
      <c r="O643" s="26" t="n">
        <v>225.443808935378</v>
      </c>
      <c r="P643" s="27" t="n">
        <v>0.1289863411975813</v>
      </c>
      <c r="Q643" s="26" t="n">
        <v>247.5633758469202</v>
      </c>
      <c r="R643" s="27" t="n">
        <v>0.1776771222917083</v>
      </c>
      <c r="S643" s="26" t="n">
        <v>236.676129452058</v>
      </c>
      <c r="T643" s="27" t="n">
        <v>0.2010863212769458</v>
      </c>
      <c r="U643" s="26" t="n">
        <v>251.0979268981992</v>
      </c>
      <c r="V643" s="27" t="n">
        <v>0.1621882895170724</v>
      </c>
      <c r="W643" s="26" t="n">
        <v>253.729044263354</v>
      </c>
      <c r="X643" s="27" t="n">
        <v>0.1359697145347239</v>
      </c>
      <c r="Y643" s="26" t="n">
        <v>236.6661827972179</v>
      </c>
      <c r="Z643" s="27" t="n">
        <v>0.09202487004783015</v>
      </c>
      <c r="AA643" s="26" t="n">
        <v>244.6456698705427</v>
      </c>
      <c r="AB643" s="27" t="n">
        <v>0.1812274444637946</v>
      </c>
    </row>
    <row r="644">
      <c r="A644" s="26" t="n">
        <v>241.0917786009624</v>
      </c>
      <c r="B644" s="27" t="n">
        <v>0.1656093495128045</v>
      </c>
      <c r="C644" s="26" t="n">
        <v>240.0707761671895</v>
      </c>
      <c r="D644" s="27" t="n">
        <v>0.1634093150992816</v>
      </c>
      <c r="E644" s="26" t="n">
        <v>264.9836625652351</v>
      </c>
      <c r="F644" s="27" t="n">
        <v>0.1312245968908064</v>
      </c>
      <c r="G644" s="26" t="n">
        <v>279.8190396076586</v>
      </c>
      <c r="H644" s="27" t="n">
        <v>0.1001485560255613</v>
      </c>
      <c r="I644" s="26" t="n">
        <v>283.2254503851622</v>
      </c>
      <c r="J644" s="27" t="n">
        <v>0.1003064277673348</v>
      </c>
      <c r="K644" s="26" t="n">
        <v>273.6229275116116</v>
      </c>
      <c r="L644" s="27" t="n">
        <v>0.1084062750953135</v>
      </c>
      <c r="M644" s="26" t="n">
        <v>262.3052139484747</v>
      </c>
      <c r="N644" s="27" t="n">
        <v>0.1341154374085449</v>
      </c>
      <c r="O644" s="26" t="n">
        <v>225.5682136294665</v>
      </c>
      <c r="P644" s="27" t="n">
        <v>0.129572808451552</v>
      </c>
      <c r="Q644" s="26" t="n">
        <v>247.6574626225532</v>
      </c>
      <c r="R644" s="27" t="n">
        <v>0.178397289180609</v>
      </c>
      <c r="S644" s="26" t="n">
        <v>236.7825530600894</v>
      </c>
      <c r="T644" s="27" t="n">
        <v>0.2018354885895612</v>
      </c>
      <c r="U644" s="26" t="n">
        <v>251.1829721926515</v>
      </c>
      <c r="V644" s="27" t="n">
        <v>0.1628870582192745</v>
      </c>
      <c r="W644" s="26" t="n">
        <v>253.8072297554068</v>
      </c>
      <c r="X644" s="27" t="n">
        <v>0.1366038142052618</v>
      </c>
      <c r="Y644" s="26" t="n">
        <v>236.7716239638248</v>
      </c>
      <c r="Z644" s="27" t="n">
        <v>0.09243051486876389</v>
      </c>
      <c r="AA644" s="26" t="n">
        <v>244.7258575322493</v>
      </c>
      <c r="AB644" s="27" t="n">
        <v>0.1819671441402272</v>
      </c>
    </row>
    <row r="645">
      <c r="A645" s="26" t="n">
        <v>241.2575402641677</v>
      </c>
      <c r="B645" s="27" t="n">
        <v>0.1662733784152174</v>
      </c>
      <c r="C645" s="26" t="n">
        <v>240.2108256810042</v>
      </c>
      <c r="D645" s="27" t="n">
        <v>0.1640882945453854</v>
      </c>
      <c r="E645" s="26" t="n">
        <v>265.0967202195918</v>
      </c>
      <c r="F645" s="27" t="n">
        <v>0.1318196682973263</v>
      </c>
      <c r="G645" s="26" t="n">
        <v>279.9057620382641</v>
      </c>
      <c r="H645" s="27" t="n">
        <v>0.1006278361919357</v>
      </c>
      <c r="I645" s="26" t="n">
        <v>283.305834813662</v>
      </c>
      <c r="J645" s="27" t="n">
        <v>0.1007892799529964</v>
      </c>
      <c r="K645" s="26" t="n">
        <v>273.6991700059679</v>
      </c>
      <c r="L645" s="27" t="n">
        <v>0.1089283252045546</v>
      </c>
      <c r="M645" s="26" t="n">
        <v>262.3965196505605</v>
      </c>
      <c r="N645" s="27" t="n">
        <v>0.1347319279279869</v>
      </c>
      <c r="O645" s="26" t="n">
        <v>225.6926183235551</v>
      </c>
      <c r="P645" s="27" t="n">
        <v>0.1301616440776719</v>
      </c>
      <c r="Q645" s="26" t="n">
        <v>247.7515493981861</v>
      </c>
      <c r="R645" s="27" t="n">
        <v>0.1791186703859337</v>
      </c>
      <c r="S645" s="26" t="n">
        <v>236.8889766681207</v>
      </c>
      <c r="T645" s="27" t="n">
        <v>0.2025853296002375</v>
      </c>
      <c r="U645" s="26" t="n">
        <v>251.2680174871038</v>
      </c>
      <c r="V645" s="27" t="n">
        <v>0.1635874657001874</v>
      </c>
      <c r="W645" s="26" t="n">
        <v>253.8854152474596</v>
      </c>
      <c r="X645" s="27" t="n">
        <v>0.1372401158975175</v>
      </c>
      <c r="Y645" s="26" t="n">
        <v>236.8770651304317</v>
      </c>
      <c r="Z645" s="27" t="n">
        <v>0.09283796371114879</v>
      </c>
      <c r="AA645" s="26" t="n">
        <v>244.8060451939559</v>
      </c>
      <c r="AB645" s="27" t="n">
        <v>0.1827080974298708</v>
      </c>
    </row>
    <row r="646">
      <c r="A646" s="26" t="n">
        <v>241.423301927373</v>
      </c>
      <c r="B646" s="27" t="n">
        <v>0.1669387895711322</v>
      </c>
      <c r="C646" s="26" t="n">
        <v>240.350875194819</v>
      </c>
      <c r="D646" s="27" t="n">
        <v>0.164768858828292</v>
      </c>
      <c r="E646" s="26" t="n">
        <v>265.2097778739486</v>
      </c>
      <c r="F646" s="27" t="n">
        <v>0.1324167088153037</v>
      </c>
      <c r="G646" s="26" t="n">
        <v>279.9924844688697</v>
      </c>
      <c r="H646" s="27" t="n">
        <v>0.1011092200617444</v>
      </c>
      <c r="I646" s="26" t="n">
        <v>283.386219242162</v>
      </c>
      <c r="J646" s="27" t="n">
        <v>0.1012742441391611</v>
      </c>
      <c r="K646" s="26" t="n">
        <v>273.7754125003243</v>
      </c>
      <c r="L646" s="27" t="n">
        <v>0.1094525849086323</v>
      </c>
      <c r="M646" s="26" t="n">
        <v>262.4878253526464</v>
      </c>
      <c r="N646" s="27" t="n">
        <v>0.1353504697439661</v>
      </c>
      <c r="O646" s="26" t="n">
        <v>225.8170230176436</v>
      </c>
      <c r="P646" s="27" t="n">
        <v>0.1307528526168097</v>
      </c>
      <c r="Q646" s="26" t="n">
        <v>247.8456361738191</v>
      </c>
      <c r="R646" s="27" t="n">
        <v>0.1798412510864624</v>
      </c>
      <c r="S646" s="26" t="n">
        <v>236.9954002761521</v>
      </c>
      <c r="T646" s="27" t="n">
        <v>0.2033358257120464</v>
      </c>
      <c r="U646" s="26" t="n">
        <v>251.3530627815561</v>
      </c>
      <c r="V646" s="27" t="n">
        <v>0.1642895010581427</v>
      </c>
      <c r="W646" s="26" t="n">
        <v>253.9636007395124</v>
      </c>
      <c r="X646" s="27" t="n">
        <v>0.137878617550126</v>
      </c>
      <c r="Y646" s="26" t="n">
        <v>236.9825062970386</v>
      </c>
      <c r="Z646" s="27" t="n">
        <v>0.09324722458884264</v>
      </c>
      <c r="AA646" s="26" t="n">
        <v>244.8862328556625</v>
      </c>
      <c r="AB646" s="27" t="n">
        <v>0.1834502891091558</v>
      </c>
    </row>
    <row r="647">
      <c r="A647" s="26" t="n">
        <v>241.5890635905783</v>
      </c>
      <c r="B647" s="27" t="n">
        <v>0.1676055717207809</v>
      </c>
      <c r="C647" s="26" t="n">
        <v>240.4909247086338</v>
      </c>
      <c r="D647" s="27" t="n">
        <v>0.1654509977637101</v>
      </c>
      <c r="E647" s="26" t="n">
        <v>265.3228355283053</v>
      </c>
      <c r="F647" s="27" t="n">
        <v>0.1330157156030146</v>
      </c>
      <c r="G647" s="26" t="n">
        <v>280.0792068994753</v>
      </c>
      <c r="H647" s="27" t="n">
        <v>0.1015927136062422</v>
      </c>
      <c r="I647" s="26" t="n">
        <v>283.4666036706619</v>
      </c>
      <c r="J647" s="27" t="n">
        <v>0.101761326016807</v>
      </c>
      <c r="K647" s="26" t="n">
        <v>273.8516549946806</v>
      </c>
      <c r="L647" s="27" t="n">
        <v>0.1099790588042042</v>
      </c>
      <c r="M647" s="26" t="n">
        <v>262.5791310547322</v>
      </c>
      <c r="N647" s="27" t="n">
        <v>0.1359710597877038</v>
      </c>
      <c r="O647" s="26" t="n">
        <v>225.9414277117322</v>
      </c>
      <c r="P647" s="27" t="n">
        <v>0.1313464385320728</v>
      </c>
      <c r="Q647" s="26" t="n">
        <v>247.939722949452</v>
      </c>
      <c r="R647" s="27" t="n">
        <v>0.180565016290767</v>
      </c>
      <c r="S647" s="26" t="n">
        <v>237.1018238841835</v>
      </c>
      <c r="T647" s="27" t="n">
        <v>0.2040869581872789</v>
      </c>
      <c r="U647" s="26" t="n">
        <v>251.4381080760084</v>
      </c>
      <c r="V647" s="27" t="n">
        <v>0.1649931532093331</v>
      </c>
      <c r="W647" s="26" t="n">
        <v>254.0417862315652</v>
      </c>
      <c r="X647" s="27" t="n">
        <v>0.1385193169508898</v>
      </c>
      <c r="Y647" s="26" t="n">
        <v>237.0879474636455</v>
      </c>
      <c r="Z647" s="27" t="n">
        <v>0.09365830554936509</v>
      </c>
      <c r="AA647" s="26" t="n">
        <v>244.9664205173692</v>
      </c>
      <c r="AB647" s="27" t="n">
        <v>0.1841937037811804</v>
      </c>
    </row>
    <row r="648">
      <c r="A648" s="26" t="n">
        <v>241.7548252537836</v>
      </c>
      <c r="B648" s="27" t="n">
        <v>0.1682737134307127</v>
      </c>
      <c r="C648" s="26" t="n">
        <v>240.6309742224486</v>
      </c>
      <c r="D648" s="27" t="n">
        <v>0.166134700987715</v>
      </c>
      <c r="E648" s="26" t="n">
        <v>265.4358931826621</v>
      </c>
      <c r="F648" s="27" t="n">
        <v>0.1336166856735855</v>
      </c>
      <c r="G648" s="26" t="n">
        <v>280.1659293300809</v>
      </c>
      <c r="H648" s="27" t="n">
        <v>0.102078322755543</v>
      </c>
      <c r="I648" s="26" t="n">
        <v>283.5469880991619</v>
      </c>
      <c r="J648" s="27" t="n">
        <v>0.1022505312300235</v>
      </c>
      <c r="K648" s="26" t="n">
        <v>273.9278974890369</v>
      </c>
      <c r="L648" s="27" t="n">
        <v>0.1105077514172352</v>
      </c>
      <c r="M648" s="26" t="n">
        <v>262.670436756818</v>
      </c>
      <c r="N648" s="27" t="n">
        <v>0.1365936948383698</v>
      </c>
      <c r="O648" s="26" t="n">
        <v>226.0658324058207</v>
      </c>
      <c r="P648" s="27" t="n">
        <v>0.1319424062071064</v>
      </c>
      <c r="Q648" s="26" t="n">
        <v>248.033809725085</v>
      </c>
      <c r="R648" s="27" t="n">
        <v>0.1812899508370168</v>
      </c>
      <c r="S648" s="26" t="n">
        <v>237.2082474922148</v>
      </c>
      <c r="T648" s="27" t="n">
        <v>0.2048387081480126</v>
      </c>
      <c r="U648" s="26" t="n">
        <v>251.5231533704607</v>
      </c>
      <c r="V648" s="27" t="n">
        <v>0.165698410886924</v>
      </c>
      <c r="W648" s="26" t="n">
        <v>254.119971723618</v>
      </c>
      <c r="X648" s="27" t="n">
        <v>0.1391622117349566</v>
      </c>
      <c r="Y648" s="26" t="n">
        <v>237.1933886302525</v>
      </c>
      <c r="Z648" s="27" t="n">
        <v>0.09407121467397542</v>
      </c>
      <c r="AA648" s="26" t="n">
        <v>245.0466081790757</v>
      </c>
      <c r="AB648" s="27" t="n">
        <v>0.1849383258755478</v>
      </c>
    </row>
    <row r="649">
      <c r="A649" s="26" t="n">
        <v>241.920586916989</v>
      </c>
      <c r="B649" s="27" t="n">
        <v>0.1689432030929544</v>
      </c>
      <c r="C649" s="26" t="n">
        <v>240.7710237362634</v>
      </c>
      <c r="D649" s="27" t="n">
        <v>0.1668199579556942</v>
      </c>
      <c r="E649" s="26" t="n">
        <v>265.5489508370188</v>
      </c>
      <c r="F649" s="27" t="n">
        <v>0.134219615893329</v>
      </c>
      <c r="G649" s="26" t="n">
        <v>280.2526517606865</v>
      </c>
      <c r="H649" s="27" t="n">
        <v>0.1025660533973562</v>
      </c>
      <c r="I649" s="26" t="n">
        <v>283.6273725276618</v>
      </c>
      <c r="J649" s="27" t="n">
        <v>0.1027418653746837</v>
      </c>
      <c r="K649" s="26" t="n">
        <v>274.0041399833933</v>
      </c>
      <c r="L649" s="27" t="n">
        <v>0.1110386672014225</v>
      </c>
      <c r="M649" s="26" t="n">
        <v>262.7617424589039</v>
      </c>
      <c r="N649" s="27" t="n">
        <v>0.1372183715213799</v>
      </c>
      <c r="O649" s="26" t="n">
        <v>226.1902370999093</v>
      </c>
      <c r="P649" s="27" t="n">
        <v>0.1325407599443687</v>
      </c>
      <c r="Q649" s="26" t="n">
        <v>248.1278965007179</v>
      </c>
      <c r="R649" s="27" t="n">
        <v>0.1820160393928069</v>
      </c>
      <c r="S649" s="26" t="n">
        <v>237.3146711002462</v>
      </c>
      <c r="T649" s="27" t="n">
        <v>0.2055910565767039</v>
      </c>
      <c r="U649" s="26" t="n">
        <v>251.608198664913</v>
      </c>
      <c r="V649" s="27" t="n">
        <v>0.166405262640177</v>
      </c>
      <c r="W649" s="26" t="n">
        <v>254.1981572156708</v>
      </c>
      <c r="X649" s="27" t="n">
        <v>0.1398072993829876</v>
      </c>
      <c r="Y649" s="26" t="n">
        <v>237.2988297968594</v>
      </c>
      <c r="Z649" s="27" t="n">
        <v>0.09448596007774679</v>
      </c>
      <c r="AA649" s="26" t="n">
        <v>245.1267958407823</v>
      </c>
      <c r="AB649" s="27" t="n">
        <v>0.1856841396482277</v>
      </c>
    </row>
    <row r="650">
      <c r="A650" s="26" t="n">
        <v>242.0863485801942</v>
      </c>
      <c r="B650" s="27" t="n">
        <v>0.1696140289241836</v>
      </c>
      <c r="C650" s="26" t="n">
        <v>240.9110732500782</v>
      </c>
      <c r="D650" s="27" t="n">
        <v>0.1675067579413015</v>
      </c>
      <c r="E650" s="26" t="n">
        <v>265.6620084913754</v>
      </c>
      <c r="F650" s="27" t="n">
        <v>0.1348245029800757</v>
      </c>
      <c r="G650" s="26" t="n">
        <v>280.339374191292</v>
      </c>
      <c r="H650" s="27" t="n">
        <v>0.1030559113756991</v>
      </c>
      <c r="I650" s="26" t="n">
        <v>283.7077569561618</v>
      </c>
      <c r="J650" s="27" t="n">
        <v>0.1032353339970944</v>
      </c>
      <c r="K650" s="26" t="n">
        <v>274.0803824777496</v>
      </c>
      <c r="L650" s="27" t="n">
        <v>0.1115718105365952</v>
      </c>
      <c r="M650" s="26" t="n">
        <v>262.8530481609898</v>
      </c>
      <c r="N650" s="27" t="n">
        <v>0.1378450863066862</v>
      </c>
      <c r="O650" s="26" t="n">
        <v>226.3146417939978</v>
      </c>
      <c r="P650" s="27" t="n">
        <v>0.1331415039633844</v>
      </c>
      <c r="Q650" s="26" t="n">
        <v>248.2219832763508</v>
      </c>
      <c r="R650" s="27" t="n">
        <v>0.1827432664550054</v>
      </c>
      <c r="S650" s="26" t="n">
        <v>237.4210947082776</v>
      </c>
      <c r="T650" s="27" t="n">
        <v>0.2063439843167995</v>
      </c>
      <c r="U650" s="26" t="n">
        <v>251.6932439593653</v>
      </c>
      <c r="V650" s="27" t="n">
        <v>0.1671136968335888</v>
      </c>
      <c r="W650" s="26" t="n">
        <v>254.2763427077236</v>
      </c>
      <c r="X650" s="27" t="n">
        <v>0.1404545772193167</v>
      </c>
      <c r="Y650" s="26" t="n">
        <v>237.4042709634663</v>
      </c>
      <c r="Z650" s="27" t="n">
        <v>0.09490254990964075</v>
      </c>
      <c r="AA650" s="26" t="n">
        <v>245.2069835024889</v>
      </c>
      <c r="AB650" s="27" t="n">
        <v>0.1864311291814348</v>
      </c>
    </row>
    <row r="651">
      <c r="A651" s="26" t="n">
        <v>242.2521102433996</v>
      </c>
      <c r="B651" s="27" t="n">
        <v>0.1702861789649144</v>
      </c>
      <c r="C651" s="26" t="n">
        <v>241.0511227638929</v>
      </c>
      <c r="D651" s="27" t="n">
        <v>0.1681950900354234</v>
      </c>
      <c r="E651" s="26" t="n">
        <v>265.7750661457322</v>
      </c>
      <c r="F651" s="27" t="n">
        <v>0.1354313435014957</v>
      </c>
      <c r="G651" s="26" t="n">
        <v>280.4260966218976</v>
      </c>
      <c r="H651" s="27" t="n">
        <v>0.1035479024895907</v>
      </c>
      <c r="I651" s="26" t="n">
        <v>283.7881413846617</v>
      </c>
      <c r="J651" s="27" t="n">
        <v>0.1037309425926267</v>
      </c>
      <c r="K651" s="26" t="n">
        <v>274.156624972106</v>
      </c>
      <c r="L651" s="27" t="n">
        <v>0.1121071857270961</v>
      </c>
      <c r="M651" s="26" t="n">
        <v>262.9443538630756</v>
      </c>
      <c r="N651" s="27" t="n">
        <v>0.1384738355070645</v>
      </c>
      <c r="O651" s="26" t="n">
        <v>226.4390464880864</v>
      </c>
      <c r="P651" s="27" t="n">
        <v>0.1337446423989744</v>
      </c>
      <c r="Q651" s="26" t="n">
        <v>248.3160700519838</v>
      </c>
      <c r="R651" s="27" t="n">
        <v>0.1834716163496199</v>
      </c>
      <c r="S651" s="26" t="n">
        <v>237.5275183163089</v>
      </c>
      <c r="T651" s="27" t="n">
        <v>0.2070974720733731</v>
      </c>
      <c r="U651" s="26" t="n">
        <v>251.7782892538176</v>
      </c>
      <c r="V651" s="27" t="n">
        <v>0.1678237016460413</v>
      </c>
      <c r="W651" s="26" t="n">
        <v>254.3545281997764</v>
      </c>
      <c r="X651" s="27" t="n">
        <v>0.1411040424101031</v>
      </c>
      <c r="Y651" s="26" t="n">
        <v>237.5097121300732</v>
      </c>
      <c r="Z651" s="27" t="n">
        <v>0.09532099235257743</v>
      </c>
      <c r="AA651" s="26" t="n">
        <v>245.2871711641955</v>
      </c>
      <c r="AB651" s="27" t="n">
        <v>0.1871792783835291</v>
      </c>
    </row>
    <row r="652">
      <c r="A652" s="26" t="n">
        <v>242.4178719066049</v>
      </c>
      <c r="B652" s="27" t="n">
        <v>0.1709596410786949</v>
      </c>
      <c r="C652" s="26" t="n">
        <v>241.1911722777077</v>
      </c>
      <c r="D652" s="27" t="n">
        <v>0.1688849431451528</v>
      </c>
      <c r="E652" s="26" t="n">
        <v>265.8881238000889</v>
      </c>
      <c r="F652" s="27" t="n">
        <v>0.1360401338734164</v>
      </c>
      <c r="G652" s="26" t="n">
        <v>280.5128190525032</v>
      </c>
      <c r="H652" s="27" t="n">
        <v>0.1040420324917244</v>
      </c>
      <c r="I652" s="26" t="n">
        <v>283.8685258131617</v>
      </c>
      <c r="J652" s="27" t="n">
        <v>0.1042286966043239</v>
      </c>
      <c r="K652" s="26" t="n">
        <v>274.2328674664624</v>
      </c>
      <c r="L652" s="27" t="n">
        <v>0.1126447970001389</v>
      </c>
      <c r="M652" s="26" t="n">
        <v>263.0356595651615</v>
      </c>
      <c r="N652" s="27" t="n">
        <v>0.1391046152763926</v>
      </c>
      <c r="O652" s="26" t="n">
        <v>226.5634511821749</v>
      </c>
      <c r="P652" s="27" t="n">
        <v>0.1343501792994599</v>
      </c>
      <c r="Q652" s="26" t="n">
        <v>248.4101568276168</v>
      </c>
      <c r="R652" s="27" t="n">
        <v>0.184201073231686</v>
      </c>
      <c r="S652" s="26" t="n">
        <v>237.6339419243403</v>
      </c>
      <c r="T652" s="27" t="n">
        <v>0.2078515004137848</v>
      </c>
      <c r="U652" s="26" t="n">
        <v>251.8633345482699</v>
      </c>
      <c r="V652" s="27" t="n">
        <v>0.1685352650699663</v>
      </c>
      <c r="W652" s="26" t="n">
        <v>254.4327136918292</v>
      </c>
      <c r="X652" s="27" t="n">
        <v>0.1417556919614729</v>
      </c>
      <c r="Y652" s="26" t="n">
        <v>237.6151532966801</v>
      </c>
      <c r="Z652" s="27" t="n">
        <v>0.09574129562350507</v>
      </c>
      <c r="AA652" s="26" t="n">
        <v>245.3673588259022</v>
      </c>
      <c r="AB652" s="27" t="n">
        <v>0.1879285709889399</v>
      </c>
    </row>
    <row r="653">
      <c r="A653" s="26" t="n">
        <v>242.5836335698102</v>
      </c>
      <c r="B653" s="27" t="n">
        <v>0.1716344029513172</v>
      </c>
      <c r="C653" s="26" t="n">
        <v>241.3312217915225</v>
      </c>
      <c r="D653" s="27" t="n">
        <v>0.169576305992777</v>
      </c>
      <c r="E653" s="26" t="n">
        <v>266.0011814544457</v>
      </c>
      <c r="F653" s="27" t="n">
        <v>0.1366508703581336</v>
      </c>
      <c r="G653" s="26" t="n">
        <v>280.5995414831087</v>
      </c>
      <c r="H653" s="27" t="n">
        <v>0.1045383070871165</v>
      </c>
      <c r="I653" s="26" t="n">
        <v>283.9489102416616</v>
      </c>
      <c r="J653" s="27" t="n">
        <v>0.1047286014214899</v>
      </c>
      <c r="K653" s="26" t="n">
        <v>274.3091099608187</v>
      </c>
      <c r="L653" s="27" t="n">
        <v>0.1131846485041483</v>
      </c>
      <c r="M653" s="26" t="n">
        <v>263.1269652672473</v>
      </c>
      <c r="N653" s="27" t="n">
        <v>0.1397374216079252</v>
      </c>
      <c r="O653" s="26" t="n">
        <v>226.6878558762634</v>
      </c>
      <c r="P653" s="27" t="n">
        <v>0.1349581186248472</v>
      </c>
      <c r="Q653" s="26" t="n">
        <v>248.5042436032497</v>
      </c>
      <c r="R653" s="27" t="n">
        <v>0.1849316210851751</v>
      </c>
      <c r="S653" s="26" t="n">
        <v>237.7403655323717</v>
      </c>
      <c r="T653" s="27" t="n">
        <v>0.2086060497683621</v>
      </c>
      <c r="U653" s="26" t="n">
        <v>251.9483798427222</v>
      </c>
      <c r="V653" s="27" t="n">
        <v>0.1692483749105257</v>
      </c>
      <c r="W653" s="26" t="n">
        <v>254.510899183882</v>
      </c>
      <c r="X653" s="27" t="n">
        <v>0.1424095227176565</v>
      </c>
      <c r="Y653" s="26" t="n">
        <v>237.7205944632871</v>
      </c>
      <c r="Z653" s="27" t="n">
        <v>0.09616346797346682</v>
      </c>
      <c r="AA653" s="26" t="n">
        <v>245.4475464876087</v>
      </c>
      <c r="AB653" s="27" t="n">
        <v>0.188678990558108</v>
      </c>
    </row>
    <row r="654">
      <c r="A654" s="26" t="n">
        <v>242.7493952330155</v>
      </c>
      <c r="B654" s="27" t="n">
        <v>0.1723104520900438</v>
      </c>
      <c r="C654" s="26" t="n">
        <v>241.4712713053373</v>
      </c>
      <c r="D654" s="27" t="n">
        <v>0.1702691671147732</v>
      </c>
      <c r="E654" s="26" t="n">
        <v>266.1142391088024</v>
      </c>
      <c r="F654" s="27" t="n">
        <v>0.1372635490627153</v>
      </c>
      <c r="G654" s="26" t="n">
        <v>280.6862639137144</v>
      </c>
      <c r="H654" s="27" t="n">
        <v>0.1050367319317381</v>
      </c>
      <c r="I654" s="26" t="n">
        <v>284.0292946701616</v>
      </c>
      <c r="J654" s="27" t="n">
        <v>0.1052306623782545</v>
      </c>
      <c r="K654" s="26" t="n">
        <v>274.3853524551751</v>
      </c>
      <c r="L654" s="27" t="n">
        <v>0.1137267443070754</v>
      </c>
      <c r="M654" s="26" t="n">
        <v>263.2182709693331</v>
      </c>
      <c r="N654" s="27" t="n">
        <v>0.1403722503325625</v>
      </c>
      <c r="O654" s="26" t="n">
        <v>226.812260570352</v>
      </c>
      <c r="P654" s="27" t="n">
        <v>0.1355684642449843</v>
      </c>
      <c r="Q654" s="26" t="n">
        <v>248.5983303788826</v>
      </c>
      <c r="R654" s="27" t="n">
        <v>0.1856632437229246</v>
      </c>
      <c r="S654" s="26" t="n">
        <v>237.8467891404031</v>
      </c>
      <c r="T654" s="27" t="n">
        <v>0.209361100431106</v>
      </c>
      <c r="U654" s="26" t="n">
        <v>252.0334251371746</v>
      </c>
      <c r="V654" s="27" t="n">
        <v>0.1699630187848025</v>
      </c>
      <c r="W654" s="26" t="n">
        <v>254.5890846759348</v>
      </c>
      <c r="X654" s="27" t="n">
        <v>0.1430655313591153</v>
      </c>
      <c r="Y654" s="26" t="n">
        <v>237.8260356298939</v>
      </c>
      <c r="Z654" s="27" t="n">
        <v>0.09658751768766487</v>
      </c>
      <c r="AA654" s="26" t="n">
        <v>245.5277341493153</v>
      </c>
      <c r="AB654" s="27" t="n">
        <v>0.1894305204774508</v>
      </c>
    </row>
    <row r="655">
      <c r="A655" s="26" t="n">
        <v>242.9151568962208</v>
      </c>
      <c r="B655" s="27" t="n">
        <v>0.1729877758228433</v>
      </c>
      <c r="C655" s="26" t="n">
        <v>241.611320819152</v>
      </c>
      <c r="D655" s="27" t="n">
        <v>0.1709635148608186</v>
      </c>
      <c r="E655" s="26" t="n">
        <v>266.2272967631591</v>
      </c>
      <c r="F655" s="27" t="n">
        <v>0.1378781659373025</v>
      </c>
      <c r="G655" s="26" t="n">
        <v>280.7729863443199</v>
      </c>
      <c r="H655" s="27" t="n">
        <v>0.1055373126311204</v>
      </c>
      <c r="I655" s="26" t="n">
        <v>284.1096790986614</v>
      </c>
      <c r="J655" s="27" t="n">
        <v>0.105734884752117</v>
      </c>
      <c r="K655" s="26" t="n">
        <v>274.4615949495314</v>
      </c>
      <c r="L655" s="27" t="n">
        <v>0.1142710883946907</v>
      </c>
      <c r="M655" s="26" t="n">
        <v>263.3095766714189</v>
      </c>
      <c r="N655" s="27" t="n">
        <v>0.1410090971171152</v>
      </c>
      <c r="O655" s="26" t="n">
        <v>226.9366652644405</v>
      </c>
      <c r="P655" s="27" t="n">
        <v>0.1361812199376951</v>
      </c>
      <c r="Q655" s="26" t="n">
        <v>248.6924171545156</v>
      </c>
      <c r="R655" s="27" t="n">
        <v>0.1863959247865887</v>
      </c>
      <c r="S655" s="26" t="n">
        <v>237.9532127484345</v>
      </c>
      <c r="T655" s="27" t="n">
        <v>0.2101166325604194</v>
      </c>
      <c r="U655" s="26" t="n">
        <v>252.1184704316268</v>
      </c>
      <c r="V655" s="27" t="n">
        <v>0.1706791841210124</v>
      </c>
      <c r="W655" s="26" t="n">
        <v>254.6672701679876</v>
      </c>
      <c r="X655" s="27" t="n">
        <v>0.1437237144006612</v>
      </c>
      <c r="Y655" s="26" t="n">
        <v>237.9314767965008</v>
      </c>
      <c r="Z655" s="27" t="n">
        <v>0.09701345308552313</v>
      </c>
      <c r="AA655" s="26" t="n">
        <v>245.6079218110219</v>
      </c>
      <c r="AB655" s="27" t="n">
        <v>0.1901831439593499</v>
      </c>
    </row>
    <row r="656">
      <c r="A656" s="26" t="n">
        <v>243.0809185594261</v>
      </c>
      <c r="B656" s="27" t="n">
        <v>0.1736663612976435</v>
      </c>
      <c r="C656" s="26" t="n">
        <v>241.7513703329668</v>
      </c>
      <c r="D656" s="27" t="n">
        <v>0.1716593373928103</v>
      </c>
      <c r="E656" s="26" t="n">
        <v>266.3403544175159</v>
      </c>
      <c r="F656" s="27" t="n">
        <v>0.1384947167734007</v>
      </c>
      <c r="G656" s="26" t="n">
        <v>280.8597087749255</v>
      </c>
      <c r="H656" s="27" t="n">
        <v>0.1060400547389407</v>
      </c>
      <c r="I656" s="26" t="n">
        <v>284.1900635271614</v>
      </c>
      <c r="J656" s="27" t="n">
        <v>0.1062412737624683</v>
      </c>
      <c r="K656" s="26" t="n">
        <v>274.5378374438877</v>
      </c>
      <c r="L656" s="27" t="n">
        <v>0.1148176846688589</v>
      </c>
      <c r="M656" s="26" t="n">
        <v>263.4008823735048</v>
      </c>
      <c r="N656" s="27" t="n">
        <v>0.1416479574625638</v>
      </c>
      <c r="O656" s="26" t="n">
        <v>227.0610699585291</v>
      </c>
      <c r="P656" s="27" t="n">
        <v>0.1367963893868903</v>
      </c>
      <c r="Q656" s="26" t="n">
        <v>248.7865039301486</v>
      </c>
      <c r="R656" s="27" t="n">
        <v>0.1871296477466104</v>
      </c>
      <c r="S656" s="26" t="n">
        <v>238.0596363564658</v>
      </c>
      <c r="T656" s="27" t="n">
        <v>0.2108726261798583</v>
      </c>
      <c r="U656" s="26" t="n">
        <v>252.2035157260791</v>
      </c>
      <c r="V656" s="27" t="n">
        <v>0.1713968581577253</v>
      </c>
      <c r="W656" s="26" t="n">
        <v>254.7454556600404</v>
      </c>
      <c r="X656" s="27" t="n">
        <v>0.1443840681895704</v>
      </c>
      <c r="Y656" s="26" t="n">
        <v>238.0369179631078</v>
      </c>
      <c r="Z656" s="27" t="n">
        <v>0.09744128252074657</v>
      </c>
      <c r="AA656" s="26" t="n">
        <v>245.6881094727285</v>
      </c>
      <c r="AB656" s="27" t="n">
        <v>0.190936844042162</v>
      </c>
    </row>
    <row r="657">
      <c r="A657" s="26" t="n">
        <v>243.2466802226314</v>
      </c>
      <c r="B657" s="27" t="n">
        <v>0.174346195481598</v>
      </c>
      <c r="C657" s="26" t="n">
        <v>241.8914198467816</v>
      </c>
      <c r="D657" s="27" t="n">
        <v>0.1723566226838982</v>
      </c>
      <c r="E657" s="26" t="n">
        <v>266.4534120718725</v>
      </c>
      <c r="F657" s="27" t="n">
        <v>0.1391131972021696</v>
      </c>
      <c r="G657" s="26" t="n">
        <v>280.946431205531</v>
      </c>
      <c r="H657" s="27" t="n">
        <v>0.1065449637555849</v>
      </c>
      <c r="I657" s="26" t="n">
        <v>284.2704479556613</v>
      </c>
      <c r="J657" s="27" t="n">
        <v>0.1067498345690907</v>
      </c>
      <c r="K657" s="26" t="n">
        <v>274.6140799382441</v>
      </c>
      <c r="L657" s="27" t="n">
        <v>0.1153665369457882</v>
      </c>
      <c r="M657" s="26" t="n">
        <v>263.4921880755906</v>
      </c>
      <c r="N657" s="27" t="n">
        <v>0.142288826702313</v>
      </c>
      <c r="O657" s="26" t="n">
        <v>227.1854746526176</v>
      </c>
      <c r="P657" s="27" t="n">
        <v>0.1374139761806518</v>
      </c>
      <c r="Q657" s="26" t="n">
        <v>248.8805907057815</v>
      </c>
      <c r="R657" s="27" t="n">
        <v>0.1878643959022173</v>
      </c>
      <c r="S657" s="26" t="n">
        <v>238.1660599644972</v>
      </c>
      <c r="T657" s="27" t="n">
        <v>0.2116290611789093</v>
      </c>
      <c r="U657" s="26" t="n">
        <v>252.2885610205315</v>
      </c>
      <c r="V657" s="27" t="n">
        <v>0.1721160279431058</v>
      </c>
      <c r="W657" s="26" t="n">
        <v>254.8236411520932</v>
      </c>
      <c r="X657" s="27" t="n">
        <v>0.1450465889036886</v>
      </c>
      <c r="Y657" s="26" t="n">
        <v>238.1423591297146</v>
      </c>
      <c r="Z657" s="27" t="n">
        <v>0.09787101438137841</v>
      </c>
      <c r="AA657" s="26" t="n">
        <v>245.7682971344351</v>
      </c>
      <c r="AB657" s="27" t="n">
        <v>0.1916916035902506</v>
      </c>
    </row>
    <row r="658">
      <c r="A658" s="26" t="n">
        <v>243.4124418858368</v>
      </c>
      <c r="B658" s="27" t="n">
        <v>0.1750272651603662</v>
      </c>
      <c r="C658" s="26" t="n">
        <v>242.0314693605964</v>
      </c>
      <c r="D658" s="27" t="n">
        <v>0.1730553585175308</v>
      </c>
      <c r="E658" s="26" t="n">
        <v>266.5664697262293</v>
      </c>
      <c r="F658" s="27" t="n">
        <v>0.1397336026927053</v>
      </c>
      <c r="G658" s="26" t="n">
        <v>281.0331536361366</v>
      </c>
      <c r="H658" s="27" t="n">
        <v>0.1070520451266884</v>
      </c>
      <c r="I658" s="26" t="n">
        <v>284.3508323841613</v>
      </c>
      <c r="J658" s="27" t="n">
        <v>0.1072605722706344</v>
      </c>
      <c r="K658" s="26" t="n">
        <v>274.6903224326005</v>
      </c>
      <c r="L658" s="27" t="n">
        <v>0.1159176489542589</v>
      </c>
      <c r="M658" s="26" t="n">
        <v>263.5834937776764</v>
      </c>
      <c r="N658" s="27" t="n">
        <v>0.1429317000004436</v>
      </c>
      <c r="O658" s="26" t="n">
        <v>227.3098793467062</v>
      </c>
      <c r="P658" s="27" t="n">
        <v>0.1380339838092939</v>
      </c>
      <c r="Q658" s="26" t="n">
        <v>248.9746774814145</v>
      </c>
      <c r="R658" s="27" t="n">
        <v>0.188600152381438</v>
      </c>
      <c r="S658" s="26" t="n">
        <v>238.2724835725286</v>
      </c>
      <c r="T658" s="27" t="n">
        <v>0.2123859173137881</v>
      </c>
      <c r="U658" s="26" t="n">
        <v>252.3736063149838</v>
      </c>
      <c r="V658" s="27" t="n">
        <v>0.1728366803341683</v>
      </c>
      <c r="W658" s="26" t="n">
        <v>254.901826644146</v>
      </c>
      <c r="X658" s="27" t="n">
        <v>0.1457112725495305</v>
      </c>
      <c r="Y658" s="26" t="n">
        <v>238.2478002963215</v>
      </c>
      <c r="Z658" s="27" t="n">
        <v>0.0983026570898545</v>
      </c>
      <c r="AA658" s="26" t="n">
        <v>245.8484847961417</v>
      </c>
      <c r="AB658" s="27" t="n">
        <v>0.1924474052940405</v>
      </c>
    </row>
    <row r="659">
      <c r="A659" s="26" t="n">
        <v>243.578203549042</v>
      </c>
      <c r="B659" s="27" t="n">
        <v>0.175709556937411</v>
      </c>
      <c r="C659" s="26" t="n">
        <v>242.1715188744111</v>
      </c>
      <c r="D659" s="27" t="n">
        <v>0.1737555324865134</v>
      </c>
      <c r="E659" s="26" t="n">
        <v>266.679527380586</v>
      </c>
      <c r="F659" s="27" t="n">
        <v>0.1403559285503188</v>
      </c>
      <c r="G659" s="26" t="n">
        <v>281.1198760667422</v>
      </c>
      <c r="H659" s="27" t="n">
        <v>0.1075613042416512</v>
      </c>
      <c r="I659" s="26" t="n">
        <v>284.4312168126612</v>
      </c>
      <c r="J659" s="27" t="n">
        <v>0.107773491903072</v>
      </c>
      <c r="K659" s="26" t="n">
        <v>274.7665649269568</v>
      </c>
      <c r="L659" s="27" t="n">
        <v>0.1164710243338284</v>
      </c>
      <c r="M659" s="26" t="n">
        <v>263.6747994797622</v>
      </c>
      <c r="N659" s="27" t="n">
        <v>0.1435765723499589</v>
      </c>
      <c r="O659" s="26" t="n">
        <v>227.4342840407947</v>
      </c>
      <c r="P659" s="27" t="n">
        <v>0.138656415663399</v>
      </c>
      <c r="Q659" s="26" t="n">
        <v>249.0687642570474</v>
      </c>
      <c r="R659" s="27" t="n">
        <v>0.1893369001411409</v>
      </c>
      <c r="S659" s="26" t="n">
        <v>238.37890718056</v>
      </c>
      <c r="T659" s="27" t="n">
        <v>0.213143174208263</v>
      </c>
      <c r="U659" s="26" t="n">
        <v>252.458651609436</v>
      </c>
      <c r="V659" s="27" t="n">
        <v>0.1735588019960494</v>
      </c>
      <c r="W659" s="26" t="n">
        <v>254.9800121361989</v>
      </c>
      <c r="X659" s="27" t="n">
        <v>0.1463781149603715</v>
      </c>
      <c r="Y659" s="26" t="n">
        <v>238.3532414629285</v>
      </c>
      <c r="Z659" s="27" t="n">
        <v>0.09873621910305511</v>
      </c>
      <c r="AA659" s="26" t="n">
        <v>245.9286724578483</v>
      </c>
      <c r="AB659" s="27" t="n">
        <v>0.1932042316700987</v>
      </c>
    </row>
    <row r="660">
      <c r="A660" s="26" t="n">
        <v>243.7439652122474</v>
      </c>
      <c r="B660" s="27" t="n">
        <v>0.1763930572333102</v>
      </c>
      <c r="C660" s="26" t="n">
        <v>242.3115683882259</v>
      </c>
      <c r="D660" s="27" t="n">
        <v>0.1744571319920807</v>
      </c>
      <c r="E660" s="26" t="n">
        <v>266.7925850349428</v>
      </c>
      <c r="F660" s="27" t="n">
        <v>0.1409801699148108</v>
      </c>
      <c r="G660" s="26" t="n">
        <v>281.2065984973477</v>
      </c>
      <c r="H660" s="27" t="n">
        <v>0.1080727464321349</v>
      </c>
      <c r="I660" s="26" t="n">
        <v>284.5116012411612</v>
      </c>
      <c r="J660" s="27" t="n">
        <v>0.1082885984381296</v>
      </c>
      <c r="K660" s="26" t="n">
        <v>274.8428074213132</v>
      </c>
      <c r="L660" s="27" t="n">
        <v>0.1170266666330161</v>
      </c>
      <c r="M660" s="26" t="n">
        <v>263.7661051818481</v>
      </c>
      <c r="N660" s="27" t="n">
        <v>0.144223438571028</v>
      </c>
      <c r="O660" s="26" t="n">
        <v>227.5586887348833</v>
      </c>
      <c r="P660" s="27" t="n">
        <v>0.1392812750318285</v>
      </c>
      <c r="Q660" s="26" t="n">
        <v>249.1628510326804</v>
      </c>
      <c r="R660" s="27" t="n">
        <v>0.1900746219670977</v>
      </c>
      <c r="S660" s="26" t="n">
        <v>238.4853307885913</v>
      </c>
      <c r="T660" s="27" t="n">
        <v>0.2139008113545029</v>
      </c>
      <c r="U660" s="26" t="n">
        <v>252.5436969038883</v>
      </c>
      <c r="V660" s="27" t="n">
        <v>0.1742823794012965</v>
      </c>
      <c r="W660" s="26" t="n">
        <v>255.0581976282517</v>
      </c>
      <c r="X660" s="27" t="n">
        <v>0.1470471117943332</v>
      </c>
      <c r="Y660" s="26" t="n">
        <v>238.4586826295354</v>
      </c>
      <c r="Z660" s="27" t="n">
        <v>0.09917170891235334</v>
      </c>
      <c r="AA660" s="26" t="n">
        <v>246.0088601195549</v>
      </c>
      <c r="AB660" s="27" t="n">
        <v>0.1939620650612355</v>
      </c>
    </row>
    <row r="661">
      <c r="A661" s="26" t="n">
        <v>243.9097268754527</v>
      </c>
      <c r="B661" s="27" t="n">
        <v>0.1770777522850839</v>
      </c>
      <c r="C661" s="26" t="n">
        <v>242.4516179020407</v>
      </c>
      <c r="D661" s="27" t="n">
        <v>0.1751601442429813</v>
      </c>
      <c r="E661" s="26" t="n">
        <v>266.9056426892995</v>
      </c>
      <c r="F661" s="27" t="n">
        <v>0.1416063217587393</v>
      </c>
      <c r="G661" s="26" t="n">
        <v>281.2933209279533</v>
      </c>
      <c r="H661" s="27" t="n">
        <v>0.1085863769705321</v>
      </c>
      <c r="I661" s="26" t="n">
        <v>284.5919856696611</v>
      </c>
      <c r="J661" s="27" t="n">
        <v>0.1088058967816944</v>
      </c>
      <c r="K661" s="26" t="n">
        <v>274.9190499156695</v>
      </c>
      <c r="L661" s="27" t="n">
        <v>0.1175845793074636</v>
      </c>
      <c r="M661" s="26" t="n">
        <v>263.8574108839339</v>
      </c>
      <c r="N661" s="27" t="n">
        <v>0.1448722933092262</v>
      </c>
      <c r="O661" s="26" t="n">
        <v>227.6830934289718</v>
      </c>
      <c r="P661" s="27" t="n">
        <v>0.1399085650997085</v>
      </c>
      <c r="Q661" s="26" t="n">
        <v>249.2569378083133</v>
      </c>
      <c r="R661" s="27" t="n">
        <v>0.1908133004740681</v>
      </c>
      <c r="S661" s="26" t="n">
        <v>238.5917543966227</v>
      </c>
      <c r="T661" s="27" t="n">
        <v>0.21465880811395</v>
      </c>
      <c r="U661" s="26" t="n">
        <v>252.6287421983407</v>
      </c>
      <c r="V661" s="27" t="n">
        <v>0.1750073988291748</v>
      </c>
      <c r="W661" s="26" t="n">
        <v>255.1363831203045</v>
      </c>
      <c r="X661" s="27" t="n">
        <v>0.1477182585324652</v>
      </c>
      <c r="Y661" s="26" t="n">
        <v>238.5641237961423</v>
      </c>
      <c r="Z661" s="27" t="n">
        <v>0.0996091350436612</v>
      </c>
      <c r="AA661" s="26" t="n">
        <v>246.0890477812615</v>
      </c>
      <c r="AB661" s="27" t="n">
        <v>0.1947208876366313</v>
      </c>
    </row>
    <row r="662">
      <c r="A662" s="26" t="n">
        <v>244.075488538658</v>
      </c>
      <c r="B662" s="27" t="n">
        <v>0.1777636281455396</v>
      </c>
      <c r="C662" s="26" t="n">
        <v>242.5916674158555</v>
      </c>
      <c r="D662" s="27" t="n">
        <v>0.1758645562545791</v>
      </c>
      <c r="E662" s="26" t="n">
        <v>267.0187003436562</v>
      </c>
      <c r="F662" s="27" t="n">
        <v>0.1422343788856865</v>
      </c>
      <c r="G662" s="26" t="n">
        <v>281.3800433585589</v>
      </c>
      <c r="H662" s="27" t="n">
        <v>0.1091022010684131</v>
      </c>
      <c r="I662" s="26" t="n">
        <v>284.6723700981611</v>
      </c>
      <c r="J662" s="27" t="n">
        <v>0.1093253917721996</v>
      </c>
      <c r="K662" s="26" t="n">
        <v>274.9952924100259</v>
      </c>
      <c r="L662" s="27" t="n">
        <v>0.1181447657180724</v>
      </c>
      <c r="M662" s="26" t="n">
        <v>263.9487165860198</v>
      </c>
      <c r="N662" s="27" t="n">
        <v>0.1455231310337718</v>
      </c>
      <c r="O662" s="26" t="n">
        <v>227.8074981230604</v>
      </c>
      <c r="P662" s="27" t="n">
        <v>0.1405382889463901</v>
      </c>
      <c r="Q662" s="26" t="n">
        <v>249.3510245839462</v>
      </c>
      <c r="R662" s="27" t="n">
        <v>0.1915529181059093</v>
      </c>
      <c r="S662" s="26" t="n">
        <v>238.6981780046541</v>
      </c>
      <c r="T662" s="27" t="n">
        <v>0.2154171437182155</v>
      </c>
      <c r="U662" s="26" t="n">
        <v>252.713787492793</v>
      </c>
      <c r="V662" s="27" t="n">
        <v>0.1757338463649891</v>
      </c>
      <c r="W662" s="26" t="n">
        <v>255.2145686123573</v>
      </c>
      <c r="X662" s="27" t="n">
        <v>0.1483915504768179</v>
      </c>
      <c r="Y662" s="26" t="n">
        <v>238.6695649627492</v>
      </c>
      <c r="Z662" s="27" t="n">
        <v>0.1000485060574723</v>
      </c>
      <c r="AA662" s="26" t="n">
        <v>246.1692354429681</v>
      </c>
      <c r="AB662" s="27" t="n">
        <v>0.1954806813919866</v>
      </c>
    </row>
    <row r="663">
      <c r="A663" s="26" t="n">
        <v>244.2412502018633</v>
      </c>
      <c r="B663" s="27" t="n">
        <v>0.1784506706826321</v>
      </c>
      <c r="C663" s="26" t="n">
        <v>242.7317169296703</v>
      </c>
      <c r="D663" s="27" t="n">
        <v>0.1765703548479669</v>
      </c>
      <c r="E663" s="26" t="n">
        <v>267.131757998013</v>
      </c>
      <c r="F663" s="27" t="n">
        <v>0.1428643359285194</v>
      </c>
      <c r="G663" s="26" t="n">
        <v>281.4667657891645</v>
      </c>
      <c r="H663" s="27" t="n">
        <v>0.10962022387495</v>
      </c>
      <c r="I663" s="26" t="n">
        <v>284.752754526661</v>
      </c>
      <c r="J663" s="27" t="n">
        <v>0.1098470881789849</v>
      </c>
      <c r="K663" s="26" t="n">
        <v>275.0715349043822</v>
      </c>
      <c r="L663" s="27" t="n">
        <v>0.118707229129118</v>
      </c>
      <c r="M663" s="26" t="n">
        <v>264.0400222881056</v>
      </c>
      <c r="N663" s="27" t="n">
        <v>0.1461759460357598</v>
      </c>
      <c r="O663" s="26" t="n">
        <v>227.9319028171489</v>
      </c>
      <c r="P663" s="27" t="n">
        <v>0.1411704495433839</v>
      </c>
      <c r="Q663" s="26" t="n">
        <v>249.4451113595792</v>
      </c>
      <c r="R663" s="27" t="n">
        <v>0.1922934571357088</v>
      </c>
      <c r="S663" s="26" t="n">
        <v>238.8046016126855</v>
      </c>
      <c r="T663" s="27" t="n">
        <v>0.2161757972699994</v>
      </c>
      <c r="U663" s="26" t="n">
        <v>252.7988327872453</v>
      </c>
      <c r="V663" s="27" t="n">
        <v>0.1764617078994281</v>
      </c>
      <c r="W663" s="26" t="n">
        <v>255.2927541044101</v>
      </c>
      <c r="X663" s="27" t="n">
        <v>0.1490669827485109</v>
      </c>
      <c r="Y663" s="26" t="n">
        <v>238.7750061293561</v>
      </c>
      <c r="Z663" s="27" t="n">
        <v>0.1004898305489014</v>
      </c>
      <c r="AA663" s="26" t="n">
        <v>246.2494231046747</v>
      </c>
      <c r="AB663" s="27" t="n">
        <v>0.1962414281496976</v>
      </c>
    </row>
    <row r="664">
      <c r="A664" s="26" t="n">
        <v>244.4070118650686</v>
      </c>
      <c r="B664" s="27" t="n">
        <v>0.1791388655788423</v>
      </c>
      <c r="C664" s="26" t="n">
        <v>242.871766443485</v>
      </c>
      <c r="D664" s="27" t="n">
        <v>0.1772775266490967</v>
      </c>
      <c r="E664" s="26" t="n">
        <v>267.2448156523697</v>
      </c>
      <c r="F664" s="27" t="n">
        <v>0.1434961873476481</v>
      </c>
      <c r="G664" s="26" t="n">
        <v>281.55348821977</v>
      </c>
      <c r="H664" s="27" t="n">
        <v>0.1101404504753156</v>
      </c>
      <c r="I664" s="26" t="n">
        <v>284.833138955161</v>
      </c>
      <c r="J664" s="27" t="n">
        <v>0.1103709907006331</v>
      </c>
      <c r="K664" s="26" t="n">
        <v>275.1477773987385</v>
      </c>
      <c r="L664" s="27" t="n">
        <v>0.1192719727063444</v>
      </c>
      <c r="M664" s="26" t="n">
        <v>264.1313279901914</v>
      </c>
      <c r="N664" s="27" t="n">
        <v>0.1468307324263946</v>
      </c>
      <c r="O664" s="26" t="n">
        <v>228.0563075112374</v>
      </c>
      <c r="P664" s="27" t="n">
        <v>0.1418050497522691</v>
      </c>
      <c r="Q664" s="26" t="n">
        <v>249.5391981352121</v>
      </c>
      <c r="R664" s="27" t="n">
        <v>0.1930348996659408</v>
      </c>
      <c r="S664" s="26" t="n">
        <v>238.9110252207168</v>
      </c>
      <c r="T664" s="27" t="n">
        <v>0.2169347477440379</v>
      </c>
      <c r="U664" s="26" t="n">
        <v>252.8838780816976</v>
      </c>
      <c r="V664" s="27" t="n">
        <v>0.1771909691279233</v>
      </c>
      <c r="W664" s="26" t="n">
        <v>255.3709395964629</v>
      </c>
      <c r="X664" s="27" t="n">
        <v>0.1497445502857977</v>
      </c>
      <c r="Y664" s="26" t="n">
        <v>238.8804472959631</v>
      </c>
      <c r="Z664" s="27" t="n">
        <v>0.1009331171477202</v>
      </c>
      <c r="AA664" s="26" t="n">
        <v>246.3296107663813</v>
      </c>
      <c r="AB664" s="27" t="n">
        <v>0.1970031095590558</v>
      </c>
    </row>
    <row r="665">
      <c r="A665" s="26" t="n">
        <v>244.5727735282739</v>
      </c>
      <c r="B665" s="27" t="n">
        <v>0.1798281983305723</v>
      </c>
      <c r="C665" s="26" t="n">
        <v>243.0118159572998</v>
      </c>
      <c r="D665" s="27" t="n">
        <v>0.1779860580879243</v>
      </c>
      <c r="E665" s="26" t="n">
        <v>267.3578733067264</v>
      </c>
      <c r="F665" s="27" t="n">
        <v>0.1441299274292821</v>
      </c>
      <c r="G665" s="26" t="n">
        <v>281.6402106503756</v>
      </c>
      <c r="H665" s="27" t="n">
        <v>0.1106628858890565</v>
      </c>
      <c r="I665" s="26" t="n">
        <v>284.9135233836608</v>
      </c>
      <c r="J665" s="27" t="n">
        <v>0.1108971039632826</v>
      </c>
      <c r="K665" s="26" t="n">
        <v>275.2240198930949</v>
      </c>
      <c r="L665" s="27" t="n">
        <v>0.119838999515031</v>
      </c>
      <c r="M665" s="26" t="n">
        <v>264.2226336922773</v>
      </c>
      <c r="N665" s="27" t="n">
        <v>0.1474874841352185</v>
      </c>
      <c r="O665" s="26" t="n">
        <v>228.180712205326</v>
      </c>
      <c r="P665" s="27" t="n">
        <v>0.1424420923225768</v>
      </c>
      <c r="Q665" s="26" t="n">
        <v>249.6332849108451</v>
      </c>
      <c r="R665" s="27" t="n">
        <v>0.1937772276286479</v>
      </c>
      <c r="S665" s="26" t="n">
        <v>239.0174488287482</v>
      </c>
      <c r="T665" s="27" t="n">
        <v>0.2176939739880724</v>
      </c>
      <c r="U665" s="26" t="n">
        <v>252.9689233761499</v>
      </c>
      <c r="V665" s="27" t="n">
        <v>0.177921615550029</v>
      </c>
      <c r="W665" s="26" t="n">
        <v>255.4491250885157</v>
      </c>
      <c r="X665" s="27" t="n">
        <v>0.1504242478421233</v>
      </c>
      <c r="Y665" s="26" t="n">
        <v>238.9858884625699</v>
      </c>
      <c r="Z665" s="27" t="n">
        <v>0.1013783745183907</v>
      </c>
      <c r="AA665" s="26" t="n">
        <v>246.4097984280879</v>
      </c>
      <c r="AB665" s="27" t="n">
        <v>0.1977657070964723</v>
      </c>
    </row>
    <row r="666">
      <c r="A666" s="26" t="n">
        <v>244.7385351914792</v>
      </c>
      <c r="B666" s="27" t="n">
        <v>0.1805186542475584</v>
      </c>
      <c r="C666" s="26" t="n">
        <v>243.1518654711146</v>
      </c>
      <c r="D666" s="27" t="n">
        <v>0.1786959353975706</v>
      </c>
      <c r="E666" s="26" t="n">
        <v>267.4709309610831</v>
      </c>
      <c r="F666" s="27" t="n">
        <v>0.1447655502836803</v>
      </c>
      <c r="G666" s="26" t="n">
        <v>281.7269330809812</v>
      </c>
      <c r="H666" s="27" t="n">
        <v>0.1111875350684456</v>
      </c>
      <c r="I666" s="26" t="n">
        <v>284.9939078121608</v>
      </c>
      <c r="J666" s="27" t="n">
        <v>0.1114254325189159</v>
      </c>
      <c r="K666" s="26" t="n">
        <v>275.3002623874513</v>
      </c>
      <c r="L666" s="27" t="n">
        <v>0.120408312518037</v>
      </c>
      <c r="M666" s="26" t="n">
        <v>264.3139393943632</v>
      </c>
      <c r="N666" s="27" t="n">
        <v>0.1481461949083409</v>
      </c>
      <c r="O666" s="26" t="n">
        <v>228.3051168994145</v>
      </c>
      <c r="P666" s="27" t="n">
        <v>0.143081579889646</v>
      </c>
      <c r="Q666" s="26" t="n">
        <v>249.727371686478</v>
      </c>
      <c r="R666" s="27" t="n">
        <v>0.194520422785647</v>
      </c>
      <c r="S666" s="26" t="n">
        <v>239.1238724367795</v>
      </c>
      <c r="T666" s="27" t="n">
        <v>0.2184534547238449</v>
      </c>
      <c r="U666" s="26" t="n">
        <v>253.0539686706022</v>
      </c>
      <c r="V666" s="27" t="n">
        <v>0.178653632468819</v>
      </c>
      <c r="W666" s="26" t="n">
        <v>255.5273105805685</v>
      </c>
      <c r="X666" s="27" t="n">
        <v>0.1511060699841787</v>
      </c>
      <c r="Y666" s="26" t="n">
        <v>239.0913296291768</v>
      </c>
      <c r="Z666" s="27" t="n">
        <v>0.1018256113600938</v>
      </c>
      <c r="AA666" s="26" t="n">
        <v>246.4899860897945</v>
      </c>
      <c r="AB666" s="27" t="n">
        <v>0.198529202065729</v>
      </c>
    </row>
    <row r="667">
      <c r="A667" s="26" t="n">
        <v>244.9042968546845</v>
      </c>
      <c r="B667" s="27" t="n">
        <v>0.1812102184523035</v>
      </c>
      <c r="C667" s="26" t="n">
        <v>243.2919149849293</v>
      </c>
      <c r="D667" s="27" t="n">
        <v>0.1794071446134994</v>
      </c>
      <c r="E667" s="26" t="n">
        <v>267.5839886154398</v>
      </c>
      <c r="F667" s="27" t="n">
        <v>0.1454030498434011</v>
      </c>
      <c r="G667" s="26" t="n">
        <v>281.8136555115868</v>
      </c>
      <c r="H667" s="27" t="n">
        <v>0.1117144028968051</v>
      </c>
      <c r="I667" s="26" t="n">
        <v>285.0742922406607</v>
      </c>
      <c r="J667" s="27" t="n">
        <v>0.1119559808436226</v>
      </c>
      <c r="K667" s="26" t="n">
        <v>275.3765048818076</v>
      </c>
      <c r="L667" s="27" t="n">
        <v>0.1209799145738259</v>
      </c>
      <c r="M667" s="26" t="n">
        <v>264.405245096449</v>
      </c>
      <c r="N667" s="27" t="n">
        <v>0.1488068583066621</v>
      </c>
      <c r="O667" s="26" t="n">
        <v>228.4295215935031</v>
      </c>
      <c r="P667" s="27" t="n">
        <v>0.1437235149724561</v>
      </c>
      <c r="Q667" s="26" t="n">
        <v>249.821458462111</v>
      </c>
      <c r="R667" s="27" t="n">
        <v>0.1952644667287603</v>
      </c>
      <c r="S667" s="26" t="n">
        <v>239.2302960448109</v>
      </c>
      <c r="T667" s="27" t="n">
        <v>0.219213168548118</v>
      </c>
      <c r="U667" s="26" t="n">
        <v>253.1390139650545</v>
      </c>
      <c r="V667" s="27" t="n">
        <v>0.1793870049903077</v>
      </c>
      <c r="W667" s="26" t="n">
        <v>255.6054960726213</v>
      </c>
      <c r="X667" s="27" t="n">
        <v>0.1517900110899504</v>
      </c>
      <c r="Y667" s="26" t="n">
        <v>239.1967707957837</v>
      </c>
      <c r="Z667" s="27" t="n">
        <v>0.1022748364067554</v>
      </c>
      <c r="AA667" s="26" t="n">
        <v>246.5701737515011</v>
      </c>
      <c r="AB667" s="27" t="n">
        <v>0.1992935755982538</v>
      </c>
    </row>
    <row r="668">
      <c r="A668" s="26" t="n">
        <v>245.0700585178898</v>
      </c>
      <c r="B668" s="27" t="n">
        <v>0.1819028758795271</v>
      </c>
      <c r="C668" s="26" t="n">
        <v>243.4319644987442</v>
      </c>
      <c r="D668" s="27" t="n">
        <v>0.1801196715727102</v>
      </c>
      <c r="E668" s="26" t="n">
        <v>267.6970462697965</v>
      </c>
      <c r="F668" s="27" t="n">
        <v>0.1460424198615508</v>
      </c>
      <c r="G668" s="26" t="n">
        <v>281.9003779421923</v>
      </c>
      <c r="H668" s="27" t="n">
        <v>0.1122434941868069</v>
      </c>
      <c r="I668" s="26" t="n">
        <v>285.1546766691607</v>
      </c>
      <c r="J668" s="27" t="n">
        <v>0.1124887533358383</v>
      </c>
      <c r="K668" s="26" t="n">
        <v>275.452747376164</v>
      </c>
      <c r="L668" s="27" t="n">
        <v>0.121553808434462</v>
      </c>
      <c r="M668" s="26" t="n">
        <v>264.4965507985348</v>
      </c>
      <c r="N668" s="27" t="n">
        <v>0.1494694677041015</v>
      </c>
      <c r="O668" s="26" t="n">
        <v>228.5539262875916</v>
      </c>
      <c r="P668" s="27" t="n">
        <v>0.1443678999714303</v>
      </c>
      <c r="Q668" s="26" t="n">
        <v>249.9155452377439</v>
      </c>
      <c r="R668" s="27" t="n">
        <v>0.1960093408800704</v>
      </c>
      <c r="S668" s="26" t="n">
        <v>239.3367196528423</v>
      </c>
      <c r="T668" s="27" t="n">
        <v>0.2199730939337206</v>
      </c>
      <c r="U668" s="26" t="n">
        <v>253.2240592595068</v>
      </c>
      <c r="V668" s="27" t="n">
        <v>0.1801217180228857</v>
      </c>
      <c r="W668" s="26" t="n">
        <v>255.6836815646741</v>
      </c>
      <c r="X668" s="27" t="n">
        <v>0.152476065346765</v>
      </c>
      <c r="Y668" s="26" t="n">
        <v>239.3022119623907</v>
      </c>
      <c r="Z668" s="27" t="n">
        <v>0.1027260584270677</v>
      </c>
      <c r="AA668" s="26" t="n">
        <v>246.6503614132077</v>
      </c>
      <c r="AB668" s="27" t="n">
        <v>0.2000588086534227</v>
      </c>
    </row>
    <row r="669">
      <c r="A669" s="26" t="n">
        <v>245.2358201810952</v>
      </c>
      <c r="B669" s="27" t="n">
        <v>0.1825966112756342</v>
      </c>
      <c r="C669" s="26" t="n">
        <v>243.5720140125589</v>
      </c>
      <c r="D669" s="27" t="n">
        <v>0.1808335019129509</v>
      </c>
      <c r="E669" s="26" t="n">
        <v>267.8101039241533</v>
      </c>
      <c r="F669" s="27" t="n">
        <v>0.1466836539100271</v>
      </c>
      <c r="G669" s="26" t="n">
        <v>281.9871003727979</v>
      </c>
      <c r="H669" s="27" t="n">
        <v>0.1127748136787471</v>
      </c>
      <c r="I669" s="26" t="n">
        <v>285.2350610976606</v>
      </c>
      <c r="J669" s="27" t="n">
        <v>0.1130237543145577</v>
      </c>
      <c r="K669" s="26" t="n">
        <v>275.5289898705203</v>
      </c>
      <c r="L669" s="27" t="n">
        <v>0.1221299967435856</v>
      </c>
      <c r="M669" s="26" t="n">
        <v>264.5878565006207</v>
      </c>
      <c r="N669" s="27" t="n">
        <v>0.1501340162858203</v>
      </c>
      <c r="O669" s="26" t="n">
        <v>228.6783309816802</v>
      </c>
      <c r="P669" s="27" t="n">
        <v>0.1450147371662125</v>
      </c>
      <c r="Q669" s="26" t="n">
        <v>250.0096320133769</v>
      </c>
      <c r="R669" s="27" t="n">
        <v>0.1967550264922037</v>
      </c>
      <c r="S669" s="26" t="n">
        <v>239.4431432608737</v>
      </c>
      <c r="T669" s="27" t="n">
        <v>0.2207332092306171</v>
      </c>
      <c r="U669" s="26" t="n">
        <v>253.3091045539591</v>
      </c>
      <c r="V669" s="27" t="n">
        <v>0.1808577562767805</v>
      </c>
      <c r="W669" s="26" t="n">
        <v>255.7618670567269</v>
      </c>
      <c r="X669" s="27" t="n">
        <v>0.1531642267493332</v>
      </c>
      <c r="Y669" s="26" t="n">
        <v>239.4076531289976</v>
      </c>
      <c r="Z669" s="27" t="n">
        <v>0.103179286224507</v>
      </c>
      <c r="AA669" s="26" t="n">
        <v>246.7305490749143</v>
      </c>
      <c r="AB669" s="27" t="n">
        <v>0.2008248820188874</v>
      </c>
    </row>
    <row r="670">
      <c r="A670" s="26" t="n">
        <v>245.4015818443004</v>
      </c>
      <c r="B670" s="27" t="n">
        <v>0.1832914091982052</v>
      </c>
      <c r="C670" s="26" t="n">
        <v>243.7120635263737</v>
      </c>
      <c r="D670" s="27" t="n">
        <v>0.1815486210719457</v>
      </c>
      <c r="E670" s="26" t="n">
        <v>267.92316157851</v>
      </c>
      <c r="F670" s="27" t="n">
        <v>0.1473267453777629</v>
      </c>
      <c r="G670" s="26" t="n">
        <v>282.0738228034035</v>
      </c>
      <c r="H670" s="27" t="n">
        <v>0.1133083660387932</v>
      </c>
      <c r="I670" s="26" t="n">
        <v>285.3154455261606</v>
      </c>
      <c r="J670" s="27" t="n">
        <v>0.1135609880175229</v>
      </c>
      <c r="K670" s="26" t="n">
        <v>275.6052323648767</v>
      </c>
      <c r="L670" s="27" t="n">
        <v>0.1227084820343638</v>
      </c>
      <c r="M670" s="26" t="n">
        <v>264.6791622027065</v>
      </c>
      <c r="N670" s="27" t="n">
        <v>0.150800497046445</v>
      </c>
      <c r="O670" s="26" t="n">
        <v>228.8027356757687</v>
      </c>
      <c r="P670" s="27" t="n">
        <v>0.1456640287134211</v>
      </c>
      <c r="Q670" s="26" t="n">
        <v>250.1037187890098</v>
      </c>
      <c r="R670" s="27" t="n">
        <v>0.1975015046486368</v>
      </c>
      <c r="S670" s="26" t="n">
        <v>239.5495668689051</v>
      </c>
      <c r="T670" s="27" t="n">
        <v>0.2214934926670044</v>
      </c>
      <c r="U670" s="26" t="n">
        <v>253.3941498484114</v>
      </c>
      <c r="V670" s="27" t="n">
        <v>0.181595104263535</v>
      </c>
      <c r="W670" s="26" t="n">
        <v>255.8400525487797</v>
      </c>
      <c r="X670" s="27" t="n">
        <v>0.1538544890977873</v>
      </c>
      <c r="Y670" s="26" t="n">
        <v>239.5130942956045</v>
      </c>
      <c r="Z670" s="27" t="n">
        <v>0.1036345286373476</v>
      </c>
      <c r="AA670" s="26" t="n">
        <v>246.8107367366209</v>
      </c>
      <c r="AB670" s="27" t="n">
        <v>0.201591776310931</v>
      </c>
    </row>
    <row r="671">
      <c r="A671" s="26" t="n">
        <v>245.5673435075058</v>
      </c>
      <c r="B671" s="27" t="n">
        <v>0.1839872540155044</v>
      </c>
      <c r="C671" s="26" t="n">
        <v>243.8521130401884</v>
      </c>
      <c r="D671" s="27" t="n">
        <v>0.1822650142866426</v>
      </c>
      <c r="E671" s="26" t="n">
        <v>268.0362192328668</v>
      </c>
      <c r="F671" s="27" t="n">
        <v>0.1479716874689699</v>
      </c>
      <c r="G671" s="26" t="n">
        <v>282.1605452340091</v>
      </c>
      <c r="H671" s="27" t="n">
        <v>0.1138441558572081</v>
      </c>
      <c r="I671" s="26" t="n">
        <v>285.3958299546605</v>
      </c>
      <c r="J671" s="27" t="n">
        <v>0.114100458599386</v>
      </c>
      <c r="K671" s="26" t="n">
        <v>275.681474859233</v>
      </c>
      <c r="L671" s="27" t="n">
        <v>0.1232892667274159</v>
      </c>
      <c r="M671" s="26" t="n">
        <v>264.7704679047923</v>
      </c>
      <c r="N671" s="27" t="n">
        <v>0.1514689027882925</v>
      </c>
      <c r="O671" s="26" t="n">
        <v>228.9271403698573</v>
      </c>
      <c r="P671" s="27" t="n">
        <v>0.1463157766443708</v>
      </c>
      <c r="Q671" s="26" t="n">
        <v>250.1978055646428</v>
      </c>
      <c r="R671" s="27" t="n">
        <v>0.1982487562640305</v>
      </c>
      <c r="S671" s="26" t="n">
        <v>239.6559904769364</v>
      </c>
      <c r="T671" s="27" t="n">
        <v>0.2222539223504323</v>
      </c>
      <c r="U671" s="26" t="n">
        <v>253.4791951428637</v>
      </c>
      <c r="V671" s="27" t="n">
        <v>0.1823337462955097</v>
      </c>
      <c r="W671" s="26" t="n">
        <v>255.9182380408325</v>
      </c>
      <c r="X671" s="27" t="n">
        <v>0.1545468459957164</v>
      </c>
      <c r="Y671" s="26" t="n">
        <v>239.6185354622114</v>
      </c>
      <c r="Z671" s="27" t="n">
        <v>0.1040917945386709</v>
      </c>
      <c r="AA671" s="26" t="n">
        <v>246.8909243983275</v>
      </c>
      <c r="AB671" s="27" t="n">
        <v>0.2023594719748484</v>
      </c>
    </row>
    <row r="672">
      <c r="A672" s="26" t="n">
        <v>245.7331051707111</v>
      </c>
      <c r="B672" s="27" t="n">
        <v>0.1846841299060088</v>
      </c>
      <c r="C672" s="26" t="n">
        <v>243.9921625540032</v>
      </c>
      <c r="D672" s="27" t="n">
        <v>0.1829826665924788</v>
      </c>
      <c r="E672" s="26" t="n">
        <v>268.1492768872234</v>
      </c>
      <c r="F672" s="27" t="n">
        <v>0.1486184732013779</v>
      </c>
      <c r="G672" s="26" t="n">
        <v>282.2472676646146</v>
      </c>
      <c r="H672" s="27" t="n">
        <v>0.1143821876465458</v>
      </c>
      <c r="I672" s="26" t="n">
        <v>285.4762143831605</v>
      </c>
      <c r="J672" s="27" t="n">
        <v>0.1146421701298456</v>
      </c>
      <c r="K672" s="26" t="n">
        <v>275.7577173535893</v>
      </c>
      <c r="L672" s="27" t="n">
        <v>0.1238723531287184</v>
      </c>
      <c r="M672" s="26" t="n">
        <v>264.8617736068782</v>
      </c>
      <c r="N672" s="27" t="n">
        <v>0.152139226119593</v>
      </c>
      <c r="O672" s="26" t="n">
        <v>229.0515450639458</v>
      </c>
      <c r="P672" s="27" t="n">
        <v>0.1469699828627712</v>
      </c>
      <c r="Q672" s="26" t="n">
        <v>250.2918923402757</v>
      </c>
      <c r="R672" s="27" t="n">
        <v>0.1989967620845899</v>
      </c>
      <c r="S672" s="26" t="n">
        <v>239.7624140849678</v>
      </c>
      <c r="T672" s="27" t="n">
        <v>0.2230144762689503</v>
      </c>
      <c r="U672" s="26" t="n">
        <v>253.564240437316</v>
      </c>
      <c r="V672" s="27" t="n">
        <v>0.1830736664854047</v>
      </c>
      <c r="W672" s="26" t="n">
        <v>255.9964235328853</v>
      </c>
      <c r="X672" s="27" t="n">
        <v>0.1552412908482007</v>
      </c>
      <c r="Y672" s="26" t="n">
        <v>239.7239766288183</v>
      </c>
      <c r="Z672" s="27" t="n">
        <v>0.104551092836371</v>
      </c>
      <c r="AA672" s="26" t="n">
        <v>246.9711120600341</v>
      </c>
      <c r="AB672" s="27" t="n">
        <v>0.2031279492853552</v>
      </c>
    </row>
    <row r="673">
      <c r="A673" s="26" t="n">
        <v>245.8988668339164</v>
      </c>
      <c r="B673" s="27" t="n">
        <v>0.1853820208579589</v>
      </c>
      <c r="C673" s="26" t="n">
        <v>244.132212067818</v>
      </c>
      <c r="D673" s="27" t="n">
        <v>0.1837015628226638</v>
      </c>
      <c r="E673" s="26" t="n">
        <v>268.2623345415801</v>
      </c>
      <c r="F673" s="27" t="n">
        <v>0.1492670954044779</v>
      </c>
      <c r="G673" s="26" t="n">
        <v>282.3339900952201</v>
      </c>
      <c r="H673" s="27" t="n">
        <v>0.114922465839821</v>
      </c>
      <c r="I673" s="26" t="n">
        <v>285.5565988116604</v>
      </c>
      <c r="J673" s="27" t="n">
        <v>0.1151861265917572</v>
      </c>
      <c r="K673" s="26" t="n">
        <v>275.8339598479457</v>
      </c>
      <c r="L673" s="27" t="n">
        <v>0.1244577434274825</v>
      </c>
      <c r="M673" s="26" t="n">
        <v>264.953079308964</v>
      </c>
      <c r="N673" s="27" t="n">
        <v>0.1528114594527157</v>
      </c>
      <c r="O673" s="26" t="n">
        <v>229.1759497580343</v>
      </c>
      <c r="P673" s="27" t="n">
        <v>0.1476266491423971</v>
      </c>
      <c r="Q673" s="26" t="n">
        <v>250.3859791159087</v>
      </c>
      <c r="R673" s="27" t="n">
        <v>0.1997455026884513</v>
      </c>
      <c r="S673" s="26" t="n">
        <v>239.8688376929992</v>
      </c>
      <c r="T673" s="27" t="n">
        <v>0.2237751322922797</v>
      </c>
      <c r="U673" s="26" t="n">
        <v>253.6492857317683</v>
      </c>
      <c r="V673" s="27" t="n">
        <v>0.1838148487458056</v>
      </c>
      <c r="W673" s="26" t="n">
        <v>256.0746090249381</v>
      </c>
      <c r="X673" s="27" t="n">
        <v>0.155937816859842</v>
      </c>
      <c r="Y673" s="26" t="n">
        <v>239.8294177954252</v>
      </c>
      <c r="Z673" s="27" t="n">
        <v>0.1050124324731547</v>
      </c>
      <c r="AA673" s="26" t="n">
        <v>247.0512997217407</v>
      </c>
      <c r="AB673" s="27" t="n">
        <v>0.2038971883470236</v>
      </c>
    </row>
    <row r="674">
      <c r="A674" s="26" t="n">
        <v>246.0646284971217</v>
      </c>
      <c r="B674" s="27" t="n">
        <v>0.1860809106689295</v>
      </c>
      <c r="C674" s="26" t="n">
        <v>244.2722615816328</v>
      </c>
      <c r="D674" s="27" t="n">
        <v>0.1844216876074865</v>
      </c>
      <c r="E674" s="26" t="n">
        <v>268.3753921959369</v>
      </c>
      <c r="F674" s="27" t="n">
        <v>0.1499175467177601</v>
      </c>
      <c r="G674" s="26" t="n">
        <v>282.4207125258257</v>
      </c>
      <c r="H674" s="27" t="n">
        <v>0.115464994788652</v>
      </c>
      <c r="I674" s="26" t="n">
        <v>285.6369832401604</v>
      </c>
      <c r="J674" s="27" t="n">
        <v>0.1157323318792184</v>
      </c>
      <c r="K674" s="26" t="n">
        <v>275.9102023423021</v>
      </c>
      <c r="L674" s="27" t="n">
        <v>0.1250454396940071</v>
      </c>
      <c r="M674" s="26" t="n">
        <v>265.0443850110498</v>
      </c>
      <c r="N674" s="27" t="n">
        <v>0.1534855950023938</v>
      </c>
      <c r="O674" s="26" t="n">
        <v>229.3003544521229</v>
      </c>
      <c r="P674" s="27" t="n">
        <v>0.1482857771247314</v>
      </c>
      <c r="Q674" s="26" t="n">
        <v>250.4800658915416</v>
      </c>
      <c r="R674" s="27" t="n">
        <v>0.200494958486096</v>
      </c>
      <c r="S674" s="26" t="n">
        <v>239.9752613010306</v>
      </c>
      <c r="T674" s="27" t="n">
        <v>0.2245358681730118</v>
      </c>
      <c r="U674" s="26" t="n">
        <v>253.7343310262206</v>
      </c>
      <c r="V674" s="27" t="n">
        <v>0.1845572767887508</v>
      </c>
      <c r="W674" s="26" t="n">
        <v>256.1527945169909</v>
      </c>
      <c r="X674" s="27" t="n">
        <v>0.1566364170327922</v>
      </c>
      <c r="Y674" s="26" t="n">
        <v>239.9348589620321</v>
      </c>
      <c r="Z674" s="27" t="n">
        <v>0.1054758224265377</v>
      </c>
      <c r="AA674" s="26" t="n">
        <v>247.1314873834473</v>
      </c>
      <c r="AB674" s="27" t="n">
        <v>0.2046671690947465</v>
      </c>
    </row>
    <row r="675">
      <c r="A675" s="26" t="n">
        <v>246.230390160327</v>
      </c>
      <c r="B675" s="27" t="n">
        <v>0.1867807829454222</v>
      </c>
      <c r="C675" s="26" t="n">
        <v>244.4123110954475</v>
      </c>
      <c r="D675" s="27" t="n">
        <v>0.1851430253736345</v>
      </c>
      <c r="E675" s="26" t="n">
        <v>268.4884498502936</v>
      </c>
      <c r="F675" s="27" t="n">
        <v>0.1505698195889561</v>
      </c>
      <c r="G675" s="26" t="n">
        <v>282.5074349564313</v>
      </c>
      <c r="H675" s="27" t="n">
        <v>0.1160097787613764</v>
      </c>
      <c r="I675" s="26" t="n">
        <v>285.7173676686602</v>
      </c>
      <c r="J675" s="27" t="n">
        <v>0.1162807897956255</v>
      </c>
      <c r="K675" s="26" t="n">
        <v>275.9864448366584</v>
      </c>
      <c r="L675" s="27" t="n">
        <v>0.1256354438775107</v>
      </c>
      <c r="M675" s="26" t="n">
        <v>265.1356907131357</v>
      </c>
      <c r="N675" s="27" t="n">
        <v>0.1541616247839527</v>
      </c>
      <c r="O675" s="26" t="n">
        <v>229.4247591462114</v>
      </c>
      <c r="P675" s="27" t="n">
        <v>0.1489473683165802</v>
      </c>
      <c r="Q675" s="26" t="n">
        <v>250.5741526671746</v>
      </c>
      <c r="R675" s="27" t="n">
        <v>0.2012451097207918</v>
      </c>
      <c r="S675" s="26" t="n">
        <v>240.0816849090619</v>
      </c>
      <c r="T675" s="27" t="n">
        <v>0.2252966615478312</v>
      </c>
      <c r="U675" s="26" t="n">
        <v>253.8193763206729</v>
      </c>
      <c r="V675" s="27" t="n">
        <v>0.1853009341253233</v>
      </c>
      <c r="W675" s="26" t="n">
        <v>256.2309800090437</v>
      </c>
      <c r="X675" s="27" t="n">
        <v>0.1573370841647821</v>
      </c>
      <c r="Y675" s="26" t="n">
        <v>240.040300128639</v>
      </c>
      <c r="Z675" s="27" t="n">
        <v>0.1059412717088356</v>
      </c>
      <c r="AA675" s="26" t="n">
        <v>247.2116750451539</v>
      </c>
      <c r="AB675" s="27" t="n">
        <v>0.2054378712942287</v>
      </c>
    </row>
    <row r="676">
      <c r="A676" s="26" t="n">
        <v>246.3961518235323</v>
      </c>
      <c r="B676" s="27" t="n">
        <v>0.1874816211024806</v>
      </c>
      <c r="C676" s="26" t="n">
        <v>244.5523606092623</v>
      </c>
      <c r="D676" s="27" t="n">
        <v>0.1858655603435421</v>
      </c>
      <c r="E676" s="26" t="n">
        <v>268.6015075046504</v>
      </c>
      <c r="F676" s="27" t="n">
        <v>0.1512239062722794</v>
      </c>
      <c r="G676" s="26" t="n">
        <v>282.5941573870369</v>
      </c>
      <c r="H676" s="27" t="n">
        <v>0.1165568219411404</v>
      </c>
      <c r="I676" s="26" t="n">
        <v>285.7977520971602</v>
      </c>
      <c r="J676" s="27" t="n">
        <v>0.1168315040517063</v>
      </c>
      <c r="K676" s="26" t="n">
        <v>276.0626873310148</v>
      </c>
      <c r="L676" s="27" t="n">
        <v>0.1262277578039365</v>
      </c>
      <c r="M676" s="26" t="n">
        <v>265.2269964152215</v>
      </c>
      <c r="N676" s="27" t="n">
        <v>0.1548395406115381</v>
      </c>
      <c r="O676" s="26" t="n">
        <v>229.5491638403</v>
      </c>
      <c r="P676" s="27" t="n">
        <v>0.1496114240876621</v>
      </c>
      <c r="Q676" s="26" t="n">
        <v>250.6682394428075</v>
      </c>
      <c r="R676" s="27" t="n">
        <v>0.2019959364690609</v>
      </c>
      <c r="S676" s="26" t="n">
        <v>240.1881085170933</v>
      </c>
      <c r="T676" s="27" t="n">
        <v>0.2260574899387655</v>
      </c>
      <c r="U676" s="26" t="n">
        <v>253.9044216151252</v>
      </c>
      <c r="V676" s="27" t="n">
        <v>0.1860458040652642</v>
      </c>
      <c r="W676" s="26" t="n">
        <v>256.3091655010966</v>
      </c>
      <c r="X676" s="27" t="n">
        <v>0.1580398108471451</v>
      </c>
      <c r="Y676" s="26" t="n">
        <v>240.1457412952459</v>
      </c>
      <c r="Z676" s="27" t="n">
        <v>0.1064087893671498</v>
      </c>
      <c r="AA676" s="26" t="n">
        <v>247.2918627068605</v>
      </c>
      <c r="AB676" s="27" t="n">
        <v>0.2062092745425058</v>
      </c>
    </row>
    <row r="677">
      <c r="A677" s="26" t="n">
        <v>246.5619134867376</v>
      </c>
      <c r="B677" s="27" t="n">
        <v>0.1881834083633278</v>
      </c>
      <c r="C677" s="26" t="n">
        <v>244.6924101230771</v>
      </c>
      <c r="D677" s="27" t="n">
        <v>0.1865892765347527</v>
      </c>
      <c r="E677" s="26" t="n">
        <v>268.7145651590071</v>
      </c>
      <c r="F677" s="27" t="n">
        <v>0.1518797988266674</v>
      </c>
      <c r="G677" s="26" t="n">
        <v>282.6808798176424</v>
      </c>
      <c r="H677" s="27" t="n">
        <v>0.117106128423958</v>
      </c>
      <c r="I677" s="26" t="n">
        <v>285.8781365256601</v>
      </c>
      <c r="J677" s="27" t="n">
        <v>0.1173844782635229</v>
      </c>
      <c r="K677" s="26" t="n">
        <v>276.1389298253712</v>
      </c>
      <c r="L677" s="27" t="n">
        <v>0.1268223831737313</v>
      </c>
      <c r="M677" s="26" t="n">
        <v>265.3183021173073</v>
      </c>
      <c r="N677" s="27" t="n">
        <v>0.1555193340963484</v>
      </c>
      <c r="O677" s="26" t="n">
        <v>229.6735685343885</v>
      </c>
      <c r="P677" s="27" t="n">
        <v>0.1502779456681677</v>
      </c>
      <c r="Q677" s="26" t="n">
        <v>250.7623262184405</v>
      </c>
      <c r="R677" s="27" t="n">
        <v>0.2027474186411776</v>
      </c>
      <c r="S677" s="26" t="n">
        <v>240.2945321251247</v>
      </c>
      <c r="T677" s="27" t="n">
        <v>0.2268183307544606</v>
      </c>
      <c r="U677" s="26" t="n">
        <v>253.9894669095775</v>
      </c>
      <c r="V677" s="27" t="n">
        <v>0.1867918697166121</v>
      </c>
      <c r="W677" s="26" t="n">
        <v>256.3873509931493</v>
      </c>
      <c r="X677" s="27" t="n">
        <v>0.1587445894628468</v>
      </c>
      <c r="Y677" s="26" t="n">
        <v>240.2511824618528</v>
      </c>
      <c r="Z677" s="27" t="n">
        <v>0.1068783844833486</v>
      </c>
      <c r="AA677" s="26" t="n">
        <v>247.372050368567</v>
      </c>
      <c r="AB677" s="27" t="n">
        <v>0.2069813582684945</v>
      </c>
    </row>
    <row r="678">
      <c r="A678" s="26" t="n">
        <v>246.7276751499429</v>
      </c>
      <c r="B678" s="27" t="n">
        <v>0.1888861277590261</v>
      </c>
      <c r="C678" s="26" t="n">
        <v>244.8324596368919</v>
      </c>
      <c r="D678" s="27" t="n">
        <v>0.1873141577593064</v>
      </c>
      <c r="E678" s="26" t="n">
        <v>268.8276228133637</v>
      </c>
      <c r="F678" s="27" t="n">
        <v>0.1525374891140255</v>
      </c>
      <c r="G678" s="26" t="n">
        <v>282.7676022482481</v>
      </c>
      <c r="H678" s="27" t="n">
        <v>0.1176577022167467</v>
      </c>
      <c r="I678" s="26" t="n">
        <v>285.9585209541601</v>
      </c>
      <c r="J678" s="27" t="n">
        <v>0.1179397159504496</v>
      </c>
      <c r="K678" s="26" t="n">
        <v>276.2151723197275</v>
      </c>
      <c r="L678" s="27" t="n">
        <v>0.1274193215596046</v>
      </c>
      <c r="M678" s="26" t="n">
        <v>265.4096078193932</v>
      </c>
      <c r="N678" s="27" t="n">
        <v>0.1562009966448681</v>
      </c>
      <c r="O678" s="26" t="n">
        <v>229.7979732284771</v>
      </c>
      <c r="P678" s="27" t="n">
        <v>0.1509469341462927</v>
      </c>
      <c r="Q678" s="26" t="n">
        <v>250.8564129940734</v>
      </c>
      <c r="R678" s="27" t="n">
        <v>0.2034995359816921</v>
      </c>
      <c r="S678" s="26" t="n">
        <v>240.4009557331561</v>
      </c>
      <c r="T678" s="27" t="n">
        <v>0.2275791612914836</v>
      </c>
      <c r="U678" s="26" t="n">
        <v>254.0745122040298</v>
      </c>
      <c r="V678" s="27" t="n">
        <v>0.1875391139853659</v>
      </c>
      <c r="W678" s="26" t="n">
        <v>256.4655364852022</v>
      </c>
      <c r="X678" s="27" t="n">
        <v>0.1594514121845074</v>
      </c>
      <c r="Y678" s="26" t="n">
        <v>240.3566236284597</v>
      </c>
      <c r="Z678" s="27" t="n">
        <v>0.1073500661740425</v>
      </c>
      <c r="AA678" s="26" t="n">
        <v>247.4522380302737</v>
      </c>
      <c r="AB678" s="27" t="n">
        <v>0.2077541017335685</v>
      </c>
    </row>
    <row r="679">
      <c r="A679" s="26" t="n">
        <v>246.8934368131482</v>
      </c>
      <c r="B679" s="27" t="n">
        <v>0.1895897621281616</v>
      </c>
      <c r="C679" s="26" t="n">
        <v>244.9725091507067</v>
      </c>
      <c r="D679" s="27" t="n">
        <v>0.1880401876231471</v>
      </c>
      <c r="E679" s="26" t="n">
        <v>268.9406804677205</v>
      </c>
      <c r="F679" s="27" t="n">
        <v>0.1531969687974709</v>
      </c>
      <c r="G679" s="26" t="n">
        <v>282.8543246788536</v>
      </c>
      <c r="H679" s="27" t="n">
        <v>0.1182115472353307</v>
      </c>
      <c r="I679" s="26" t="n">
        <v>286.03890538266</v>
      </c>
      <c r="J679" s="27" t="n">
        <v>0.1184972205331225</v>
      </c>
      <c r="K679" s="26" t="n">
        <v>276.2914148140839</v>
      </c>
      <c r="L679" s="27" t="n">
        <v>0.1280185744042581</v>
      </c>
      <c r="M679" s="26" t="n">
        <v>265.500913521479</v>
      </c>
      <c r="N679" s="27" t="n">
        <v>0.1568845194571056</v>
      </c>
      <c r="O679" s="26" t="n">
        <v>229.9223779225656</v>
      </c>
      <c r="P679" s="27" t="n">
        <v>0.1516183904657434</v>
      </c>
      <c r="Q679" s="26" t="n">
        <v>250.9504997697064</v>
      </c>
      <c r="R679" s="27" t="n">
        <v>0.2042522680699846</v>
      </c>
      <c r="S679" s="26" t="n">
        <v>240.5073793411874</v>
      </c>
      <c r="T679" s="27" t="n">
        <v>0.2283399587356472</v>
      </c>
      <c r="U679" s="26" t="n">
        <v>254.1595574984821</v>
      </c>
      <c r="V679" s="27" t="n">
        <v>0.1882875195751709</v>
      </c>
      <c r="W679" s="26" t="n">
        <v>256.5437219772549</v>
      </c>
      <c r="X679" s="27" t="n">
        <v>0.160160270972429</v>
      </c>
      <c r="Y679" s="26" t="n">
        <v>240.4620647950667</v>
      </c>
      <c r="Z679" s="27" t="n">
        <v>0.1078238435905543</v>
      </c>
      <c r="AA679" s="26" t="n">
        <v>247.5324256919803</v>
      </c>
      <c r="AB679" s="27" t="n">
        <v>0.2085274840321639</v>
      </c>
    </row>
    <row r="680">
      <c r="A680" s="26" t="n">
        <v>247.0591984763535</v>
      </c>
      <c r="B680" s="27" t="n">
        <v>0.1902942941165495</v>
      </c>
      <c r="C680" s="26" t="n">
        <v>245.1125586645215</v>
      </c>
      <c r="D680" s="27" t="n">
        <v>0.1887673495255528</v>
      </c>
      <c r="E680" s="26" t="n">
        <v>269.0537381220772</v>
      </c>
      <c r="F680" s="27" t="n">
        <v>0.1538582293395804</v>
      </c>
      <c r="G680" s="26" t="n">
        <v>282.9410471094592</v>
      </c>
      <c r="H680" s="27" t="n">
        <v>0.1187676673024183</v>
      </c>
      <c r="I680" s="26" t="n">
        <v>286.11928981116</v>
      </c>
      <c r="J680" s="27" t="n">
        <v>0.1190569953313618</v>
      </c>
      <c r="K680" s="26" t="n">
        <v>276.3676573084401</v>
      </c>
      <c r="L680" s="27" t="n">
        <v>0.1286201430180938</v>
      </c>
      <c r="M680" s="26" t="n">
        <v>265.5922192235649</v>
      </c>
      <c r="N680" s="27" t="n">
        <v>0.1575698935248327</v>
      </c>
      <c r="O680" s="26" t="n">
        <v>230.0467826166542</v>
      </c>
      <c r="P680" s="27" t="n">
        <v>0.1522923154232129</v>
      </c>
      <c r="Q680" s="26" t="n">
        <v>251.0445865453393</v>
      </c>
      <c r="R680" s="27" t="n">
        <v>0.2050055943208462</v>
      </c>
      <c r="S680" s="26" t="n">
        <v>240.6138029492188</v>
      </c>
      <c r="T680" s="27" t="n">
        <v>0.2291007001633669</v>
      </c>
      <c r="U680" s="26" t="n">
        <v>254.2446027929344</v>
      </c>
      <c r="V680" s="27" t="n">
        <v>0.1890370689870348</v>
      </c>
      <c r="W680" s="26" t="n">
        <v>256.6219074693078</v>
      </c>
      <c r="X680" s="27" t="n">
        <v>0.1608711575726211</v>
      </c>
      <c r="Y680" s="26" t="n">
        <v>240.5675059616736</v>
      </c>
      <c r="Z680" s="27" t="n">
        <v>0.1082997259188831</v>
      </c>
      <c r="AA680" s="26" t="n">
        <v>247.6126133536869</v>
      </c>
      <c r="AB680" s="27" t="n">
        <v>0.2093014840924167</v>
      </c>
    </row>
    <row r="681">
      <c r="A681" s="26" t="n">
        <v>247.2249601395588</v>
      </c>
      <c r="B681" s="27" t="n">
        <v>0.1909997061769688</v>
      </c>
      <c r="C681" s="26" t="n">
        <v>245.2526081783362</v>
      </c>
      <c r="D681" s="27" t="n">
        <v>0.1894956266585888</v>
      </c>
      <c r="E681" s="26" t="n">
        <v>269.166795776434</v>
      </c>
      <c r="F681" s="27" t="n">
        <v>0.1545212620006402</v>
      </c>
      <c r="G681" s="26" t="n">
        <v>283.0277695400648</v>
      </c>
      <c r="H681" s="27" t="n">
        <v>0.1193260661455505</v>
      </c>
      <c r="I681" s="26" t="n">
        <v>286.1996742396599</v>
      </c>
      <c r="J681" s="27" t="n">
        <v>0.1196190435620657</v>
      </c>
      <c r="K681" s="26" t="n">
        <v>276.4438998027965</v>
      </c>
      <c r="L681" s="27" t="n">
        <v>0.1292240285768953</v>
      </c>
      <c r="M681" s="26" t="n">
        <v>265.6835249256507</v>
      </c>
      <c r="N681" s="27" t="n">
        <v>0.1582571096298315</v>
      </c>
      <c r="O681" s="26" t="n">
        <v>230.1711873107427</v>
      </c>
      <c r="P681" s="27" t="n">
        <v>0.1529687096658304</v>
      </c>
      <c r="Q681" s="26" t="n">
        <v>251.1386733209723</v>
      </c>
      <c r="R681" s="27" t="n">
        <v>0.2057594939850906</v>
      </c>
      <c r="S681" s="26" t="n">
        <v>240.7202265572502</v>
      </c>
      <c r="T681" s="27" t="n">
        <v>0.229861362543038</v>
      </c>
      <c r="U681" s="26" t="n">
        <v>254.3296480873867</v>
      </c>
      <c r="V681" s="27" t="n">
        <v>0.1897877445190644</v>
      </c>
      <c r="W681" s="26" t="n">
        <v>256.7000929613605</v>
      </c>
      <c r="X681" s="27" t="n">
        <v>0.1615840635148279</v>
      </c>
      <c r="Y681" s="26" t="n">
        <v>240.6729471282805</v>
      </c>
      <c r="Z681" s="27" t="n">
        <v>0.1087777223796634</v>
      </c>
      <c r="AA681" s="26" t="n">
        <v>247.6928010153934</v>
      </c>
      <c r="AB681" s="27" t="n">
        <v>0.2100760806768262</v>
      </c>
    </row>
    <row r="682">
      <c r="A682" s="26" t="n">
        <v>247.3907218027642</v>
      </c>
      <c r="B682" s="27" t="n">
        <v>0.1917059805689152</v>
      </c>
      <c r="C682" s="26" t="n">
        <v>245.392657692151</v>
      </c>
      <c r="D682" s="27" t="n">
        <v>0.1902250020065834</v>
      </c>
      <c r="E682" s="26" t="n">
        <v>269.2798534307907</v>
      </c>
      <c r="F682" s="27" t="n">
        <v>0.1551860578368976</v>
      </c>
      <c r="G682" s="26" t="n">
        <v>283.1144919706704</v>
      </c>
      <c r="H682" s="27" t="n">
        <v>0.1198867473950184</v>
      </c>
      <c r="I682" s="26" t="n">
        <v>286.2800586681599</v>
      </c>
      <c r="J682" s="27" t="n">
        <v>0.1201833683370774</v>
      </c>
      <c r="K682" s="26" t="n">
        <v>276.5201422971529</v>
      </c>
      <c r="L682" s="27" t="n">
        <v>0.1298302321194839</v>
      </c>
      <c r="M682" s="26" t="n">
        <v>265.7748306277365</v>
      </c>
      <c r="N682" s="27" t="n">
        <v>0.1589461583421423</v>
      </c>
      <c r="O682" s="26" t="n">
        <v>230.2955920048313</v>
      </c>
      <c r="P682" s="27" t="n">
        <v>0.1536475736885828</v>
      </c>
      <c r="Q682" s="26" t="n">
        <v>251.2327600966052</v>
      </c>
      <c r="R682" s="27" t="n">
        <v>0.2065139461501938</v>
      </c>
      <c r="S682" s="26" t="n">
        <v>240.8266501652815</v>
      </c>
      <c r="T682" s="27" t="n">
        <v>0.2306219227364439</v>
      </c>
      <c r="U682" s="26" t="n">
        <v>254.414693381839</v>
      </c>
      <c r="V682" s="27" t="n">
        <v>0.1905395282662311</v>
      </c>
      <c r="W682" s="26" t="n">
        <v>256.7782784534133</v>
      </c>
      <c r="X682" s="27" t="n">
        <v>0.1622989801105572</v>
      </c>
      <c r="Y682" s="26" t="n">
        <v>240.7783882948874</v>
      </c>
      <c r="Z682" s="27" t="n">
        <v>0.1092578422281163</v>
      </c>
      <c r="AA682" s="26" t="n">
        <v>247.7729886771</v>
      </c>
      <c r="AB682" s="27" t="n">
        <v>0.2108512523829514</v>
      </c>
    </row>
    <row r="683">
      <c r="A683" s="26" t="n">
        <v>247.5564834659694</v>
      </c>
      <c r="B683" s="27" t="n">
        <v>0.1924130993583847</v>
      </c>
      <c r="C683" s="26" t="n">
        <v>245.5327072059658</v>
      </c>
      <c r="D683" s="27" t="n">
        <v>0.1909554583456285</v>
      </c>
      <c r="E683" s="26" t="n">
        <v>269.3929110851474</v>
      </c>
      <c r="F683" s="27" t="n">
        <v>0.1558526076988192</v>
      </c>
      <c r="G683" s="26" t="n">
        <v>283.2012144012759</v>
      </c>
      <c r="H683" s="27" t="n">
        <v>0.1204497145817566</v>
      </c>
      <c r="I683" s="26" t="n">
        <v>286.3604430966598</v>
      </c>
      <c r="J683" s="27" t="n">
        <v>0.1207499726610229</v>
      </c>
      <c r="K683" s="26" t="n">
        <v>276.5963847915092</v>
      </c>
      <c r="L683" s="27" t="n">
        <v>0.1304387545453528</v>
      </c>
      <c r="M683" s="26" t="n">
        <v>265.8661363298224</v>
      </c>
      <c r="N683" s="27" t="n">
        <v>0.159637030018318</v>
      </c>
      <c r="O683" s="26" t="n">
        <v>230.4199966989198</v>
      </c>
      <c r="P683" s="27" t="n">
        <v>0.1543289078317053</v>
      </c>
      <c r="Q683" s="26" t="n">
        <v>251.3268468722381</v>
      </c>
      <c r="R683" s="27" t="n">
        <v>0.2072689297409636</v>
      </c>
      <c r="S683" s="26" t="n">
        <v>240.9330737733129</v>
      </c>
      <c r="T683" s="27" t="n">
        <v>0.2313823575001867</v>
      </c>
      <c r="U683" s="26" t="n">
        <v>254.4997386762913</v>
      </c>
      <c r="V683" s="27" t="n">
        <v>0.1912924021201629</v>
      </c>
      <c r="W683" s="26" t="n">
        <v>256.8564639454661</v>
      </c>
      <c r="X683" s="27" t="n">
        <v>0.1630158984511115</v>
      </c>
      <c r="Y683" s="26" t="n">
        <v>240.8838294614943</v>
      </c>
      <c r="Z683" s="27" t="n">
        <v>0.1097400947539963</v>
      </c>
      <c r="AA683" s="26" t="n">
        <v>247.8531763388066</v>
      </c>
      <c r="AB683" s="27" t="n">
        <v>0.2116269776441341</v>
      </c>
    </row>
    <row r="684">
      <c r="A684" s="26" t="n">
        <v>247.7222451291748</v>
      </c>
      <c r="B684" s="27" t="n">
        <v>0.1931210444176801</v>
      </c>
      <c r="C684" s="26" t="n">
        <v>245.6727567197806</v>
      </c>
      <c r="D684" s="27" t="n">
        <v>0.1916869782431022</v>
      </c>
      <c r="E684" s="26" t="n">
        <v>269.5059687395042</v>
      </c>
      <c r="F684" s="27" t="n">
        <v>0.1565209022293484</v>
      </c>
      <c r="G684" s="26" t="n">
        <v>283.2879368318814</v>
      </c>
      <c r="H684" s="27" t="n">
        <v>0.1210149711352016</v>
      </c>
      <c r="I684" s="26" t="n">
        <v>286.4408275251598</v>
      </c>
      <c r="J684" s="27" t="n">
        <v>0.1213188594291213</v>
      </c>
      <c r="K684" s="26" t="n">
        <v>276.6726272858656</v>
      </c>
      <c r="L684" s="27" t="n">
        <v>0.1310495966122735</v>
      </c>
      <c r="M684" s="26" t="n">
        <v>265.9574420319082</v>
      </c>
      <c r="N684" s="27" t="n">
        <v>0.1603297147996841</v>
      </c>
      <c r="O684" s="26" t="n">
        <v>230.5444013930083</v>
      </c>
      <c r="P684" s="27" t="n">
        <v>0.1550127122780482</v>
      </c>
      <c r="Q684" s="26" t="n">
        <v>251.4209336478711</v>
      </c>
      <c r="R684" s="27" t="n">
        <v>0.2080244235202394</v>
      </c>
      <c r="S684" s="26" t="n">
        <v>241.0394973813443</v>
      </c>
      <c r="T684" s="27" t="n">
        <v>0.2321426434871474</v>
      </c>
      <c r="U684" s="26" t="n">
        <v>254.5847839707436</v>
      </c>
      <c r="V684" s="27" t="n">
        <v>0.1920463477689628</v>
      </c>
      <c r="W684" s="26" t="n">
        <v>256.9346494375189</v>
      </c>
      <c r="X684" s="27" t="n">
        <v>0.1637348094056206</v>
      </c>
      <c r="Y684" s="26" t="n">
        <v>240.9892706281012</v>
      </c>
      <c r="Z684" s="27" t="n">
        <v>0.1102244892815306</v>
      </c>
      <c r="AA684" s="26" t="n">
        <v>247.9333640005132</v>
      </c>
      <c r="AB684" s="27" t="n">
        <v>0.2124032347302566</v>
      </c>
    </row>
    <row r="685">
      <c r="A685" s="26" t="n">
        <v>247.8880067923801</v>
      </c>
      <c r="B685" s="27" t="n">
        <v>0.1938297974252434</v>
      </c>
      <c r="C685" s="26" t="n">
        <v>245.8128062335954</v>
      </c>
      <c r="D685" s="27" t="n">
        <v>0.192419544057219</v>
      </c>
      <c r="E685" s="26" t="n">
        <v>269.6190263938608</v>
      </c>
      <c r="F685" s="27" t="n">
        <v>0.1571909318621709</v>
      </c>
      <c r="G685" s="26" t="n">
        <v>283.3746592624871</v>
      </c>
      <c r="H685" s="27" t="n">
        <v>0.1215825203811244</v>
      </c>
      <c r="I685" s="26" t="n">
        <v>286.5212119536596</v>
      </c>
      <c r="J685" s="27" t="n">
        <v>0.1218900314249652</v>
      </c>
      <c r="K685" s="26" t="n">
        <v>276.748869780222</v>
      </c>
      <c r="L685" s="27" t="n">
        <v>0.131662758933876</v>
      </c>
      <c r="M685" s="26" t="n">
        <v>266.048747733994</v>
      </c>
      <c r="N685" s="27" t="n">
        <v>0.1610242026106042</v>
      </c>
      <c r="O685" s="26" t="n">
        <v>230.6688060870969</v>
      </c>
      <c r="P685" s="27" t="n">
        <v>0.1556989870504117</v>
      </c>
      <c r="Q685" s="26" t="n">
        <v>251.515020423504</v>
      </c>
      <c r="R685" s="27" t="n">
        <v>0.2087804060896218</v>
      </c>
      <c r="S685" s="26" t="n">
        <v>241.1459209893757</v>
      </c>
      <c r="T685" s="27" t="n">
        <v>0.2329027572479698</v>
      </c>
      <c r="U685" s="26" t="n">
        <v>254.6698292651959</v>
      </c>
      <c r="V685" s="27" t="n">
        <v>0.1928013466970561</v>
      </c>
      <c r="W685" s="26" t="n">
        <v>257.0128349295718</v>
      </c>
      <c r="X685" s="27" t="n">
        <v>0.1644557036190761</v>
      </c>
      <c r="Y685" s="26" t="n">
        <v>241.0947117947081</v>
      </c>
      <c r="Z685" s="27" t="n">
        <v>0.1107110351693512</v>
      </c>
      <c r="AA685" s="26" t="n">
        <v>248.0135516622198</v>
      </c>
      <c r="AB685" s="27" t="n">
        <v>0.2131800017485264</v>
      </c>
    </row>
    <row r="686">
      <c r="A686" s="26" t="n">
        <v>248.0537684555854</v>
      </c>
      <c r="B686" s="27" t="n">
        <v>0.1945393398655153</v>
      </c>
      <c r="C686" s="26" t="n">
        <v>245.9528557474101</v>
      </c>
      <c r="D686" s="27" t="n">
        <v>0.1931531379366029</v>
      </c>
      <c r="E686" s="26" t="n">
        <v>269.7320840482176</v>
      </c>
      <c r="F686" s="27" t="n">
        <v>0.1578626868199834</v>
      </c>
      <c r="G686" s="26" t="n">
        <v>283.4613816930926</v>
      </c>
      <c r="H686" s="27" t="n">
        <v>0.1221523655394316</v>
      </c>
      <c r="I686" s="26" t="n">
        <v>286.6015963821596</v>
      </c>
      <c r="J686" s="27" t="n">
        <v>0.1224634913182739</v>
      </c>
      <c r="K686" s="26" t="n">
        <v>276.8251122745783</v>
      </c>
      <c r="L686" s="27" t="n">
        <v>0.1322782419772087</v>
      </c>
      <c r="M686" s="26" t="n">
        <v>266.1400534360799</v>
      </c>
      <c r="N686" s="27" t="n">
        <v>0.1617204831567521</v>
      </c>
      <c r="O686" s="26" t="n">
        <v>230.7932107811855</v>
      </c>
      <c r="P686" s="27" t="n">
        <v>0.1563877320088524</v>
      </c>
      <c r="Q686" s="26" t="n">
        <v>251.609107199137</v>
      </c>
      <c r="R686" s="27" t="n">
        <v>0.2095368558902314</v>
      </c>
      <c r="S686" s="26" t="n">
        <v>241.252344597407</v>
      </c>
      <c r="T686" s="27" t="n">
        <v>0.2336626752325724</v>
      </c>
      <c r="U686" s="26" t="n">
        <v>254.7548745596482</v>
      </c>
      <c r="V686" s="27" t="n">
        <v>0.1935573801850636</v>
      </c>
      <c r="W686" s="26" t="n">
        <v>257.0910204216245</v>
      </c>
      <c r="X686" s="27" t="n">
        <v>0.1651785715103743</v>
      </c>
      <c r="Y686" s="26" t="n">
        <v>241.200152961315</v>
      </c>
      <c r="Z686" s="27" t="n">
        <v>0.1111997418104215</v>
      </c>
      <c r="AA686" s="26" t="n">
        <v>248.0937393239264</v>
      </c>
      <c r="AB686" s="27" t="n">
        <v>0.2139572566442936</v>
      </c>
    </row>
    <row r="687">
      <c r="A687" s="26" t="n">
        <v>248.2195301187907</v>
      </c>
      <c r="B687" s="27" t="n">
        <v>0.1952496530288223</v>
      </c>
      <c r="C687" s="26" t="n">
        <v>246.0929052612249</v>
      </c>
      <c r="D687" s="27" t="n">
        <v>0.1938877418198869</v>
      </c>
      <c r="E687" s="26" t="n">
        <v>269.8451417025743</v>
      </c>
      <c r="F687" s="27" t="n">
        <v>0.1585361571127683</v>
      </c>
      <c r="G687" s="26" t="n">
        <v>283.5481041236982</v>
      </c>
      <c r="H687" s="27" t="n">
        <v>0.1227245097219371</v>
      </c>
      <c r="I687" s="26" t="n">
        <v>286.6819808106595</v>
      </c>
      <c r="J687" s="27" t="n">
        <v>0.1230392416626166</v>
      </c>
      <c r="K687" s="26" t="n">
        <v>276.9013547689347</v>
      </c>
      <c r="L687" s="27" t="n">
        <v>0.1328960460602694</v>
      </c>
      <c r="M687" s="26" t="n">
        <v>266.2313591381657</v>
      </c>
      <c r="N687" s="27" t="n">
        <v>0.1624185459233904</v>
      </c>
      <c r="O687" s="26" t="n">
        <v>230.917615475274</v>
      </c>
      <c r="P687" s="27" t="n">
        <v>0.157078946847965</v>
      </c>
      <c r="Q687" s="26" t="n">
        <v>251.7031939747699</v>
      </c>
      <c r="R687" s="27" t="n">
        <v>0.2102937512035007</v>
      </c>
      <c r="S687" s="26" t="n">
        <v>241.3587682054384</v>
      </c>
      <c r="T687" s="27" t="n">
        <v>0.2344223737916864</v>
      </c>
      <c r="U687" s="26" t="n">
        <v>254.8399198541006</v>
      </c>
      <c r="V687" s="27" t="n">
        <v>0.1943144293097044</v>
      </c>
      <c r="W687" s="26" t="n">
        <v>257.1692059136774</v>
      </c>
      <c r="X687" s="27" t="n">
        <v>0.1659034032703567</v>
      </c>
      <c r="Y687" s="26" t="n">
        <v>241.3055941279219</v>
      </c>
      <c r="Z687" s="27" t="n">
        <v>0.1116906186319544</v>
      </c>
      <c r="AA687" s="26" t="n">
        <v>248.173926985633</v>
      </c>
      <c r="AB687" s="27" t="n">
        <v>0.2147349772018989</v>
      </c>
    </row>
    <row r="688">
      <c r="A688" s="26" t="n">
        <v>248.385291781996</v>
      </c>
      <c r="B688" s="27" t="n">
        <v>0.1959607180112891</v>
      </c>
      <c r="C688" s="26" t="n">
        <v>246.2329547750397</v>
      </c>
      <c r="D688" s="27" t="n">
        <v>0.1946233374353396</v>
      </c>
      <c r="E688" s="26" t="n">
        <v>269.958199356931</v>
      </c>
      <c r="F688" s="27" t="n">
        <v>0.1592113325360741</v>
      </c>
      <c r="G688" s="26" t="n">
        <v>283.6348265543037</v>
      </c>
      <c r="H688" s="27" t="n">
        <v>0.1232989559301035</v>
      </c>
      <c r="I688" s="26" t="n">
        <v>286.7623652391595</v>
      </c>
      <c r="J688" s="27" t="n">
        <v>0.1236172848931066</v>
      </c>
      <c r="K688" s="26" t="n">
        <v>276.977597263291</v>
      </c>
      <c r="L688" s="27" t="n">
        <v>0.1335161713495098</v>
      </c>
      <c r="M688" s="26" t="n">
        <v>266.3226648402515</v>
      </c>
      <c r="N688" s="27" t="n">
        <v>0.1631183801736572</v>
      </c>
      <c r="O688" s="26" t="n">
        <v>231.0420201693625</v>
      </c>
      <c r="P688" s="27" t="n">
        <v>0.1577726310941302</v>
      </c>
      <c r="Q688" s="26" t="n">
        <v>251.7972807504029</v>
      </c>
      <c r="R688" s="27" t="n">
        <v>0.2110510701519933</v>
      </c>
      <c r="S688" s="26" t="n">
        <v>241.4651918134698</v>
      </c>
      <c r="T688" s="27" t="n">
        <v>0.2351818291784202</v>
      </c>
      <c r="U688" s="26" t="n">
        <v>254.9249651485529</v>
      </c>
      <c r="V688" s="27" t="n">
        <v>0.1950724749437287</v>
      </c>
      <c r="W688" s="26" t="n">
        <v>257.2473914057301</v>
      </c>
      <c r="X688" s="27" t="n">
        <v>0.1666301888598586</v>
      </c>
      <c r="Y688" s="26" t="n">
        <v>241.4110352945289</v>
      </c>
      <c r="Z688" s="27" t="n">
        <v>0.1121836750953236</v>
      </c>
      <c r="AA688" s="26" t="n">
        <v>248.2541146473396</v>
      </c>
      <c r="AB688" s="27" t="n">
        <v>0.215513141045554</v>
      </c>
    </row>
    <row r="689">
      <c r="A689" s="26" t="n">
        <v>248.5510534452013</v>
      </c>
      <c r="B689" s="27" t="n">
        <v>0.196672515714781</v>
      </c>
      <c r="C689" s="26" t="n">
        <v>246.3730042888545</v>
      </c>
      <c r="D689" s="27" t="n">
        <v>0.1953599063005163</v>
      </c>
      <c r="E689" s="26" t="n">
        <v>270.0712570112878</v>
      </c>
      <c r="F689" s="27" t="n">
        <v>0.1598882026693007</v>
      </c>
      <c r="G689" s="26" t="n">
        <v>283.7215489849093</v>
      </c>
      <c r="H689" s="27" t="n">
        <v>0.1238757070527516</v>
      </c>
      <c r="I689" s="26" t="n">
        <v>286.8427496676594</v>
      </c>
      <c r="J689" s="27" t="n">
        <v>0.124197623324066</v>
      </c>
      <c r="K689" s="26" t="n">
        <v>277.0538397576473</v>
      </c>
      <c r="L689" s="27" t="n">
        <v>0.1341386178573214</v>
      </c>
      <c r="M689" s="26" t="n">
        <v>266.4139705423374</v>
      </c>
      <c r="N689" s="27" t="n">
        <v>0.1638199749468607</v>
      </c>
      <c r="O689" s="26" t="n">
        <v>231.1664248634511</v>
      </c>
      <c r="P689" s="27" t="n">
        <v>0.1584687841027377</v>
      </c>
      <c r="Q689" s="26" t="n">
        <v>251.8913675260358</v>
      </c>
      <c r="R689" s="27" t="n">
        <v>0.2118087907002582</v>
      </c>
      <c r="S689" s="26" t="n">
        <v>241.5716154215012</v>
      </c>
      <c r="T689" s="27" t="n">
        <v>0.2359410175498499</v>
      </c>
      <c r="U689" s="26" t="n">
        <v>255.0100104430052</v>
      </c>
      <c r="V689" s="27" t="n">
        <v>0.1958314977558791</v>
      </c>
      <c r="W689" s="26" t="n">
        <v>257.3255768977829</v>
      </c>
      <c r="X689" s="27" t="n">
        <v>0.1673589180077617</v>
      </c>
      <c r="Y689" s="26" t="n">
        <v>241.5164764611358</v>
      </c>
      <c r="Z689" s="27" t="n">
        <v>0.1126789206959669</v>
      </c>
      <c r="AA689" s="26" t="n">
        <v>248.3343023090462</v>
      </c>
      <c r="AB689" s="27" t="n">
        <v>0.2162917256402514</v>
      </c>
    </row>
    <row r="690">
      <c r="A690" s="26" t="n">
        <v>248.7168151084066</v>
      </c>
      <c r="B690" s="27" t="n">
        <v>0.1973850268468736</v>
      </c>
      <c r="C690" s="26" t="n">
        <v>246.5130538026692</v>
      </c>
      <c r="D690" s="27" t="n">
        <v>0.1960974297219406</v>
      </c>
      <c r="E690" s="26" t="n">
        <v>270.1843146656445</v>
      </c>
      <c r="F690" s="27" t="n">
        <v>0.1605667568739935</v>
      </c>
      <c r="G690" s="26" t="n">
        <v>283.8082714155149</v>
      </c>
      <c r="H690" s="27" t="n">
        <v>0.1244547658637424</v>
      </c>
      <c r="I690" s="26" t="n">
        <v>286.9231340961594</v>
      </c>
      <c r="J690" s="27" t="n">
        <v>0.1247802591466618</v>
      </c>
      <c r="K690" s="26" t="n">
        <v>277.1300822520037</v>
      </c>
      <c r="L690" s="27" t="n">
        <v>0.1347633854394889</v>
      </c>
      <c r="M690" s="26" t="n">
        <v>266.5052762444232</v>
      </c>
      <c r="N690" s="27" t="n">
        <v>0.1645233190567816</v>
      </c>
      <c r="O690" s="26" t="n">
        <v>231.2908295575396</v>
      </c>
      <c r="P690" s="27" t="n">
        <v>0.1591674050553806</v>
      </c>
      <c r="Q690" s="26" t="n">
        <v>251.9854543016688</v>
      </c>
      <c r="R690" s="27" t="n">
        <v>0.2125668906557123</v>
      </c>
      <c r="S690" s="26" t="n">
        <v>241.6780390295326</v>
      </c>
      <c r="T690" s="27" t="n">
        <v>0.2366999149686362</v>
      </c>
      <c r="U690" s="26" t="n">
        <v>255.0950557374575</v>
      </c>
      <c r="V690" s="27" t="n">
        <v>0.19659147821088</v>
      </c>
      <c r="W690" s="26" t="n">
        <v>257.4037623898357</v>
      </c>
      <c r="X690" s="27" t="n">
        <v>0.1680895802090523</v>
      </c>
      <c r="Y690" s="26" t="n">
        <v>241.6219176277427</v>
      </c>
      <c r="Z690" s="27" t="n">
        <v>0.1131763649632821</v>
      </c>
      <c r="AA690" s="26" t="n">
        <v>248.4144899707528</v>
      </c>
      <c r="AB690" s="27" t="n">
        <v>0.2170707082927082</v>
      </c>
    </row>
    <row r="691">
      <c r="A691" s="26" t="n">
        <v>248.8825767716119</v>
      </c>
      <c r="B691" s="27" t="n">
        <v>0.1980982319208509</v>
      </c>
      <c r="C691" s="26" t="n">
        <v>246.653103316484</v>
      </c>
      <c r="D691" s="27" t="n">
        <v>0.1968358887948101</v>
      </c>
      <c r="E691" s="26" t="n">
        <v>270.2973723200012</v>
      </c>
      <c r="F691" s="27" t="n">
        <v>0.161246984292144</v>
      </c>
      <c r="G691" s="26" t="n">
        <v>283.8949938461204</v>
      </c>
      <c r="H691" s="27" t="n">
        <v>0.1250361350196244</v>
      </c>
      <c r="I691" s="26" t="n">
        <v>287.0035185246593</v>
      </c>
      <c r="J691" s="27" t="n">
        <v>0.1253651944265111</v>
      </c>
      <c r="K691" s="26" t="n">
        <v>277.20632474636</v>
      </c>
      <c r="L691" s="27" t="n">
        <v>0.1353904737926233</v>
      </c>
      <c r="M691" s="26" t="n">
        <v>266.5965819465091</v>
      </c>
      <c r="N691" s="27" t="n">
        <v>0.165228401089985</v>
      </c>
      <c r="O691" s="26" t="n">
        <v>231.4152342516282</v>
      </c>
      <c r="P691" s="27" t="n">
        <v>0.1598684929570184</v>
      </c>
      <c r="Q691" s="26" t="n">
        <v>252.0795410773017</v>
      </c>
      <c r="R691" s="27" t="n">
        <v>0.2133253476695557</v>
      </c>
      <c r="S691" s="26" t="n">
        <v>241.7844626375639</v>
      </c>
      <c r="T691" s="27" t="n">
        <v>0.2374584974046693</v>
      </c>
      <c r="U691" s="26" t="n">
        <v>255.1801010319098</v>
      </c>
      <c r="V691" s="27" t="n">
        <v>0.1973523965694602</v>
      </c>
      <c r="W691" s="26" t="n">
        <v>257.4819478818886</v>
      </c>
      <c r="X691" s="27" t="n">
        <v>0.1688221647228859</v>
      </c>
      <c r="Y691" s="26" t="n">
        <v>241.7273587943496</v>
      </c>
      <c r="Z691" s="27" t="n">
        <v>0.1136760174605145</v>
      </c>
      <c r="AA691" s="26" t="n">
        <v>248.4946776324594</v>
      </c>
      <c r="AB691" s="27" t="n">
        <v>0.2178500661523415</v>
      </c>
    </row>
    <row r="692">
      <c r="A692" s="26" t="n">
        <v>249.0483384348173</v>
      </c>
      <c r="B692" s="27" t="n">
        <v>0.1988121112557337</v>
      </c>
      <c r="C692" s="26" t="n">
        <v>246.7931528302988</v>
      </c>
      <c r="D692" s="27" t="n">
        <v>0.1975752644027333</v>
      </c>
      <c r="E692" s="26" t="n">
        <v>270.410429974358</v>
      </c>
      <c r="F692" s="27" t="n">
        <v>0.1619288738444966</v>
      </c>
      <c r="G692" s="26" t="n">
        <v>283.981716276726</v>
      </c>
      <c r="H692" s="27" t="n">
        <v>0.1256198170572524</v>
      </c>
      <c r="I692" s="26" t="n">
        <v>287.0839029531593</v>
      </c>
      <c r="J692" s="27" t="n">
        <v>0.1259524311012568</v>
      </c>
      <c r="K692" s="26" t="n">
        <v>277.2825672407164</v>
      </c>
      <c r="L692" s="27" t="n">
        <v>0.1360198824515678</v>
      </c>
      <c r="M692" s="26" t="n">
        <v>266.6878876485949</v>
      </c>
      <c r="N692" s="27" t="n">
        <v>0.1659352094041428</v>
      </c>
      <c r="O692" s="26" t="n">
        <v>231.5396389457167</v>
      </c>
      <c r="P692" s="27" t="n">
        <v>0.1605720466331141</v>
      </c>
      <c r="Q692" s="26" t="n">
        <v>252.1736278529347</v>
      </c>
      <c r="R692" s="27" t="n">
        <v>0.2140841392377189</v>
      </c>
      <c r="S692" s="26" t="n">
        <v>241.8908862455953</v>
      </c>
      <c r="T692" s="27" t="n">
        <v>0.2382167407367379</v>
      </c>
      <c r="U692" s="26" t="n">
        <v>255.2651463263621</v>
      </c>
      <c r="V692" s="27" t="n">
        <v>0.198114232888405</v>
      </c>
      <c r="W692" s="26" t="n">
        <v>257.5601333739414</v>
      </c>
      <c r="X692" s="27" t="n">
        <v>0.169556660570656</v>
      </c>
      <c r="Y692" s="26" t="n">
        <v>241.8327999609565</v>
      </c>
      <c r="Z692" s="27" t="n">
        <v>0.1141778877846353</v>
      </c>
      <c r="AA692" s="26" t="n">
        <v>248.574865294166</v>
      </c>
      <c r="AB692" s="27" t="n">
        <v>0.2186297762122756</v>
      </c>
    </row>
    <row r="693">
      <c r="A693" s="26" t="n">
        <v>249.2141000980226</v>
      </c>
      <c r="B693" s="27" t="n">
        <v>0.1995266449763357</v>
      </c>
      <c r="C693" s="26" t="n">
        <v>246.9332023441135</v>
      </c>
      <c r="D693" s="27" t="n">
        <v>0.1983155372174942</v>
      </c>
      <c r="E693" s="26" t="n">
        <v>270.5234876287146</v>
      </c>
      <c r="F693" s="27" t="n">
        <v>0.1626124142288679</v>
      </c>
      <c r="G693" s="26" t="n">
        <v>284.0684387073316</v>
      </c>
      <c r="H693" s="27" t="n">
        <v>0.1262058143913739</v>
      </c>
      <c r="I693" s="26" t="n">
        <v>287.1642873816592</v>
      </c>
      <c r="J693" s="27" t="n">
        <v>0.1265419709781138</v>
      </c>
      <c r="K693" s="26" t="n">
        <v>277.3588097350728</v>
      </c>
      <c r="L693" s="27" t="n">
        <v>0.1366516107867783</v>
      </c>
      <c r="M693" s="26" t="n">
        <v>266.7791933506807</v>
      </c>
      <c r="N693" s="27" t="n">
        <v>0.166643732126364</v>
      </c>
      <c r="O693" s="26" t="n">
        <v>231.6640436398052</v>
      </c>
      <c r="P693" s="27" t="n">
        <v>0.1612780647267417</v>
      </c>
      <c r="Q693" s="26" t="n">
        <v>252.2677146285677</v>
      </c>
      <c r="R693" s="27" t="n">
        <v>0.2148432427018415</v>
      </c>
      <c r="S693" s="26" t="n">
        <v>241.9973098536267</v>
      </c>
      <c r="T693" s="27" t="n">
        <v>0.2389746207542267</v>
      </c>
      <c r="U693" s="26" t="n">
        <v>255.3501916208144</v>
      </c>
      <c r="V693" s="27" t="n">
        <v>0.1988769670206386</v>
      </c>
      <c r="W693" s="26" t="n">
        <v>257.6383188659942</v>
      </c>
      <c r="X693" s="27" t="n">
        <v>0.1702930565340753</v>
      </c>
      <c r="Y693" s="26" t="n">
        <v>241.9382411275634</v>
      </c>
      <c r="Z693" s="27" t="n">
        <v>0.1146819855662125</v>
      </c>
      <c r="AA693" s="26" t="n">
        <v>248.6550529558726</v>
      </c>
      <c r="AB693" s="27" t="n">
        <v>0.2194098153103813</v>
      </c>
    </row>
    <row r="694">
      <c r="A694" s="26" t="n">
        <v>249.3798617612278</v>
      </c>
      <c r="B694" s="27" t="n">
        <v>0.2002418130133528</v>
      </c>
      <c r="C694" s="26" t="n">
        <v>247.0732518579283</v>
      </c>
      <c r="D694" s="27" t="n">
        <v>0.1990566876988452</v>
      </c>
      <c r="E694" s="26" t="n">
        <v>270.6365452830714</v>
      </c>
      <c r="F694" s="27" t="n">
        <v>0.1632975939184698</v>
      </c>
      <c r="G694" s="26" t="n">
        <v>284.1551611379372</v>
      </c>
      <c r="H694" s="27" t="n">
        <v>0.1267941293121816</v>
      </c>
      <c r="I694" s="26" t="n">
        <v>287.2446718101592</v>
      </c>
      <c r="J694" s="27" t="n">
        <v>0.1271338157313846</v>
      </c>
      <c r="K694" s="26" t="n">
        <v>277.4350522294291</v>
      </c>
      <c r="L694" s="27" t="n">
        <v>0.1372856580016822</v>
      </c>
      <c r="M694" s="26" t="n">
        <v>266.8704990527665</v>
      </c>
      <c r="N694" s="27" t="n">
        <v>0.1673539571515386</v>
      </c>
      <c r="O694" s="26" t="n">
        <v>231.7884483338938</v>
      </c>
      <c r="P694" s="27" t="n">
        <v>0.161986545695665</v>
      </c>
      <c r="Q694" s="26" t="n">
        <v>252.3618014042006</v>
      </c>
      <c r="R694" s="27" t="n">
        <v>0.2156026352502833</v>
      </c>
      <c r="S694" s="26" t="n">
        <v>242.1037334616581</v>
      </c>
      <c r="T694" s="27" t="n">
        <v>0.239732113158839</v>
      </c>
      <c r="U694" s="26" t="n">
        <v>255.4352369152667</v>
      </c>
      <c r="V694" s="27" t="n">
        <v>0.1996405786153401</v>
      </c>
      <c r="W694" s="26" t="n">
        <v>257.716504358047</v>
      </c>
      <c r="X694" s="27" t="n">
        <v>0.1710313411532586</v>
      </c>
      <c r="Y694" s="26" t="n">
        <v>242.0436822941703</v>
      </c>
      <c r="Z694" s="27" t="n">
        <v>0.1151883204692721</v>
      </c>
      <c r="AA694" s="26" t="n">
        <v>248.7352406175792</v>
      </c>
      <c r="AB694" s="27" t="n">
        <v>0.2201901601303507</v>
      </c>
    </row>
    <row r="695">
      <c r="A695" s="26" t="n">
        <v>249.5456234244332</v>
      </c>
      <c r="B695" s="27" t="n">
        <v>0.2009575951034797</v>
      </c>
      <c r="C695" s="26" t="n">
        <v>247.2133013717431</v>
      </c>
      <c r="D695" s="27" t="n">
        <v>0.1997986960943316</v>
      </c>
      <c r="E695" s="26" t="n">
        <v>270.7496029374281</v>
      </c>
      <c r="F695" s="27" t="n">
        <v>0.163984401160246</v>
      </c>
      <c r="G695" s="26" t="n">
        <v>284.2418835685428</v>
      </c>
      <c r="H695" s="27" t="n">
        <v>0.1273847639828401</v>
      </c>
      <c r="I695" s="26" t="n">
        <v>287.325056238659</v>
      </c>
      <c r="J695" s="27" t="n">
        <v>0.1277279668999442</v>
      </c>
      <c r="K695" s="26" t="n">
        <v>277.5112947237855</v>
      </c>
      <c r="L695" s="27" t="n">
        <v>0.137922023130008</v>
      </c>
      <c r="M695" s="26" t="n">
        <v>266.9618047548524</v>
      </c>
      <c r="N695" s="27" t="n">
        <v>0.1680658721406904</v>
      </c>
      <c r="O695" s="26" t="n">
        <v>231.9128530279824</v>
      </c>
      <c r="P695" s="27" t="n">
        <v>0.1626974878093869</v>
      </c>
      <c r="Q695" s="26" t="n">
        <v>252.4558881798336</v>
      </c>
      <c r="R695" s="27" t="n">
        <v>0.2163622939191694</v>
      </c>
      <c r="S695" s="26" t="n">
        <v>242.2101570696894</v>
      </c>
      <c r="T695" s="27" t="n">
        <v>0.2404891935663474</v>
      </c>
      <c r="U695" s="26" t="n">
        <v>255.520282209719</v>
      </c>
      <c r="V695" s="27" t="n">
        <v>0.2004050471180902</v>
      </c>
      <c r="W695" s="26" t="n">
        <v>257.7946898500998</v>
      </c>
      <c r="X695" s="27" t="n">
        <v>0.1717715027248181</v>
      </c>
      <c r="Y695" s="26" t="n">
        <v>242.1491234607772</v>
      </c>
      <c r="Z695" s="27" t="n">
        <v>0.11569690219115</v>
      </c>
      <c r="AA695" s="26" t="n">
        <v>248.8154282792858</v>
      </c>
      <c r="AB695" s="27" t="n">
        <v>0.2209707872028008</v>
      </c>
    </row>
    <row r="696">
      <c r="A696" s="26" t="n">
        <v>249.7113850876385</v>
      </c>
      <c r="B696" s="27" t="n">
        <v>0.2016739707895595</v>
      </c>
      <c r="C696" s="26" t="n">
        <v>247.3533508855579</v>
      </c>
      <c r="D696" s="27" t="n">
        <v>0.2005415424391451</v>
      </c>
      <c r="E696" s="26" t="n">
        <v>270.8626605917848</v>
      </c>
      <c r="F696" s="27" t="n">
        <v>0.1646728239732174</v>
      </c>
      <c r="G696" s="26" t="n">
        <v>284.3286059991483</v>
      </c>
      <c r="H696" s="27" t="n">
        <v>0.1279777204369737</v>
      </c>
      <c r="I696" s="26" t="n">
        <v>287.405440667159</v>
      </c>
      <c r="J696" s="27" t="n">
        <v>0.1283244258846954</v>
      </c>
      <c r="K696" s="26" t="n">
        <v>277.5875372181418</v>
      </c>
      <c r="L696" s="27" t="n">
        <v>0.1385607050330911</v>
      </c>
      <c r="M696" s="26" t="n">
        <v>267.0531104569383</v>
      </c>
      <c r="N696" s="27" t="n">
        <v>0.1687794645193438</v>
      </c>
      <c r="O696" s="26" t="n">
        <v>232.0372577220709</v>
      </c>
      <c r="P696" s="27" t="n">
        <v>0.1634108891461729</v>
      </c>
      <c r="Q696" s="26" t="n">
        <v>252.5499749554665</v>
      </c>
      <c r="R696" s="27" t="n">
        <v>0.2171221955934655</v>
      </c>
      <c r="S696" s="26" t="n">
        <v>242.3165806777208</v>
      </c>
      <c r="T696" s="27" t="n">
        <v>0.2412458375083683</v>
      </c>
      <c r="U696" s="26" t="n">
        <v>255.6053275041713</v>
      </c>
      <c r="V696" s="27" t="n">
        <v>0.2011703517710508</v>
      </c>
      <c r="W696" s="26" t="n">
        <v>257.8728753421526</v>
      </c>
      <c r="X696" s="27" t="n">
        <v>0.1725135292999667</v>
      </c>
      <c r="Y696" s="26" t="n">
        <v>242.2545646273841</v>
      </c>
      <c r="Z696" s="27" t="n">
        <v>0.1162077404623348</v>
      </c>
      <c r="AA696" s="26" t="n">
        <v>248.8956159409924</v>
      </c>
      <c r="AB696" s="27" t="n">
        <v>0.2217516729064147</v>
      </c>
    </row>
    <row r="697">
      <c r="A697" s="26" t="n">
        <v>249.8771467508438</v>
      </c>
      <c r="B697" s="27" t="n">
        <v>0.2023909194207652</v>
      </c>
      <c r="C697" s="26" t="n">
        <v>247.4934003993727</v>
      </c>
      <c r="D697" s="27" t="n">
        <v>0.20128520655601</v>
      </c>
      <c r="E697" s="26" t="n">
        <v>270.9757182461416</v>
      </c>
      <c r="F697" s="27" t="n">
        <v>0.1653628501468364</v>
      </c>
      <c r="G697" s="26" t="n">
        <v>284.4153284297539</v>
      </c>
      <c r="H697" s="27" t="n">
        <v>0.1285730005761267</v>
      </c>
      <c r="I697" s="26" t="n">
        <v>287.4858250956589</v>
      </c>
      <c r="J697" s="27" t="n">
        <v>0.1289231939459927</v>
      </c>
      <c r="K697" s="26" t="n">
        <v>277.6637797124981</v>
      </c>
      <c r="L697" s="27" t="n">
        <v>0.1392017023971576</v>
      </c>
      <c r="M697" s="26" t="n">
        <v>267.1444161590241</v>
      </c>
      <c r="N697" s="27" t="n">
        <v>0.1694947214759001</v>
      </c>
      <c r="O697" s="26" t="n">
        <v>232.1616624161595</v>
      </c>
      <c r="P697" s="27" t="n">
        <v>0.1641267475900426</v>
      </c>
      <c r="Q697" s="26" t="n">
        <v>252.6440617310994</v>
      </c>
      <c r="R697" s="27" t="n">
        <v>0.2178823170080879</v>
      </c>
      <c r="S697" s="26" t="n">
        <v>242.4230042857521</v>
      </c>
      <c r="T697" s="27" t="n">
        <v>0.2420020204341654</v>
      </c>
      <c r="U697" s="26" t="n">
        <v>255.6903727986236</v>
      </c>
      <c r="V697" s="27" t="n">
        <v>0.201936471613178</v>
      </c>
      <c r="W697" s="26" t="n">
        <v>257.9510608342054</v>
      </c>
      <c r="X697" s="27" t="n">
        <v>0.1732574086826294</v>
      </c>
      <c r="Y697" s="26" t="n">
        <v>242.360005793991</v>
      </c>
      <c r="Z697" s="27" t="n">
        <v>0.1167208450462997</v>
      </c>
      <c r="AA697" s="26" t="n">
        <v>248.975803602699</v>
      </c>
      <c r="AB697" s="27" t="n">
        <v>0.2225327934691113</v>
      </c>
    </row>
    <row r="698">
      <c r="A698" s="26" t="n">
        <v>250.0429084140491</v>
      </c>
      <c r="B698" s="27" t="n">
        <v>0.203108420152811</v>
      </c>
      <c r="C698" s="26" t="n">
        <v>247.6334499131875</v>
      </c>
      <c r="D698" s="27" t="n">
        <v>0.2020296680550976</v>
      </c>
      <c r="E698" s="26" t="n">
        <v>271.0887759004983</v>
      </c>
      <c r="F698" s="27" t="n">
        <v>0.1660544672393555</v>
      </c>
      <c r="G698" s="26" t="n">
        <v>284.5020508603594</v>
      </c>
      <c r="H698" s="27" t="n">
        <v>0.1291706061671885</v>
      </c>
      <c r="I698" s="26" t="n">
        <v>287.5662095241589</v>
      </c>
      <c r="J698" s="27" t="n">
        <v>0.1295242722010359</v>
      </c>
      <c r="K698" s="26" t="n">
        <v>277.7400222068545</v>
      </c>
      <c r="L698" s="27" t="n">
        <v>0.1398450137305796</v>
      </c>
      <c r="M698" s="26" t="n">
        <v>267.2357218611099</v>
      </c>
      <c r="N698" s="27" t="n">
        <v>0.1702116299600318</v>
      </c>
      <c r="O698" s="26" t="n">
        <v>232.286067110248</v>
      </c>
      <c r="P698" s="27" t="n">
        <v>0.1648450608277349</v>
      </c>
      <c r="Q698" s="26" t="n">
        <v>252.7381485067324</v>
      </c>
      <c r="R698" s="27" t="n">
        <v>0.2186426347490463</v>
      </c>
      <c r="S698" s="26" t="n">
        <v>242.5294278937835</v>
      </c>
      <c r="T698" s="27" t="n">
        <v>0.2427577177124774</v>
      </c>
      <c r="U698" s="26" t="n">
        <v>255.7754180930759</v>
      </c>
      <c r="V698" s="27" t="n">
        <v>0.2027033854804688</v>
      </c>
      <c r="W698" s="26" t="n">
        <v>258.0292463262582</v>
      </c>
      <c r="X698" s="27" t="n">
        <v>0.1740031284275668</v>
      </c>
      <c r="Y698" s="26" t="n">
        <v>242.4654469605979</v>
      </c>
      <c r="Z698" s="27" t="n">
        <v>0.1172362257393257</v>
      </c>
      <c r="AA698" s="26" t="n">
        <v>249.0559912644056</v>
      </c>
      <c r="AB698" s="27" t="n">
        <v>0.2233141249692552</v>
      </c>
    </row>
    <row r="699">
      <c r="A699" s="26" t="n">
        <v>250.2086700772545</v>
      </c>
      <c r="B699" s="27" t="n">
        <v>0.2038264519481979</v>
      </c>
      <c r="C699" s="26" t="n">
        <v>247.7734994270022</v>
      </c>
      <c r="D699" s="27" t="n">
        <v>0.2027749063339764</v>
      </c>
      <c r="E699" s="26" t="n">
        <v>271.2018335548551</v>
      </c>
      <c r="F699" s="27" t="n">
        <v>0.1667476625762055</v>
      </c>
      <c r="G699" s="26" t="n">
        <v>284.588773290965</v>
      </c>
      <c r="H699" s="27" t="n">
        <v>0.1297705388397884</v>
      </c>
      <c r="I699" s="26" t="n">
        <v>287.6465939526588</v>
      </c>
      <c r="J699" s="27" t="n">
        <v>0.1301276616212322</v>
      </c>
      <c r="K699" s="26" t="n">
        <v>277.8162647012109</v>
      </c>
      <c r="L699" s="27" t="n">
        <v>0.1404906373611085</v>
      </c>
      <c r="M699" s="26" t="n">
        <v>267.3270275631958</v>
      </c>
      <c r="N699" s="27" t="n">
        <v>0.1709301766810856</v>
      </c>
      <c r="O699" s="26" t="n">
        <v>232.4104718043365</v>
      </c>
      <c r="P699" s="27" t="n">
        <v>0.1655658263456446</v>
      </c>
      <c r="Q699" s="26" t="n">
        <v>252.8322352823653</v>
      </c>
      <c r="R699" s="27" t="n">
        <v>0.2194031252546201</v>
      </c>
      <c r="S699" s="26" t="n">
        <v>242.6358515018149</v>
      </c>
      <c r="T699" s="27" t="n">
        <v>0.2435129046333751</v>
      </c>
      <c r="U699" s="26" t="n">
        <v>255.8604633875282</v>
      </c>
      <c r="V699" s="27" t="n">
        <v>0.2034710720062401</v>
      </c>
      <c r="W699" s="26" t="n">
        <v>258.1074318183109</v>
      </c>
      <c r="X699" s="27" t="n">
        <v>0.174750675838509</v>
      </c>
      <c r="Y699" s="26" t="n">
        <v>242.5708881272049</v>
      </c>
      <c r="Z699" s="27" t="n">
        <v>0.1177538923703134</v>
      </c>
      <c r="AA699" s="26" t="n">
        <v>249.1361789261122</v>
      </c>
      <c r="AB699" s="27" t="n">
        <v>0.2240956433368929</v>
      </c>
    </row>
    <row r="700">
      <c r="A700" s="26" t="n">
        <v>250.3744317404597</v>
      </c>
      <c r="B700" s="27" t="n">
        <v>0.2045449935764923</v>
      </c>
      <c r="C700" s="26" t="n">
        <v>247.913548940817</v>
      </c>
      <c r="D700" s="27" t="n">
        <v>0.2035209005775913</v>
      </c>
      <c r="E700" s="26" t="n">
        <v>271.3148912092117</v>
      </c>
      <c r="F700" s="27" t="n">
        <v>0.1674424232483864</v>
      </c>
      <c r="G700" s="26" t="n">
        <v>284.6754957215707</v>
      </c>
      <c r="H700" s="27" t="n">
        <v>0.130372800083654</v>
      </c>
      <c r="I700" s="26" t="n">
        <v>287.7269783811588</v>
      </c>
      <c r="J700" s="27" t="n">
        <v>0.1307333630295285</v>
      </c>
      <c r="K700" s="26" t="n">
        <v>277.8925071955672</v>
      </c>
      <c r="L700" s="27" t="n">
        <v>0.1411385714330799</v>
      </c>
      <c r="M700" s="26" t="n">
        <v>267.4183332652816</v>
      </c>
      <c r="N700" s="27" t="n">
        <v>0.1716503481065037</v>
      </c>
      <c r="O700" s="26" t="n">
        <v>232.5348764984251</v>
      </c>
      <c r="P700" s="27" t="n">
        <v>0.1662890414267289</v>
      </c>
      <c r="Q700" s="26" t="n">
        <v>252.9263220579983</v>
      </c>
      <c r="R700" s="27" t="n">
        <v>0.2201637648165673</v>
      </c>
      <c r="S700" s="26" t="n">
        <v>242.7422751098463</v>
      </c>
      <c r="T700" s="27" t="n">
        <v>0.2442675564101406</v>
      </c>
      <c r="U700" s="26" t="n">
        <v>255.9455086819805</v>
      </c>
      <c r="V700" s="27" t="n">
        <v>0.2042395096214453</v>
      </c>
      <c r="W700" s="26" t="n">
        <v>258.1856173103638</v>
      </c>
      <c r="X700" s="27" t="n">
        <v>0.1755000379663002</v>
      </c>
      <c r="Y700" s="26" t="n">
        <v>242.6763292938118</v>
      </c>
      <c r="Z700" s="27" t="n">
        <v>0.1182738548005836</v>
      </c>
      <c r="AA700" s="26" t="n">
        <v>249.2163665878188</v>
      </c>
      <c r="AB700" s="27" t="n">
        <v>0.2248773243550295</v>
      </c>
    </row>
    <row r="701">
      <c r="A701" s="26" t="n">
        <v>250.5401934036651</v>
      </c>
      <c r="B701" s="27" t="n">
        <v>0.2052640236146366</v>
      </c>
      <c r="C701" s="26" t="n">
        <v>248.0535984546318</v>
      </c>
      <c r="D701" s="27" t="n">
        <v>0.2042676297582792</v>
      </c>
      <c r="E701" s="26" t="n">
        <v>271.4279488635684</v>
      </c>
      <c r="F701" s="27" t="n">
        <v>0.1681387361108736</v>
      </c>
      <c r="G701" s="26" t="n">
        <v>284.7622181521762</v>
      </c>
      <c r="H701" s="27" t="n">
        <v>0.1309773912459419</v>
      </c>
      <c r="I701" s="26" t="n">
        <v>287.8073628096587</v>
      </c>
      <c r="J701" s="27" t="n">
        <v>0.1313413770977111</v>
      </c>
      <c r="K701" s="26" t="n">
        <v>277.9687496899236</v>
      </c>
      <c r="L701" s="27" t="n">
        <v>0.1417888139046002</v>
      </c>
      <c r="M701" s="26" t="n">
        <v>267.5096389673674</v>
      </c>
      <c r="N701" s="27" t="n">
        <v>0.1723721304602572</v>
      </c>
      <c r="O701" s="26" t="n">
        <v>232.6592811925136</v>
      </c>
      <c r="P701" s="27" t="n">
        <v>0.1670147031473881</v>
      </c>
      <c r="Q701" s="26" t="n">
        <v>253.0204088336312</v>
      </c>
      <c r="R701" s="27" t="n">
        <v>0.2209245295813693</v>
      </c>
      <c r="S701" s="26" t="n">
        <v>242.8486987178777</v>
      </c>
      <c r="T701" s="27" t="n">
        <v>0.2450216481811758</v>
      </c>
      <c r="U701" s="26" t="n">
        <v>256.0305539764328</v>
      </c>
      <c r="V701" s="27" t="n">
        <v>0.205008676555023</v>
      </c>
      <c r="W701" s="26" t="n">
        <v>258.2638028024166</v>
      </c>
      <c r="X701" s="27" t="n">
        <v>0.1762512016070548</v>
      </c>
      <c r="Y701" s="26" t="n">
        <v>242.7817704604187</v>
      </c>
      <c r="Z701" s="27" t="n">
        <v>0.1187961229236675</v>
      </c>
      <c r="AA701" s="26" t="n">
        <v>249.2965542495254</v>
      </c>
      <c r="AB701" s="27" t="n">
        <v>0.2256591436609362</v>
      </c>
    </row>
    <row r="702">
      <c r="A702" s="26" t="n">
        <v>250.7059550668703</v>
      </c>
      <c r="B702" s="27" t="n">
        <v>0.2059835204472948</v>
      </c>
      <c r="C702" s="26" t="n">
        <v>248.1936479684466</v>
      </c>
      <c r="D702" s="27" t="n">
        <v>0.2050150726358154</v>
      </c>
      <c r="E702" s="26" t="n">
        <v>271.5410065179252</v>
      </c>
      <c r="F702" s="27" t="n">
        <v>0.1688365877810334</v>
      </c>
      <c r="G702" s="26" t="n">
        <v>284.8489405827818</v>
      </c>
      <c r="H702" s="27" t="n">
        <v>0.1315843135285308</v>
      </c>
      <c r="I702" s="26" t="n">
        <v>287.8877472381587</v>
      </c>
      <c r="J702" s="27" t="n">
        <v>0.1319517043436754</v>
      </c>
      <c r="K702" s="26" t="n">
        <v>278.0449921842799</v>
      </c>
      <c r="L702" s="27" t="n">
        <v>0.1424413625447034</v>
      </c>
      <c r="M702" s="26" t="n">
        <v>267.6009446694533</v>
      </c>
      <c r="N702" s="27" t="n">
        <v>0.1730955097212979</v>
      </c>
      <c r="O702" s="26" t="n">
        <v>232.7836858866022</v>
      </c>
      <c r="P702" s="27" t="n">
        <v>0.1677428083743173</v>
      </c>
      <c r="Q702" s="26" t="n">
        <v>253.1144956092642</v>
      </c>
      <c r="R702" s="27" t="n">
        <v>0.2216853955515077</v>
      </c>
      <c r="S702" s="26" t="n">
        <v>242.955122325909</v>
      </c>
      <c r="T702" s="27" t="n">
        <v>0.245775155011936</v>
      </c>
      <c r="U702" s="26" t="n">
        <v>256.1155992708851</v>
      </c>
      <c r="V702" s="27" t="n">
        <v>0.2057785508342817</v>
      </c>
      <c r="W702" s="26" t="n">
        <v>258.3419882944694</v>
      </c>
      <c r="X702" s="27" t="n">
        <v>0.1770041533003307</v>
      </c>
      <c r="Y702" s="26" t="n">
        <v>242.8872116270256</v>
      </c>
      <c r="Z702" s="27" t="n">
        <v>0.1193207066650851</v>
      </c>
      <c r="AA702" s="26" t="n">
        <v>249.376741911232</v>
      </c>
      <c r="AB702" s="27" t="n">
        <v>0.226441076747492</v>
      </c>
    </row>
    <row r="703">
      <c r="A703" s="26" t="n">
        <v>250.8717167300757</v>
      </c>
      <c r="B703" s="27" t="n">
        <v>0.2067034622672324</v>
      </c>
      <c r="C703" s="26" t="n">
        <v>248.3336974822614</v>
      </c>
      <c r="D703" s="27" t="n">
        <v>0.2057632077574944</v>
      </c>
      <c r="E703" s="26" t="n">
        <v>271.6540641722819</v>
      </c>
      <c r="F703" s="27" t="n">
        <v>0.1695359646370575</v>
      </c>
      <c r="G703" s="26" t="n">
        <v>284.9356630133873</v>
      </c>
      <c r="H703" s="27" t="n">
        <v>0.1321935679852826</v>
      </c>
      <c r="I703" s="26" t="n">
        <v>287.9681316666586</v>
      </c>
      <c r="J703" s="27" t="n">
        <v>0.1325643451286634</v>
      </c>
      <c r="K703" s="26" t="n">
        <v>278.1212346786363</v>
      </c>
      <c r="L703" s="27" t="n">
        <v>0.1430962149304856</v>
      </c>
      <c r="M703" s="26" t="n">
        <v>267.6922503715391</v>
      </c>
      <c r="N703" s="27" t="n">
        <v>0.1738204716220244</v>
      </c>
      <c r="O703" s="26" t="n">
        <v>232.9080905806907</v>
      </c>
      <c r="P703" s="27" t="n">
        <v>0.1684733537613272</v>
      </c>
      <c r="Q703" s="26" t="n">
        <v>253.2085823848971</v>
      </c>
      <c r="R703" s="27" t="n">
        <v>0.2224463385867757</v>
      </c>
      <c r="S703" s="26" t="n">
        <v>243.0615459339404</v>
      </c>
      <c r="T703" s="27" t="n">
        <v>0.2465280518968899</v>
      </c>
      <c r="U703" s="26" t="n">
        <v>256.2006445653375</v>
      </c>
      <c r="V703" s="27" t="n">
        <v>0.206549110285322</v>
      </c>
      <c r="W703" s="26" t="n">
        <v>258.4201737865222</v>
      </c>
      <c r="X703" s="27" t="n">
        <v>0.1777588793273098</v>
      </c>
      <c r="Y703" s="26" t="n">
        <v>242.9926527936325</v>
      </c>
      <c r="Z703" s="27" t="n">
        <v>0.1198476159821114</v>
      </c>
      <c r="AA703" s="26" t="n">
        <v>249.4569295729385</v>
      </c>
      <c r="AB703" s="27" t="n">
        <v>0.2272230989645622</v>
      </c>
    </row>
    <row r="704">
      <c r="A704" s="26" t="n">
        <v>251.037478393281</v>
      </c>
      <c r="B704" s="27" t="n">
        <v>0.2074238270757296</v>
      </c>
      <c r="C704" s="26" t="n">
        <v>248.4737469960761</v>
      </c>
      <c r="D704" s="27" t="n">
        <v>0.2065120134582484</v>
      </c>
      <c r="E704" s="26" t="n">
        <v>271.7671218266387</v>
      </c>
      <c r="F704" s="27" t="n">
        <v>0.1702368528164096</v>
      </c>
      <c r="G704" s="26" t="n">
        <v>285.0223854439929</v>
      </c>
      <c r="H704" s="27" t="n">
        <v>0.1328051555192706</v>
      </c>
      <c r="I704" s="26" t="n">
        <v>288.0485160951586</v>
      </c>
      <c r="J704" s="27" t="n">
        <v>0.1331792996544709</v>
      </c>
      <c r="K704" s="26" t="n">
        <v>278.1974771729926</v>
      </c>
      <c r="L704" s="27" t="n">
        <v>0.1437533684442147</v>
      </c>
      <c r="M704" s="26" t="n">
        <v>267.7835560736249</v>
      </c>
      <c r="N704" s="27" t="n">
        <v>0.1745470016467669</v>
      </c>
      <c r="O704" s="26" t="n">
        <v>233.0324952747793</v>
      </c>
      <c r="P704" s="27" t="n">
        <v>0.1692063357461423</v>
      </c>
      <c r="Q704" s="26" t="n">
        <v>253.3026691605301</v>
      </c>
      <c r="R704" s="27" t="n">
        <v>0.2232073344056254</v>
      </c>
      <c r="S704" s="26" t="n">
        <v>243.1679695419718</v>
      </c>
      <c r="T704" s="27" t="n">
        <v>0.2472803137615043</v>
      </c>
      <c r="U704" s="26" t="n">
        <v>256.2856898597897</v>
      </c>
      <c r="V704" s="27" t="n">
        <v>0.2073203325334923</v>
      </c>
      <c r="W704" s="26" t="n">
        <v>258.498359278575</v>
      </c>
      <c r="X704" s="27" t="n">
        <v>0.1785153657089974</v>
      </c>
      <c r="Y704" s="26" t="n">
        <v>243.0980939602395</v>
      </c>
      <c r="Z704" s="27" t="n">
        <v>0.1203768608635303</v>
      </c>
      <c r="AA704" s="26" t="n">
        <v>249.5371172346452</v>
      </c>
      <c r="AB704" s="27" t="n">
        <v>0.2280051855204094</v>
      </c>
    </row>
    <row r="705">
      <c r="A705" s="26" t="n">
        <v>251.2032400564863</v>
      </c>
      <c r="B705" s="27" t="n">
        <v>0.2081445926830318</v>
      </c>
      <c r="C705" s="26" t="n">
        <v>248.6137965098909</v>
      </c>
      <c r="D705" s="27" t="n">
        <v>0.2072614678607963</v>
      </c>
      <c r="E705" s="26" t="n">
        <v>271.8801794809954</v>
      </c>
      <c r="F705" s="27" t="n">
        <v>0.1709392382142882</v>
      </c>
      <c r="G705" s="26" t="n">
        <v>285.1091078745985</v>
      </c>
      <c r="H705" s="27" t="n">
        <v>0.1334190768799738</v>
      </c>
      <c r="I705" s="26" t="n">
        <v>288.1289005236584</v>
      </c>
      <c r="J705" s="27" t="n">
        <v>0.1337965679606215</v>
      </c>
      <c r="K705" s="26" t="n">
        <v>278.2737196673489</v>
      </c>
      <c r="L705" s="27" t="n">
        <v>0.1444128202704185</v>
      </c>
      <c r="M705" s="26" t="n">
        <v>267.8748617757108</v>
      </c>
      <c r="N705" s="27" t="n">
        <v>0.1752750850302886</v>
      </c>
      <c r="O705" s="26" t="n">
        <v>233.1568999688678</v>
      </c>
      <c r="P705" s="27" t="n">
        <v>0.1699417505471665</v>
      </c>
      <c r="Q705" s="26" t="n">
        <v>253.396755936163</v>
      </c>
      <c r="R705" s="27" t="n">
        <v>0.2239683585865471</v>
      </c>
      <c r="S705" s="26" t="n">
        <v>243.2743931500032</v>
      </c>
      <c r="T705" s="27" t="n">
        <v>0.2480319154642583</v>
      </c>
      <c r="U705" s="26" t="n">
        <v>256.3707351542421</v>
      </c>
      <c r="V705" s="27" t="n">
        <v>0.2080921950038842</v>
      </c>
      <c r="W705" s="26" t="n">
        <v>258.5765447706278</v>
      </c>
      <c r="X705" s="27" t="n">
        <v>0.1792735982044344</v>
      </c>
      <c r="Y705" s="26" t="n">
        <v>243.2035351268463</v>
      </c>
      <c r="Z705" s="27" t="n">
        <v>0.1209084513293768</v>
      </c>
      <c r="AA705" s="26" t="n">
        <v>249.6173048963518</v>
      </c>
      <c r="AB705" s="27" t="n">
        <v>0.2287873114831416</v>
      </c>
    </row>
    <row r="706">
      <c r="A706" s="26" t="n">
        <v>251.3690017196916</v>
      </c>
      <c r="B706" s="27" t="n">
        <v>0.2088657367088352</v>
      </c>
      <c r="C706" s="26" t="n">
        <v>248.7538460237056</v>
      </c>
      <c r="D706" s="27" t="n">
        <v>0.2080115488758328</v>
      </c>
      <c r="E706" s="26" t="n">
        <v>271.993237135352</v>
      </c>
      <c r="F706" s="27" t="n">
        <v>0.1716431064821083</v>
      </c>
      <c r="G706" s="26" t="n">
        <v>285.195830305204</v>
      </c>
      <c r="H706" s="27" t="n">
        <v>0.1340353326604361</v>
      </c>
      <c r="I706" s="26" t="n">
        <v>288.2092849521584</v>
      </c>
      <c r="J706" s="27" t="n">
        <v>0.1344161499215113</v>
      </c>
      <c r="K706" s="26" t="n">
        <v>278.3499621617053</v>
      </c>
      <c r="L706" s="27" t="n">
        <v>0.145074567392947</v>
      </c>
      <c r="M706" s="26" t="n">
        <v>267.9661674777966</v>
      </c>
      <c r="N706" s="27" t="n">
        <v>0.1760047067563061</v>
      </c>
      <c r="O706" s="26" t="n">
        <v>233.2813046629564</v>
      </c>
      <c r="P706" s="27" t="n">
        <v>0.1706795941602226</v>
      </c>
      <c r="Q706" s="26" t="n">
        <v>253.4908427117959</v>
      </c>
      <c r="R706" s="27" t="n">
        <v>0.2247293865694859</v>
      </c>
      <c r="S706" s="26" t="n">
        <v>243.3808167580345</v>
      </c>
      <c r="T706" s="27" t="n">
        <v>0.2487828317986761</v>
      </c>
      <c r="U706" s="26" t="n">
        <v>256.4557804486943</v>
      </c>
      <c r="V706" s="27" t="n">
        <v>0.2088646749218619</v>
      </c>
      <c r="W706" s="26" t="n">
        <v>258.6547302626806</v>
      </c>
      <c r="X706" s="27" t="n">
        <v>0.1800335623089263</v>
      </c>
      <c r="Y706" s="26" t="n">
        <v>243.3089762934532</v>
      </c>
      <c r="Z706" s="27" t="n">
        <v>0.1214423974306648</v>
      </c>
      <c r="AA706" s="26" t="n">
        <v>249.6974925580584</v>
      </c>
      <c r="AB706" s="27" t="n">
        <v>0.229569451782192</v>
      </c>
    </row>
    <row r="707">
      <c r="A707" s="26" t="n">
        <v>251.5347633828969</v>
      </c>
      <c r="B707" s="27" t="n">
        <v>0.2095872365828065</v>
      </c>
      <c r="C707" s="26" t="n">
        <v>248.8938955375205</v>
      </c>
      <c r="D707" s="27" t="n">
        <v>0.2087622342022503</v>
      </c>
      <c r="E707" s="26" t="n">
        <v>272.1062947897088</v>
      </c>
      <c r="F707" s="27" t="n">
        <v>0.1723484430259946</v>
      </c>
      <c r="G707" s="26" t="n">
        <v>285.2825527358096</v>
      </c>
      <c r="H707" s="27" t="n">
        <v>0.134653923294395</v>
      </c>
      <c r="I707" s="26" t="n">
        <v>288.2896693806583</v>
      </c>
      <c r="J707" s="27" t="n">
        <v>0.1350380452435195</v>
      </c>
      <c r="K707" s="26" t="n">
        <v>278.4262046560617</v>
      </c>
      <c r="L707" s="27" t="n">
        <v>0.1457386065920089</v>
      </c>
      <c r="M707" s="26" t="n">
        <v>268.0574731798824</v>
      </c>
      <c r="N707" s="27" t="n">
        <v>0.1767358515560294</v>
      </c>
      <c r="O707" s="26" t="n">
        <v>233.4057093570449</v>
      </c>
      <c r="P707" s="27" t="n">
        <v>0.171419862355267</v>
      </c>
      <c r="Q707" s="26" t="n">
        <v>253.5849294874289</v>
      </c>
      <c r="R707" s="27" t="n">
        <v>0.2254903936572913</v>
      </c>
      <c r="S707" s="26" t="n">
        <v>243.4872403660659</v>
      </c>
      <c r="T707" s="27" t="n">
        <v>0.2495330374953967</v>
      </c>
      <c r="U707" s="26" t="n">
        <v>256.5408257431467</v>
      </c>
      <c r="V707" s="27" t="n">
        <v>0.2096377493136327</v>
      </c>
      <c r="W707" s="26" t="n">
        <v>258.7329157547334</v>
      </c>
      <c r="X707" s="27" t="n">
        <v>0.1807952432522881</v>
      </c>
      <c r="Y707" s="26" t="n">
        <v>243.4144174600602</v>
      </c>
      <c r="Z707" s="27" t="n">
        <v>0.1219787092491016</v>
      </c>
      <c r="AA707" s="26" t="n">
        <v>249.7776802197649</v>
      </c>
      <c r="AB707" s="27" t="n">
        <v>0.2303515812098392</v>
      </c>
    </row>
    <row r="708">
      <c r="A708" s="26" t="n">
        <v>251.7005250461023</v>
      </c>
      <c r="B708" s="27" t="n">
        <v>0.2103090695451432</v>
      </c>
      <c r="C708" s="26" t="n">
        <v>249.0339450513352</v>
      </c>
      <c r="D708" s="27" t="n">
        <v>0.2095135013274004</v>
      </c>
      <c r="E708" s="26" t="n">
        <v>272.2193524440655</v>
      </c>
      <c r="F708" s="27" t="n">
        <v>0.1730552330052984</v>
      </c>
      <c r="G708" s="26" t="n">
        <v>285.3692751664152</v>
      </c>
      <c r="H708" s="27" t="n">
        <v>0.1352748490533721</v>
      </c>
      <c r="I708" s="26" t="n">
        <v>288.3700538091583</v>
      </c>
      <c r="J708" s="27" t="n">
        <v>0.1356622534620898</v>
      </c>
      <c r="K708" s="26" t="n">
        <v>278.502447150418</v>
      </c>
      <c r="L708" s="27" t="n">
        <v>0.1464049344411911</v>
      </c>
      <c r="M708" s="26" t="n">
        <v>268.1487788819683</v>
      </c>
      <c r="N708" s="27" t="n">
        <v>0.1774685039067214</v>
      </c>
      <c r="O708" s="26" t="n">
        <v>233.5301140511335</v>
      </c>
      <c r="P708" s="27" t="n">
        <v>0.1721625506730711</v>
      </c>
      <c r="Q708" s="26" t="n">
        <v>253.6790162630619</v>
      </c>
      <c r="R708" s="27" t="n">
        <v>0.2262513550172028</v>
      </c>
      <c r="S708" s="26" t="n">
        <v>243.5936639740973</v>
      </c>
      <c r="T708" s="27" t="n">
        <v>0.2502825072242562</v>
      </c>
      <c r="U708" s="26" t="n">
        <v>256.6258710375989</v>
      </c>
      <c r="V708" s="27" t="n">
        <v>0.2104113950068521</v>
      </c>
      <c r="W708" s="26" t="n">
        <v>258.8111012467863</v>
      </c>
      <c r="X708" s="27" t="n">
        <v>0.1815586259971044</v>
      </c>
      <c r="Y708" s="26" t="n">
        <v>243.5198586266671</v>
      </c>
      <c r="Z708" s="27" t="n">
        <v>0.1225173968967902</v>
      </c>
      <c r="AA708" s="26" t="n">
        <v>249.8578678814715</v>
      </c>
      <c r="AB708" s="27" t="n">
        <v>0.2311336744227574</v>
      </c>
    </row>
    <row r="709">
      <c r="A709" s="26" t="n">
        <v>251.8662867093075</v>
      </c>
      <c r="B709" s="27" t="n">
        <v>0.2110312126471672</v>
      </c>
      <c r="C709" s="26" t="n">
        <v>249.17399456515</v>
      </c>
      <c r="D709" s="27" t="n">
        <v>0.2102653275273907</v>
      </c>
      <c r="E709" s="26" t="n">
        <v>272.3324100984223</v>
      </c>
      <c r="F709" s="27" t="n">
        <v>0.1737634613311295</v>
      </c>
      <c r="G709" s="26" t="n">
        <v>285.4559975970208</v>
      </c>
      <c r="H709" s="27" t="n">
        <v>0.1358981100437328</v>
      </c>
      <c r="I709" s="26" t="n">
        <v>288.4504382376582</v>
      </c>
      <c r="J709" s="27" t="n">
        <v>0.1362887739387781</v>
      </c>
      <c r="K709" s="26" t="n">
        <v>278.5786896447744</v>
      </c>
      <c r="L709" s="27" t="n">
        <v>0.1470735473044484</v>
      </c>
      <c r="M709" s="26" t="n">
        <v>268.2400845840542</v>
      </c>
      <c r="N709" s="27" t="n">
        <v>0.1782026480302768</v>
      </c>
      <c r="O709" s="26" t="n">
        <v>233.654518745222</v>
      </c>
      <c r="P709" s="27" t="n">
        <v>0.1729076544218814</v>
      </c>
      <c r="Q709" s="26" t="n">
        <v>253.7731030386948</v>
      </c>
      <c r="R709" s="27" t="n">
        <v>0.2270122456823709</v>
      </c>
      <c r="S709" s="26" t="n">
        <v>243.7000875821287</v>
      </c>
      <c r="T709" s="27" t="n">
        <v>0.2510312155964081</v>
      </c>
      <c r="U709" s="26" t="n">
        <v>256.7109163320513</v>
      </c>
      <c r="V709" s="27" t="n">
        <v>0.2111855886312709</v>
      </c>
      <c r="W709" s="26" t="n">
        <v>258.889286738839</v>
      </c>
      <c r="X709" s="27" t="n">
        <v>0.1823236952370129</v>
      </c>
      <c r="Y709" s="26" t="n">
        <v>243.625299793274</v>
      </c>
      <c r="Z709" s="27" t="n">
        <v>0.1230584705159143</v>
      </c>
      <c r="AA709" s="26" t="n">
        <v>249.9380555431781</v>
      </c>
      <c r="AB709" s="27" t="n">
        <v>0.231915705943606</v>
      </c>
    </row>
    <row r="710">
      <c r="A710" s="26" t="n">
        <v>252.0320483725129</v>
      </c>
      <c r="B710" s="27" t="n">
        <v>0.2117536427519574</v>
      </c>
      <c r="C710" s="26" t="n">
        <v>249.3140440789647</v>
      </c>
      <c r="D710" s="27" t="n">
        <v>0.2110176898674211</v>
      </c>
      <c r="E710" s="26" t="n">
        <v>272.445467752779</v>
      </c>
      <c r="F710" s="27" t="n">
        <v>0.1744731126649077</v>
      </c>
      <c r="G710" s="26" t="n">
        <v>285.5427200276263</v>
      </c>
      <c r="H710" s="27" t="n">
        <v>0.1365237062037094</v>
      </c>
      <c r="I710" s="26" t="n">
        <v>288.5308226661582</v>
      </c>
      <c r="J710" s="27" t="n">
        <v>0.1369176058582697</v>
      </c>
      <c r="K710" s="26" t="n">
        <v>278.6549321391307</v>
      </c>
      <c r="L710" s="27" t="n">
        <v>0.1477444413330749</v>
      </c>
      <c r="M710" s="26" t="n">
        <v>268.33139028614</v>
      </c>
      <c r="N710" s="27" t="n">
        <v>0.1789382678918258</v>
      </c>
      <c r="O710" s="26" t="n">
        <v>233.7789234393105</v>
      </c>
      <c r="P710" s="27" t="n">
        <v>0.1736551686740497</v>
      </c>
      <c r="Q710" s="26" t="n">
        <v>253.8671898143278</v>
      </c>
      <c r="R710" s="27" t="n">
        <v>0.2277730405534128</v>
      </c>
      <c r="S710" s="26" t="n">
        <v>243.8065111901601</v>
      </c>
      <c r="T710" s="27" t="n">
        <v>0.2517791371664577</v>
      </c>
      <c r="U710" s="26" t="n">
        <v>256.7959616265035</v>
      </c>
      <c r="V710" s="27" t="n">
        <v>0.2119603066194181</v>
      </c>
      <c r="W710" s="26" t="n">
        <v>258.9674722308919</v>
      </c>
      <c r="X710" s="27" t="n">
        <v>0.1830904353950001</v>
      </c>
      <c r="Y710" s="26" t="n">
        <v>243.7307409598809</v>
      </c>
      <c r="Z710" s="27" t="n">
        <v>0.1236019402784118</v>
      </c>
      <c r="AA710" s="26" t="n">
        <v>250.0182432048848</v>
      </c>
      <c r="AB710" s="27" t="n">
        <v>0.2326976501626525</v>
      </c>
    </row>
    <row r="711">
      <c r="A711" s="26" t="n">
        <v>252.1978100357181</v>
      </c>
      <c r="B711" s="27" t="n">
        <v>0.2124763365350217</v>
      </c>
      <c r="C711" s="26" t="n">
        <v>249.4540935927795</v>
      </c>
      <c r="D711" s="27" t="n">
        <v>0.2117705652021576</v>
      </c>
      <c r="E711" s="26" t="n">
        <v>272.5585254071357</v>
      </c>
      <c r="F711" s="27" t="n">
        <v>0.1751841714169364</v>
      </c>
      <c r="G711" s="26" t="n">
        <v>285.6294424582319</v>
      </c>
      <c r="H711" s="27" t="n">
        <v>0.1371516373003904</v>
      </c>
      <c r="I711" s="26" t="n">
        <v>288.6112070946581</v>
      </c>
      <c r="J711" s="27" t="n">
        <v>0.1375487482253644</v>
      </c>
      <c r="K711" s="26" t="n">
        <v>278.7311746334871</v>
      </c>
      <c r="L711" s="27" t="n">
        <v>0.1484176124626481</v>
      </c>
      <c r="M711" s="26" t="n">
        <v>268.4226959882258</v>
      </c>
      <c r="N711" s="27" t="n">
        <v>0.179675347198357</v>
      </c>
      <c r="O711" s="26" t="n">
        <v>233.9033281333991</v>
      </c>
      <c r="P711" s="27" t="n">
        <v>0.1744050882626371</v>
      </c>
      <c r="Q711" s="26" t="n">
        <v>253.9612765899607</v>
      </c>
      <c r="R711" s="27" t="n">
        <v>0.228533714400004</v>
      </c>
      <c r="S711" s="26" t="n">
        <v>243.9129347981914</v>
      </c>
      <c r="T711" s="27" t="n">
        <v>0.252526246434632</v>
      </c>
      <c r="U711" s="26" t="n">
        <v>256.8810069209559</v>
      </c>
      <c r="V711" s="27" t="n">
        <v>0.2127355252073257</v>
      </c>
      <c r="W711" s="26" t="n">
        <v>259.0456577229446</v>
      </c>
      <c r="X711" s="27" t="n">
        <v>0.1838588306217209</v>
      </c>
      <c r="Y711" s="26" t="n">
        <v>243.8361821264878</v>
      </c>
      <c r="Z711" s="27" t="n">
        <v>0.1241478163856299</v>
      </c>
      <c r="AA711" s="26" t="n">
        <v>250.0984308665913</v>
      </c>
      <c r="AB711" s="27" t="n">
        <v>0.2334794813394322</v>
      </c>
    </row>
    <row r="712">
      <c r="A712" s="26" t="n">
        <v>252.3635716989235</v>
      </c>
      <c r="B712" s="27" t="n">
        <v>0.2131992704850045</v>
      </c>
      <c r="C712" s="26" t="n">
        <v>249.5941431065943</v>
      </c>
      <c r="D712" s="27" t="n">
        <v>0.2125239301761446</v>
      </c>
      <c r="E712" s="26" t="n">
        <v>272.6715830614925</v>
      </c>
      <c r="F712" s="27" t="n">
        <v>0.1758966217449927</v>
      </c>
      <c r="G712" s="26" t="n">
        <v>285.7161648888375</v>
      </c>
      <c r="H712" s="27" t="n">
        <v>0.1377819029266777</v>
      </c>
      <c r="I712" s="26" t="n">
        <v>288.6915915231581</v>
      </c>
      <c r="J712" s="27" t="n">
        <v>0.1381821998619294</v>
      </c>
      <c r="K712" s="26" t="n">
        <v>278.8074171278435</v>
      </c>
      <c r="L712" s="27" t="n">
        <v>0.1490930564099567</v>
      </c>
      <c r="M712" s="26" t="n">
        <v>268.5140016903117</v>
      </c>
      <c r="N712" s="27" t="n">
        <v>0.1804138693973633</v>
      </c>
      <c r="O712" s="26" t="n">
        <v>234.0277328274876</v>
      </c>
      <c r="P712" s="27" t="n">
        <v>0.1751574077779915</v>
      </c>
      <c r="Q712" s="26" t="n">
        <v>254.0553633655937</v>
      </c>
      <c r="R712" s="27" t="n">
        <v>0.229294241862506</v>
      </c>
      <c r="S712" s="26" t="n">
        <v>244.0193584062228</v>
      </c>
      <c r="T712" s="27" t="n">
        <v>0.2532725178489666</v>
      </c>
      <c r="U712" s="26" t="n">
        <v>256.9660522154081</v>
      </c>
      <c r="V712" s="27" t="n">
        <v>0.2135112204352916</v>
      </c>
      <c r="W712" s="26" t="n">
        <v>259.1238432149975</v>
      </c>
      <c r="X712" s="27" t="n">
        <v>0.1846288647938365</v>
      </c>
      <c r="Y712" s="26" t="n">
        <v>243.9416232930947</v>
      </c>
      <c r="Z712" s="27" t="n">
        <v>0.1246961090679669</v>
      </c>
      <c r="AA712" s="26" t="n">
        <v>250.1786185282979</v>
      </c>
      <c r="AB712" s="27" t="n">
        <v>0.2342611736044451</v>
      </c>
    </row>
    <row r="713">
      <c r="A713" s="26" t="n">
        <v>252.5293333621288</v>
      </c>
      <c r="B713" s="27" t="n">
        <v>0.213922420904436</v>
      </c>
      <c r="C713" s="26" t="n">
        <v>249.7341926204091</v>
      </c>
      <c r="D713" s="27" t="n">
        <v>0.2132777612242595</v>
      </c>
      <c r="E713" s="26" t="n">
        <v>272.7846407158492</v>
      </c>
      <c r="F713" s="27" t="n">
        <v>0.1766104475529429</v>
      </c>
      <c r="G713" s="26" t="n">
        <v>285.802887319443</v>
      </c>
      <c r="H713" s="27" t="n">
        <v>0.1384145024982058</v>
      </c>
      <c r="I713" s="26" t="n">
        <v>288.771975951658</v>
      </c>
      <c r="J713" s="27" t="n">
        <v>0.1388179594038216</v>
      </c>
      <c r="K713" s="26" t="n">
        <v>278.8836596221997</v>
      </c>
      <c r="L713" s="27" t="n">
        <v>0.1497707686699008</v>
      </c>
      <c r="M713" s="26" t="n">
        <v>268.6053073923975</v>
      </c>
      <c r="N713" s="27" t="n">
        <v>0.1811538176755137</v>
      </c>
      <c r="O713" s="26" t="n">
        <v>234.1521375215762</v>
      </c>
      <c r="P713" s="27" t="n">
        <v>0.1759121215642996</v>
      </c>
      <c r="Q713" s="26" t="n">
        <v>254.1494501412266</v>
      </c>
      <c r="R713" s="27" t="n">
        <v>0.2300545974536281</v>
      </c>
      <c r="S713" s="26" t="n">
        <v>244.1257820142542</v>
      </c>
      <c r="T713" s="27" t="n">
        <v>0.254017925807521</v>
      </c>
      <c r="U713" s="26" t="n">
        <v>257.0510975098605</v>
      </c>
      <c r="V713" s="27" t="n">
        <v>0.2142873681486852</v>
      </c>
      <c r="W713" s="26" t="n">
        <v>259.2020287070502</v>
      </c>
      <c r="X713" s="27" t="n">
        <v>0.1854005215123742</v>
      </c>
      <c r="Y713" s="26" t="n">
        <v>244.0470644597016</v>
      </c>
      <c r="Z713" s="27" t="n">
        <v>0.1252468285844969</v>
      </c>
      <c r="AA713" s="26" t="n">
        <v>250.2588061900045</v>
      </c>
      <c r="AB713" s="27" t="n">
        <v>0.2350427009608852</v>
      </c>
    </row>
    <row r="714">
      <c r="A714" s="26" t="n">
        <v>252.6950950253341</v>
      </c>
      <c r="B714" s="27" t="n">
        <v>0.2146457639105194</v>
      </c>
      <c r="C714" s="26" t="n">
        <v>249.8742421342239</v>
      </c>
      <c r="D714" s="27" t="n">
        <v>0.214032034572203</v>
      </c>
      <c r="E714" s="26" t="n">
        <v>272.8976983702059</v>
      </c>
      <c r="F714" s="27" t="n">
        <v>0.1773256324893795</v>
      </c>
      <c r="G714" s="26" t="n">
        <v>285.8896097500486</v>
      </c>
      <c r="H714" s="27" t="n">
        <v>0.1390494352502284</v>
      </c>
      <c r="I714" s="26" t="n">
        <v>288.852360380158</v>
      </c>
      <c r="J714" s="27" t="n">
        <v>0.1394560252977765</v>
      </c>
      <c r="K714" s="26" t="n">
        <v>278.9599021165561</v>
      </c>
      <c r="L714" s="27" t="n">
        <v>0.1504507445123728</v>
      </c>
      <c r="M714" s="26" t="n">
        <v>268.6966130944833</v>
      </c>
      <c r="N714" s="27" t="n">
        <v>0.1818951749573472</v>
      </c>
      <c r="O714" s="26" t="n">
        <v>234.2765422156647</v>
      </c>
      <c r="P714" s="27" t="n">
        <v>0.1766692237161114</v>
      </c>
      <c r="Q714" s="26" t="n">
        <v>254.2435369168596</v>
      </c>
      <c r="R714" s="27" t="n">
        <v>0.2308147555601279</v>
      </c>
      <c r="S714" s="26" t="n">
        <v>244.2322056222855</v>
      </c>
      <c r="T714" s="27" t="n">
        <v>0.2547624446606235</v>
      </c>
      <c r="U714" s="26" t="n">
        <v>257.1361428043128</v>
      </c>
      <c r="V714" s="27" t="n">
        <v>0.2150639439987877</v>
      </c>
      <c r="W714" s="26" t="n">
        <v>259.2802141991031</v>
      </c>
      <c r="X714" s="27" t="n">
        <v>0.1861737841011092</v>
      </c>
      <c r="Y714" s="26" t="n">
        <v>244.1525056263085</v>
      </c>
      <c r="Z714" s="27" t="n">
        <v>0.1257999852225773</v>
      </c>
      <c r="AA714" s="26" t="n">
        <v>250.3389938517111</v>
      </c>
      <c r="AB714" s="27" t="n">
        <v>0.2358240372864105</v>
      </c>
    </row>
    <row r="715">
      <c r="A715" s="26" t="n">
        <v>252.8608566885394</v>
      </c>
      <c r="B715" s="27" t="n">
        <v>0.2153692754359568</v>
      </c>
      <c r="C715" s="26" t="n">
        <v>250.0142916480387</v>
      </c>
      <c r="D715" s="27" t="n">
        <v>0.2147867262370347</v>
      </c>
      <c r="E715" s="26" t="n">
        <v>273.0107560245626</v>
      </c>
      <c r="F715" s="27" t="n">
        <v>0.1780421599462766</v>
      </c>
      <c r="G715" s="26" t="n">
        <v>285.9763321806541</v>
      </c>
      <c r="H715" s="27" t="n">
        <v>0.1396867002344702</v>
      </c>
      <c r="I715" s="26" t="n">
        <v>288.9327448086578</v>
      </c>
      <c r="J715" s="27" t="n">
        <v>0.1400963957982676</v>
      </c>
      <c r="K715" s="26" t="n">
        <v>279.0361446109125</v>
      </c>
      <c r="L715" s="27" t="n">
        <v>0.1511329789791144</v>
      </c>
      <c r="M715" s="26" t="n">
        <v>268.7879187965692</v>
      </c>
      <c r="N715" s="27" t="n">
        <v>0.1826379239039939</v>
      </c>
      <c r="O715" s="26" t="n">
        <v>234.4009469097533</v>
      </c>
      <c r="P715" s="27" t="n">
        <v>0.1774287080748409</v>
      </c>
      <c r="Q715" s="26" t="n">
        <v>254.3376236924925</v>
      </c>
      <c r="R715" s="27" t="n">
        <v>0.231574690444546</v>
      </c>
      <c r="S715" s="26" t="n">
        <v>244.3386292303169</v>
      </c>
      <c r="T715" s="27" t="n">
        <v>0.2555060487131292</v>
      </c>
      <c r="U715" s="26" t="n">
        <v>257.2211880987651</v>
      </c>
      <c r="V715" s="27" t="n">
        <v>0.2158409234436842</v>
      </c>
      <c r="W715" s="26" t="n">
        <v>259.3583996911559</v>
      </c>
      <c r="X715" s="27" t="n">
        <v>0.1869486356049667</v>
      </c>
      <c r="Y715" s="26" t="n">
        <v>244.2579467929154</v>
      </c>
      <c r="Z715" s="27" t="n">
        <v>0.1263555892974396</v>
      </c>
      <c r="AA715" s="26" t="n">
        <v>250.4191815134178</v>
      </c>
      <c r="AB715" s="27" t="n">
        <v>0.2366051563349456</v>
      </c>
    </row>
    <row r="716">
      <c r="A716" s="26" t="n">
        <v>253.0266183517447</v>
      </c>
      <c r="B716" s="27" t="n">
        <v>0.2160929312298186</v>
      </c>
      <c r="C716" s="26" t="n">
        <v>250.1543411618534</v>
      </c>
      <c r="D716" s="27" t="n">
        <v>0.215541812027746</v>
      </c>
      <c r="E716" s="26" t="n">
        <v>273.1238136789193</v>
      </c>
      <c r="F716" s="27" t="n">
        <v>0.1787600130576781</v>
      </c>
      <c r="G716" s="26" t="n">
        <v>286.0630546112597</v>
      </c>
      <c r="H716" s="27" t="n">
        <v>0.1403262963159431</v>
      </c>
      <c r="I716" s="26" t="n">
        <v>289.0131292371578</v>
      </c>
      <c r="J716" s="27" t="n">
        <v>0.1407390689643312</v>
      </c>
      <c r="K716" s="26" t="n">
        <v>279.1123871052688</v>
      </c>
      <c r="L716" s="27" t="n">
        <v>0.1518174668805576</v>
      </c>
      <c r="M716" s="26" t="n">
        <v>268.879224498655</v>
      </c>
      <c r="N716" s="27" t="n">
        <v>0.1833820469119206</v>
      </c>
      <c r="O716" s="26" t="n">
        <v>234.5253516038418</v>
      </c>
      <c r="P716" s="27" t="n">
        <v>0.1781905682252405</v>
      </c>
      <c r="Q716" s="26" t="n">
        <v>254.4317104681255</v>
      </c>
      <c r="R716" s="27" t="n">
        <v>0.2323343762469759</v>
      </c>
      <c r="S716" s="26" t="n">
        <v>244.4450528383483</v>
      </c>
      <c r="T716" s="27" t="n">
        <v>0.2562487122267124</v>
      </c>
      <c r="U716" s="26" t="n">
        <v>257.3062333932174</v>
      </c>
      <c r="V716" s="27" t="n">
        <v>0.2166182817491863</v>
      </c>
      <c r="W716" s="26" t="n">
        <v>259.4365851832086</v>
      </c>
      <c r="X716" s="27" t="n">
        <v>0.1877250587884533</v>
      </c>
      <c r="Y716" s="26" t="n">
        <v>244.3633879595223</v>
      </c>
      <c r="Z716" s="27" t="n">
        <v>0.126913651151763</v>
      </c>
      <c r="AA716" s="26" t="n">
        <v>250.4993691751243</v>
      </c>
      <c r="AB716" s="27" t="n">
        <v>0.2373860317385224</v>
      </c>
    </row>
    <row r="717">
      <c r="A717" s="26" t="n">
        <v>253.19238001495</v>
      </c>
      <c r="B717" s="27" t="n">
        <v>0.2168167068584504</v>
      </c>
      <c r="C717" s="26" t="n">
        <v>250.2943906756682</v>
      </c>
      <c r="D717" s="27" t="n">
        <v>0.2162972675458773</v>
      </c>
      <c r="E717" s="26" t="n">
        <v>273.2368713332761</v>
      </c>
      <c r="F717" s="27" t="n">
        <v>0.1794791746984008</v>
      </c>
      <c r="G717" s="26" t="n">
        <v>286.1497770418653</v>
      </c>
      <c r="H717" s="27" t="n">
        <v>0.1409682221697297</v>
      </c>
      <c r="I717" s="26" t="n">
        <v>289.0935136656577</v>
      </c>
      <c r="J717" s="27" t="n">
        <v>0.1413840426563634</v>
      </c>
      <c r="K717" s="26" t="n">
        <v>279.1886295996252</v>
      </c>
      <c r="L717" s="27" t="n">
        <v>0.1525042027926382</v>
      </c>
      <c r="M717" s="26" t="n">
        <v>268.9705302007408</v>
      </c>
      <c r="N717" s="27" t="n">
        <v>0.1841275261117045</v>
      </c>
      <c r="O717" s="26" t="n">
        <v>234.6497562979304</v>
      </c>
      <c r="P717" s="27" t="n">
        <v>0.1789547974918507</v>
      </c>
      <c r="Q717" s="26" t="n">
        <v>254.5257972437584</v>
      </c>
      <c r="R717" s="27" t="n">
        <v>0.2330937869868735</v>
      </c>
      <c r="S717" s="26" t="n">
        <v>244.5514764463796</v>
      </c>
      <c r="T717" s="27" t="n">
        <v>0.2569904094221823</v>
      </c>
      <c r="U717" s="26" t="n">
        <v>257.3912786876697</v>
      </c>
      <c r="V717" s="27" t="n">
        <v>0.2173959939898042</v>
      </c>
      <c r="W717" s="26" t="n">
        <v>259.5147706752615</v>
      </c>
      <c r="X717" s="27" t="n">
        <v>0.1885030361341072</v>
      </c>
      <c r="Y717" s="26" t="n">
        <v>244.4688291261292</v>
      </c>
      <c r="Z717" s="27" t="n">
        <v>0.1274741811552281</v>
      </c>
      <c r="AA717" s="26" t="n">
        <v>250.5795568368309</v>
      </c>
      <c r="AB717" s="27" t="n">
        <v>0.2381666370091578</v>
      </c>
    </row>
    <row r="718">
      <c r="A718" s="26" t="n">
        <v>253.3581416781553</v>
      </c>
      <c r="B718" s="27" t="n">
        <v>0.2175405777064224</v>
      </c>
      <c r="C718" s="26" t="n">
        <v>250.434440189483</v>
      </c>
      <c r="D718" s="27" t="n">
        <v>0.2170530681861769</v>
      </c>
      <c r="E718" s="26" t="n">
        <v>273.3499289876328</v>
      </c>
      <c r="F718" s="27" t="n">
        <v>0.1801996274827682</v>
      </c>
      <c r="G718" s="26" t="n">
        <v>286.2364994724709</v>
      </c>
      <c r="H718" s="27" t="n">
        <v>0.1416124762777285</v>
      </c>
      <c r="I718" s="26" t="n">
        <v>289.1738980941577</v>
      </c>
      <c r="J718" s="27" t="n">
        <v>0.1420313145328814</v>
      </c>
      <c r="K718" s="26" t="n">
        <v>279.2648720939816</v>
      </c>
      <c r="L718" s="27" t="n">
        <v>0.1531931810535923</v>
      </c>
      <c r="M718" s="26" t="n">
        <v>269.0618359028267</v>
      </c>
      <c r="N718" s="27" t="n">
        <v>0.1848743433668345</v>
      </c>
      <c r="O718" s="26" t="n">
        <v>234.7741609920189</v>
      </c>
      <c r="P718" s="27" t="n">
        <v>0.1797213889354236</v>
      </c>
      <c r="Q718" s="26" t="n">
        <v>254.6198840193913</v>
      </c>
      <c r="R718" s="27" t="n">
        <v>0.2338528965648987</v>
      </c>
      <c r="S718" s="26" t="n">
        <v>244.657900054411</v>
      </c>
      <c r="T718" s="27" t="n">
        <v>0.2577311144818186</v>
      </c>
      <c r="U718" s="26" t="n">
        <v>257.476323982122</v>
      </c>
      <c r="V718" s="27" t="n">
        <v>0.2181740350497567</v>
      </c>
      <c r="W718" s="26" t="n">
        <v>259.5929561673142</v>
      </c>
      <c r="X718" s="27" t="n">
        <v>0.1892825498409756</v>
      </c>
      <c r="Y718" s="26" t="n">
        <v>244.5742702927361</v>
      </c>
      <c r="Z718" s="27" t="n">
        <v>0.1280371897040538</v>
      </c>
      <c r="AA718" s="26" t="n">
        <v>250.6597444985375</v>
      </c>
      <c r="AB718" s="27" t="n">
        <v>0.2389469455407642</v>
      </c>
    </row>
    <row r="719">
      <c r="A719" s="26" t="n">
        <v>253.5239033413606</v>
      </c>
      <c r="B719" s="27" t="n">
        <v>0.2182645189775207</v>
      </c>
      <c r="C719" s="26" t="n">
        <v>250.5744897032978</v>
      </c>
      <c r="D719" s="27" t="n">
        <v>0.2178091891373005</v>
      </c>
      <c r="E719" s="26" t="n">
        <v>273.4629866419895</v>
      </c>
      <c r="F719" s="27" t="n">
        <v>0.1809213537633715</v>
      </c>
      <c r="G719" s="26" t="n">
        <v>286.3232219030765</v>
      </c>
      <c r="H719" s="27" t="n">
        <v>0.142259056925369</v>
      </c>
      <c r="I719" s="26" t="n">
        <v>289.2542825226576</v>
      </c>
      <c r="J719" s="27" t="n">
        <v>0.1426808820472571</v>
      </c>
      <c r="K719" s="26" t="n">
        <v>279.3411145883379</v>
      </c>
      <c r="L719" s="27" t="n">
        <v>0.1538843957607336</v>
      </c>
      <c r="M719" s="26" t="n">
        <v>269.1531416049125</v>
      </c>
      <c r="N719" s="27" t="n">
        <v>0.1856224802725401</v>
      </c>
      <c r="O719" s="26" t="n">
        <v>234.8985656861074</v>
      </c>
      <c r="P719" s="27" t="n">
        <v>0.1804903353493263</v>
      </c>
      <c r="Q719" s="26" t="n">
        <v>254.7139707950243</v>
      </c>
      <c r="R719" s="27" t="n">
        <v>0.2346116787647978</v>
      </c>
      <c r="S719" s="26" t="n">
        <v>244.7643236624424</v>
      </c>
      <c r="T719" s="27" t="n">
        <v>0.2584708015517349</v>
      </c>
      <c r="U719" s="26" t="n">
        <v>257.5613692765743</v>
      </c>
      <c r="V719" s="27" t="n">
        <v>0.2189523796240271</v>
      </c>
      <c r="W719" s="26" t="n">
        <v>259.6711416593671</v>
      </c>
      <c r="X719" s="27" t="n">
        <v>0.1900635818231199</v>
      </c>
      <c r="Y719" s="26" t="n">
        <v>244.6797114593431</v>
      </c>
      <c r="Z719" s="27" t="n">
        <v>0.1286026872205125</v>
      </c>
      <c r="AA719" s="26" t="n">
        <v>250.7399321602441</v>
      </c>
      <c r="AB719" s="27" t="n">
        <v>0.2397269306111029</v>
      </c>
    </row>
    <row r="720">
      <c r="A720" s="26" t="n">
        <v>253.6896650045659</v>
      </c>
      <c r="B720" s="27" t="n">
        <v>0.2189885056957802</v>
      </c>
      <c r="C720" s="26" t="n">
        <v>250.7145392171126</v>
      </c>
      <c r="D720" s="27" t="n">
        <v>0.2185656053825595</v>
      </c>
      <c r="E720" s="26" t="n">
        <v>273.5760442963463</v>
      </c>
      <c r="F720" s="27" t="n">
        <v>0.1816443356298529</v>
      </c>
      <c r="G720" s="26" t="n">
        <v>286.409944333682</v>
      </c>
      <c r="H720" s="27" t="n">
        <v>0.1429079621982884</v>
      </c>
      <c r="I720" s="26" t="n">
        <v>289.3346669511576</v>
      </c>
      <c r="J720" s="27" t="n">
        <v>0.1433327424444166</v>
      </c>
      <c r="K720" s="26" t="n">
        <v>279.4173570826943</v>
      </c>
      <c r="L720" s="27" t="n">
        <v>0.1545778407672078</v>
      </c>
      <c r="M720" s="26" t="n">
        <v>269.2444473069983</v>
      </c>
      <c r="N720" s="27" t="n">
        <v>0.1863719181546513</v>
      </c>
      <c r="O720" s="26" t="n">
        <v>235.022970380196</v>
      </c>
      <c r="P720" s="27" t="n">
        <v>0.1812616292559142</v>
      </c>
      <c r="Q720" s="26" t="n">
        <v>254.8080575706572</v>
      </c>
      <c r="R720" s="27" t="n">
        <v>0.2353701072553188</v>
      </c>
      <c r="S720" s="26" t="n">
        <v>244.8707472704738</v>
      </c>
      <c r="T720" s="27" t="n">
        <v>0.2592094447442603</v>
      </c>
      <c r="U720" s="26" t="n">
        <v>257.6464145710266</v>
      </c>
      <c r="V720" s="27" t="n">
        <v>0.2197310022194617</v>
      </c>
      <c r="W720" s="26" t="n">
        <v>259.7493271514198</v>
      </c>
      <c r="X720" s="27" t="n">
        <v>0.1908461137081459</v>
      </c>
      <c r="Y720" s="26" t="n">
        <v>244.78515262595</v>
      </c>
      <c r="Z720" s="27" t="n">
        <v>0.1291706841524274</v>
      </c>
      <c r="AA720" s="26" t="n">
        <v>250.8201198219507</v>
      </c>
      <c r="AB720" s="27" t="n">
        <v>0.2405065653837681</v>
      </c>
    </row>
    <row r="721">
      <c r="A721" s="26" t="n">
        <v>253.8554266677712</v>
      </c>
      <c r="B721" s="27" t="n">
        <v>0.2197125127065585</v>
      </c>
      <c r="C721" s="26" t="n">
        <v>250.8545887309273</v>
      </c>
      <c r="D721" s="27" t="n">
        <v>0.2193222917007054</v>
      </c>
      <c r="E721" s="26" t="n">
        <v>273.6891019507029</v>
      </c>
      <c r="F721" s="27" t="n">
        <v>0.1823685549077204</v>
      </c>
      <c r="G721" s="26" t="n">
        <v>286.4966667642876</v>
      </c>
      <c r="H721" s="27" t="n">
        <v>0.1435591899789755</v>
      </c>
      <c r="I721" s="26" t="n">
        <v>289.4150513796575</v>
      </c>
      <c r="J721" s="27" t="n">
        <v>0.1439868927575102</v>
      </c>
      <c r="K721" s="26" t="n">
        <v>279.4935995770506</v>
      </c>
      <c r="L721" s="27" t="n">
        <v>0.1552735096787304</v>
      </c>
      <c r="M721" s="26" t="n">
        <v>269.3357530090842</v>
      </c>
      <c r="N721" s="27" t="n">
        <v>0.1871226380684874</v>
      </c>
      <c r="O721" s="26" t="n">
        <v>235.1473750742845</v>
      </c>
      <c r="P721" s="27" t="n">
        <v>0.1820352629028879</v>
      </c>
      <c r="Q721" s="26" t="n">
        <v>254.9021443462902</v>
      </c>
      <c r="R721" s="27" t="n">
        <v>0.2361281555921654</v>
      </c>
      <c r="S721" s="26" t="n">
        <v>244.9771708785051</v>
      </c>
      <c r="T721" s="27" t="n">
        <v>0.2599470181403581</v>
      </c>
      <c r="U721" s="26" t="n">
        <v>257.7314598654789</v>
      </c>
      <c r="V721" s="27" t="n">
        <v>0.2205098771559096</v>
      </c>
      <c r="W721" s="26" t="n">
        <v>259.8275126434727</v>
      </c>
      <c r="X721" s="27" t="n">
        <v>0.1916301268357637</v>
      </c>
      <c r="Y721" s="26" t="n">
        <v>244.8905937925569</v>
      </c>
      <c r="Z721" s="27" t="n">
        <v>0.1297411909726475</v>
      </c>
      <c r="AA721" s="26" t="n">
        <v>250.9003074836573</v>
      </c>
      <c r="AB721" s="27" t="n">
        <v>0.2412858229102112</v>
      </c>
    </row>
    <row r="722">
      <c r="A722" s="26" t="n">
        <v>254.0211883309765</v>
      </c>
      <c r="B722" s="27" t="n">
        <v>0.2204365146776567</v>
      </c>
      <c r="C722" s="26" t="n">
        <v>250.9946382447421</v>
      </c>
      <c r="D722" s="27" t="n">
        <v>0.220079222666766</v>
      </c>
      <c r="E722" s="26" t="n">
        <v>273.8021596050597</v>
      </c>
      <c r="F722" s="27" t="n">
        <v>0.1830939931571906</v>
      </c>
      <c r="G722" s="26" t="n">
        <v>286.5833891948932</v>
      </c>
      <c r="H722" s="27" t="n">
        <v>0.1442127379433788</v>
      </c>
      <c r="I722" s="26" t="n">
        <v>289.4954358081575</v>
      </c>
      <c r="J722" s="27" t="n">
        <v>0.1446433298045502</v>
      </c>
      <c r="K722" s="26" t="n">
        <v>279.5698420714069</v>
      </c>
      <c r="L722" s="27" t="n">
        <v>0.1559713958503025</v>
      </c>
      <c r="M722" s="26" t="n">
        <v>269.42705871117</v>
      </c>
      <c r="N722" s="27" t="n">
        <v>0.187874620797778</v>
      </c>
      <c r="O722" s="26" t="n">
        <v>235.2717797683731</v>
      </c>
      <c r="P722" s="27" t="n">
        <v>0.1828112282596207</v>
      </c>
      <c r="Q722" s="26" t="n">
        <v>254.9962311219231</v>
      </c>
      <c r="R722" s="27" t="n">
        <v>0.2368857972199866</v>
      </c>
      <c r="S722" s="26" t="n">
        <v>245.0835944865365</v>
      </c>
      <c r="T722" s="27" t="n">
        <v>0.2606834957920501</v>
      </c>
      <c r="U722" s="26" t="n">
        <v>257.8165051599312</v>
      </c>
      <c r="V722" s="27" t="n">
        <v>0.2212889785674104</v>
      </c>
      <c r="W722" s="26" t="n">
        <v>259.9056981355254</v>
      </c>
      <c r="X722" s="27" t="n">
        <v>0.1924156022563751</v>
      </c>
      <c r="Y722" s="26" t="n">
        <v>244.9960349591638</v>
      </c>
      <c r="Z722" s="27" t="n">
        <v>0.1303142181785021</v>
      </c>
      <c r="AA722" s="26" t="n">
        <v>250.9804951453639</v>
      </c>
      <c r="AB722" s="27" t="n">
        <v>0.2420646761318006</v>
      </c>
    </row>
    <row r="723">
      <c r="A723" s="26" t="n">
        <v>254.1869499941819</v>
      </c>
      <c r="B723" s="27" t="n">
        <v>0.2211604861004783</v>
      </c>
      <c r="C723" s="26" t="n">
        <v>251.1346877585569</v>
      </c>
      <c r="D723" s="27" t="n">
        <v>0.2208363726529219</v>
      </c>
      <c r="E723" s="26" t="n">
        <v>273.9152172594164</v>
      </c>
      <c r="F723" s="27" t="n">
        <v>0.1838206316720605</v>
      </c>
      <c r="G723" s="26" t="n">
        <v>286.6701116254988</v>
      </c>
      <c r="H723" s="27" t="n">
        <v>0.1448686035574798</v>
      </c>
      <c r="I723" s="26" t="n">
        <v>289.5758202366574</v>
      </c>
      <c r="J723" s="27" t="n">
        <v>0.145302050185019</v>
      </c>
      <c r="K723" s="26" t="n">
        <v>279.6460845657633</v>
      </c>
      <c r="L723" s="27" t="n">
        <v>0.1566714923829121</v>
      </c>
      <c r="M723" s="26" t="n">
        <v>269.5183644132558</v>
      </c>
      <c r="N723" s="27" t="n">
        <v>0.1886278468536154</v>
      </c>
      <c r="O723" s="26" t="n">
        <v>235.3961844624616</v>
      </c>
      <c r="P723" s="27" t="n">
        <v>0.1835895170134675</v>
      </c>
      <c r="Q723" s="26" t="n">
        <v>255.0903178975561</v>
      </c>
      <c r="R723" s="27" t="n">
        <v>0.2376430054744042</v>
      </c>
      <c r="S723" s="26" t="n">
        <v>245.1900180945679</v>
      </c>
      <c r="T723" s="27" t="n">
        <v>0.2614188517248751</v>
      </c>
      <c r="U723" s="26" t="n">
        <v>257.9015504543835</v>
      </c>
      <c r="V723" s="27" t="n">
        <v>0.2220682804034234</v>
      </c>
      <c r="W723" s="26" t="n">
        <v>259.9838836275783</v>
      </c>
      <c r="X723" s="27" t="n">
        <v>0.1932025207296926</v>
      </c>
      <c r="Y723" s="26" t="n">
        <v>245.1014761257707</v>
      </c>
      <c r="Z723" s="27" t="n">
        <v>0.1308897762912335</v>
      </c>
      <c r="AA723" s="26" t="n">
        <v>251.0606828070705</v>
      </c>
      <c r="AB723" s="27" t="n">
        <v>0.2428430978819177</v>
      </c>
    </row>
    <row r="724">
      <c r="A724" s="26" t="n">
        <v>254.3527116573871</v>
      </c>
      <c r="B724" s="27" t="n">
        <v>0.2218844012912348</v>
      </c>
      <c r="C724" s="26" t="n">
        <v>251.2747372723717</v>
      </c>
      <c r="D724" s="27" t="n">
        <v>0.2215937158294304</v>
      </c>
      <c r="E724" s="26" t="n">
        <v>274.0282749137731</v>
      </c>
      <c r="F724" s="27" t="n">
        <v>0.1845484514786109</v>
      </c>
      <c r="G724" s="26" t="n">
        <v>286.7568340561044</v>
      </c>
      <c r="H724" s="27" t="n">
        <v>0.1455267840738341</v>
      </c>
      <c r="I724" s="26" t="n">
        <v>289.6562046651574</v>
      </c>
      <c r="J724" s="27" t="n">
        <v>0.1459630502764447</v>
      </c>
      <c r="K724" s="26" t="n">
        <v>279.7223270601196</v>
      </c>
      <c r="L724" s="27" t="n">
        <v>0.1573737921202147</v>
      </c>
      <c r="M724" s="26" t="n">
        <v>269.6096701153417</v>
      </c>
      <c r="N724" s="27" t="n">
        <v>0.1893822964734404</v>
      </c>
      <c r="O724" s="26" t="n">
        <v>235.5205891565502</v>
      </c>
      <c r="P724" s="27" t="n">
        <v>0.1843701205660514</v>
      </c>
      <c r="Q724" s="26" t="n">
        <v>255.184404673189</v>
      </c>
      <c r="R724" s="27" t="n">
        <v>0.2383997535840758</v>
      </c>
      <c r="S724" s="26" t="n">
        <v>245.2964417025993</v>
      </c>
      <c r="T724" s="27" t="n">
        <v>0.2621530599403709</v>
      </c>
      <c r="U724" s="26" t="n">
        <v>257.9865957488358</v>
      </c>
      <c r="V724" s="27" t="n">
        <v>0.2228477564301028</v>
      </c>
      <c r="W724" s="26" t="n">
        <v>260.0620691196311</v>
      </c>
      <c r="X724" s="27" t="n">
        <v>0.1939908627233864</v>
      </c>
      <c r="Y724" s="26" t="n">
        <v>245.2069172923776</v>
      </c>
      <c r="Z724" s="27" t="n">
        <v>0.1314678758554061</v>
      </c>
      <c r="AA724" s="26" t="n">
        <v>251.1408704687771</v>
      </c>
      <c r="AB724" s="27" t="n">
        <v>0.2436210608880921</v>
      </c>
    </row>
    <row r="725">
      <c r="A725" s="26" t="n">
        <v>254.5184733205925</v>
      </c>
      <c r="B725" s="27" t="n">
        <v>0.2226082343921968</v>
      </c>
      <c r="C725" s="26" t="n">
        <v>251.4147867861864</v>
      </c>
      <c r="D725" s="27" t="n">
        <v>0.2223512261655949</v>
      </c>
      <c r="E725" s="26" t="n">
        <v>274.1413325681299</v>
      </c>
      <c r="F725" s="27" t="n">
        <v>0.1852774333345386</v>
      </c>
      <c r="G725" s="26" t="n">
        <v>286.8435564867099</v>
      </c>
      <c r="H725" s="27" t="n">
        <v>0.1461872765280757</v>
      </c>
      <c r="I725" s="26" t="n">
        <v>289.7365890936572</v>
      </c>
      <c r="J725" s="27" t="n">
        <v>0.1466263262309478</v>
      </c>
      <c r="K725" s="26" t="n">
        <v>279.798569554476</v>
      </c>
      <c r="L725" s="27" t="n">
        <v>0.1580782876451966</v>
      </c>
      <c r="M725" s="26" t="n">
        <v>269.7009758174275</v>
      </c>
      <c r="N725" s="27" t="n">
        <v>0.1901379496200618</v>
      </c>
      <c r="O725" s="26" t="n">
        <v>235.6449938506387</v>
      </c>
      <c r="P725" s="27" t="n">
        <v>0.1851530300295253</v>
      </c>
      <c r="Q725" s="26" t="n">
        <v>255.278491448822</v>
      </c>
      <c r="R725" s="27" t="n">
        <v>0.2391560146727953</v>
      </c>
      <c r="S725" s="26" t="n">
        <v>245.4028653106307</v>
      </c>
      <c r="T725" s="27" t="n">
        <v>0.2628860944185724</v>
      </c>
      <c r="U725" s="26" t="n">
        <v>258.0716410432881</v>
      </c>
      <c r="V725" s="27" t="n">
        <v>0.2236273802316181</v>
      </c>
      <c r="W725" s="26" t="n">
        <v>260.1402546116839</v>
      </c>
      <c r="X725" s="27" t="n">
        <v>0.1947806084117684</v>
      </c>
      <c r="Y725" s="26" t="n">
        <v>245.3123584589845</v>
      </c>
      <c r="Z725" s="27" t="n">
        <v>0.1320485274382936</v>
      </c>
      <c r="AA725" s="26" t="n">
        <v>251.2210581304837</v>
      </c>
      <c r="AB725" s="27" t="n">
        <v>0.2443985377741696</v>
      </c>
    </row>
    <row r="726">
      <c r="A726" s="26" t="n">
        <v>254.6842349837978</v>
      </c>
      <c r="B726" s="27" t="n">
        <v>0.2233319593729854</v>
      </c>
      <c r="C726" s="26" t="n">
        <v>251.5548363000012</v>
      </c>
      <c r="D726" s="27" t="n">
        <v>0.2231088774307803</v>
      </c>
      <c r="E726" s="26" t="n">
        <v>274.2543902224866</v>
      </c>
      <c r="F726" s="27" t="n">
        <v>0.1860075577279239</v>
      </c>
      <c r="G726" s="26" t="n">
        <v>286.9302789173155</v>
      </c>
      <c r="H726" s="27" t="n">
        <v>0.146850077735387</v>
      </c>
      <c r="I726" s="26" t="n">
        <v>289.8169735221572</v>
      </c>
      <c r="J726" s="27" t="n">
        <v>0.1472918739717564</v>
      </c>
      <c r="K726" s="26" t="n">
        <v>279.8748120488324</v>
      </c>
      <c r="L726" s="27" t="n">
        <v>0.1587849712768203</v>
      </c>
      <c r="M726" s="26" t="n">
        <v>269.7922815195133</v>
      </c>
      <c r="N726" s="27" t="n">
        <v>0.19089478598071</v>
      </c>
      <c r="O726" s="26" t="n">
        <v>235.7693985447273</v>
      </c>
      <c r="P726" s="27" t="n">
        <v>0.185938236222817</v>
      </c>
      <c r="Q726" s="26" t="n">
        <v>255.3725782244549</v>
      </c>
      <c r="R726" s="27" t="n">
        <v>0.2399117617616303</v>
      </c>
      <c r="S726" s="26" t="n">
        <v>245.509288918662</v>
      </c>
      <c r="T726" s="27" t="n">
        <v>0.2636179291205385</v>
      </c>
      <c r="U726" s="26" t="n">
        <v>258.1566863377404</v>
      </c>
      <c r="V726" s="27" t="n">
        <v>0.2244071252115204</v>
      </c>
      <c r="W726" s="26" t="n">
        <v>260.2184401037367</v>
      </c>
      <c r="X726" s="27" t="n">
        <v>0.1955717376745033</v>
      </c>
      <c r="Y726" s="26" t="n">
        <v>245.4177996255914</v>
      </c>
      <c r="Z726" s="27" t="n">
        <v>0.1326317416292412</v>
      </c>
      <c r="AA726" s="26" t="n">
        <v>251.3012457921903</v>
      </c>
      <c r="AB726" s="27" t="n">
        <v>0.24517550106252</v>
      </c>
    </row>
    <row r="727">
      <c r="A727" s="26" t="n">
        <v>254.8499966470031</v>
      </c>
      <c r="B727" s="27" t="n">
        <v>0.2240555500319121</v>
      </c>
      <c r="C727" s="26" t="n">
        <v>251.694885813816</v>
      </c>
      <c r="D727" s="27" t="n">
        <v>0.223866643195477</v>
      </c>
      <c r="E727" s="26" t="n">
        <v>274.3674478768434</v>
      </c>
      <c r="F727" s="27" t="n">
        <v>0.1867388048762293</v>
      </c>
      <c r="G727" s="26" t="n">
        <v>287.017001347921</v>
      </c>
      <c r="H727" s="27" t="n">
        <v>0.1475151842869359</v>
      </c>
      <c r="I727" s="26" t="n">
        <v>289.8973579506571</v>
      </c>
      <c r="J727" s="27" t="n">
        <v>0.1479596891896916</v>
      </c>
      <c r="K727" s="26" t="n">
        <v>279.9510545431887</v>
      </c>
      <c r="L727" s="27" t="n">
        <v>0.1594938350666575</v>
      </c>
      <c r="M727" s="26" t="n">
        <v>269.8835872215992</v>
      </c>
      <c r="N727" s="27" t="n">
        <v>0.1916527849661285</v>
      </c>
      <c r="O727" s="26" t="n">
        <v>235.8938032388158</v>
      </c>
      <c r="P727" s="27" t="n">
        <v>0.1867257296678514</v>
      </c>
      <c r="Q727" s="26" t="n">
        <v>255.4666650000879</v>
      </c>
      <c r="R727" s="27" t="n">
        <v>0.2406669677710952</v>
      </c>
      <c r="S727" s="26" t="n">
        <v>245.6157125266934</v>
      </c>
      <c r="T727" s="27" t="n">
        <v>0.2643485379908976</v>
      </c>
      <c r="U727" s="26" t="n">
        <v>258.2417316321928</v>
      </c>
      <c r="V727" s="27" t="n">
        <v>0.2251869645941528</v>
      </c>
      <c r="W727" s="26" t="n">
        <v>260.2966255957895</v>
      </c>
      <c r="X727" s="27" t="n">
        <v>0.1963642300953573</v>
      </c>
      <c r="Y727" s="26" t="n">
        <v>245.5232407921983</v>
      </c>
      <c r="Z727" s="27" t="n">
        <v>0.1332175290390031</v>
      </c>
      <c r="AA727" s="26" t="n">
        <v>251.3814334538969</v>
      </c>
      <c r="AB727" s="27" t="n">
        <v>0.2459519231762842</v>
      </c>
    </row>
    <row r="728">
      <c r="A728" s="26" t="n">
        <v>255.0157583102084</v>
      </c>
      <c r="B728" s="27" t="n">
        <v>0.2247789799973624</v>
      </c>
      <c r="C728" s="26" t="n">
        <v>251.8349353276307</v>
      </c>
      <c r="D728" s="27" t="n">
        <v>0.2246244968324103</v>
      </c>
      <c r="E728" s="26" t="n">
        <v>274.4805055312</v>
      </c>
      <c r="F728" s="27" t="n">
        <v>0.1874711547253328</v>
      </c>
      <c r="G728" s="26" t="n">
        <v>287.1037237785266</v>
      </c>
      <c r="H728" s="27" t="n">
        <v>0.1481825925462775</v>
      </c>
      <c r="I728" s="26" t="n">
        <v>289.9777423791571</v>
      </c>
      <c r="J728" s="27" t="n">
        <v>0.1486297673396234</v>
      </c>
      <c r="K728" s="26" t="n">
        <v>280.0272970375451</v>
      </c>
      <c r="L728" s="27" t="n">
        <v>0.1602048707955019</v>
      </c>
      <c r="M728" s="26" t="n">
        <v>269.974892923685</v>
      </c>
      <c r="N728" s="27" t="n">
        <v>0.1924119257096975</v>
      </c>
      <c r="O728" s="26" t="n">
        <v>236.0182079329044</v>
      </c>
      <c r="P728" s="27" t="n">
        <v>0.1875155005857524</v>
      </c>
      <c r="Q728" s="26" t="n">
        <v>255.5607517757209</v>
      </c>
      <c r="R728" s="27" t="n">
        <v>0.2414216055233646</v>
      </c>
      <c r="S728" s="26" t="n">
        <v>245.7221361347248</v>
      </c>
      <c r="T728" s="27" t="n">
        <v>0.2650778949604179</v>
      </c>
      <c r="U728" s="26" t="n">
        <v>258.326776926645</v>
      </c>
      <c r="V728" s="27" t="n">
        <v>0.2259668714261106</v>
      </c>
      <c r="W728" s="26" t="n">
        <v>260.3748110878423</v>
      </c>
      <c r="X728" s="27" t="n">
        <v>0.1971580649609798</v>
      </c>
      <c r="Y728" s="26" t="n">
        <v>245.6286819588052</v>
      </c>
      <c r="Z728" s="27" t="n">
        <v>0.1338059002990548</v>
      </c>
      <c r="AA728" s="26" t="n">
        <v>251.4616211156035</v>
      </c>
      <c r="AB728" s="27" t="n">
        <v>0.2467277764416492</v>
      </c>
    </row>
    <row r="729">
      <c r="A729" s="26" t="n">
        <v>255.1815199734137</v>
      </c>
      <c r="B729" s="27" t="n">
        <v>0.2255022227292255</v>
      </c>
      <c r="C729" s="26" t="n">
        <v>251.9749848414455</v>
      </c>
      <c r="D729" s="27" t="n">
        <v>0.2253824115176996</v>
      </c>
      <c r="E729" s="26" t="n">
        <v>274.5935631855567</v>
      </c>
      <c r="F729" s="27" t="n">
        <v>0.1882045869485972</v>
      </c>
      <c r="G729" s="26" t="n">
        <v>287.1904462091322</v>
      </c>
      <c r="H729" s="27" t="n">
        <v>0.1488522986457234</v>
      </c>
      <c r="I729" s="26" t="n">
        <v>290.058126807657</v>
      </c>
      <c r="J729" s="27" t="n">
        <v>0.1493021036368959</v>
      </c>
      <c r="K729" s="26" t="n">
        <v>280.1035395319014</v>
      </c>
      <c r="L729" s="27" t="n">
        <v>0.1609180699699668</v>
      </c>
      <c r="M729" s="26" t="n">
        <v>270.0661986257709</v>
      </c>
      <c r="N729" s="27" t="n">
        <v>0.1931721870666014</v>
      </c>
      <c r="O729" s="26" t="n">
        <v>236.1426126269929</v>
      </c>
      <c r="P729" s="27" t="n">
        <v>0.188307538893026</v>
      </c>
      <c r="Q729" s="26" t="n">
        <v>255.6548385513538</v>
      </c>
      <c r="R729" s="27" t="n">
        <v>0.2421756477445164</v>
      </c>
      <c r="S729" s="26" t="n">
        <v>245.8285597427561</v>
      </c>
      <c r="T729" s="27" t="n">
        <v>0.2658059739485953</v>
      </c>
      <c r="U729" s="26" t="n">
        <v>258.4118222210974</v>
      </c>
      <c r="V729" s="27" t="n">
        <v>0.2267468185777458</v>
      </c>
      <c r="W729" s="26" t="n">
        <v>260.4529965798951</v>
      </c>
      <c r="X729" s="27" t="n">
        <v>0.1979532212597214</v>
      </c>
      <c r="Y729" s="26" t="n">
        <v>245.7341231254121</v>
      </c>
      <c r="Z729" s="27" t="n">
        <v>0.1343968660608795</v>
      </c>
      <c r="AA729" s="26" t="n">
        <v>251.5418087773101</v>
      </c>
      <c r="AB729" s="27" t="n">
        <v>0.247503033090174</v>
      </c>
    </row>
    <row r="730">
      <c r="A730" s="26" t="n">
        <v>255.347281636619</v>
      </c>
      <c r="B730" s="27" t="n">
        <v>0.2262252515203704</v>
      </c>
      <c r="C730" s="26" t="n">
        <v>252.1150343552603</v>
      </c>
      <c r="D730" s="27" t="n">
        <v>0.2261403602320658</v>
      </c>
      <c r="E730" s="26" t="n">
        <v>274.7066208399135</v>
      </c>
      <c r="F730" s="27" t="n">
        <v>0.1889390809459729</v>
      </c>
      <c r="G730" s="26" t="n">
        <v>287.2771686397377</v>
      </c>
      <c r="H730" s="27" t="n">
        <v>0.149524298482674</v>
      </c>
      <c r="I730" s="26" t="n">
        <v>290.138511236157</v>
      </c>
      <c r="J730" s="27" t="n">
        <v>0.1499766930537238</v>
      </c>
      <c r="K730" s="26" t="n">
        <v>280.1797820262577</v>
      </c>
      <c r="L730" s="27" t="n">
        <v>0.1616334238190716</v>
      </c>
      <c r="M730" s="26" t="n">
        <v>270.1575043278567</v>
      </c>
      <c r="N730" s="27" t="n">
        <v>0.1939335476130293</v>
      </c>
      <c r="O730" s="26" t="n">
        <v>236.2670173210814</v>
      </c>
      <c r="P730" s="27" t="n">
        <v>0.1891018341977267</v>
      </c>
      <c r="Q730" s="26" t="n">
        <v>255.7489253269867</v>
      </c>
      <c r="R730" s="27" t="n">
        <v>0.2429290670668224</v>
      </c>
      <c r="S730" s="26" t="n">
        <v>245.9349833507875</v>
      </c>
      <c r="T730" s="27" t="n">
        <v>0.2665327488662696</v>
      </c>
      <c r="U730" s="26" t="n">
        <v>258.4968675155496</v>
      </c>
      <c r="V730" s="27" t="n">
        <v>0.2275267787447185</v>
      </c>
      <c r="W730" s="26" t="n">
        <v>260.5311820719479</v>
      </c>
      <c r="X730" s="27" t="n">
        <v>0.1987496776804905</v>
      </c>
      <c r="Y730" s="26" t="n">
        <v>245.839564292019</v>
      </c>
      <c r="Z730" s="27" t="n">
        <v>0.1349904369952263</v>
      </c>
      <c r="AA730" s="26" t="n">
        <v>251.6219964390167</v>
      </c>
      <c r="AB730" s="27" t="n">
        <v>0.248277665261133</v>
      </c>
    </row>
    <row r="731">
      <c r="A731" s="26" t="n">
        <v>255.5130432998243</v>
      </c>
      <c r="B731" s="27" t="n">
        <v>0.2269480394981676</v>
      </c>
      <c r="C731" s="26" t="n">
        <v>252.2550838690751</v>
      </c>
      <c r="D731" s="27" t="n">
        <v>0.2268983157620862</v>
      </c>
      <c r="E731" s="26" t="n">
        <v>274.8196784942702</v>
      </c>
      <c r="F731" s="27" t="n">
        <v>0.1896746158431395</v>
      </c>
      <c r="G731" s="26" t="n">
        <v>287.3638910703434</v>
      </c>
      <c r="H731" s="27" t="n">
        <v>0.150198587715922</v>
      </c>
      <c r="I731" s="26" t="n">
        <v>290.2188956646569</v>
      </c>
      <c r="J731" s="27" t="n">
        <v>0.1506535303155598</v>
      </c>
      <c r="K731" s="26" t="n">
        <v>280.2560245206141</v>
      </c>
      <c r="L731" s="27" t="n">
        <v>0.1623509232908114</v>
      </c>
      <c r="M731" s="26" t="n">
        <v>270.2488100299425</v>
      </c>
      <c r="N731" s="27" t="n">
        <v>0.1946959856454172</v>
      </c>
      <c r="O731" s="26" t="n">
        <v>236.39142201517</v>
      </c>
      <c r="P731" s="27" t="n">
        <v>0.1898983757956016</v>
      </c>
      <c r="Q731" s="26" t="n">
        <v>255.8430121026197</v>
      </c>
      <c r="R731" s="27" t="n">
        <v>0.2436818360310659</v>
      </c>
      <c r="S731" s="26" t="n">
        <v>246.0414069588189</v>
      </c>
      <c r="T731" s="27" t="n">
        <v>0.2672581936182528</v>
      </c>
      <c r="U731" s="26" t="n">
        <v>258.581912810002</v>
      </c>
      <c r="V731" s="27" t="n">
        <v>0.2283067244495966</v>
      </c>
      <c r="W731" s="26" t="n">
        <v>260.6093675640008</v>
      </c>
      <c r="X731" s="27" t="n">
        <v>0.1995474126116421</v>
      </c>
      <c r="Y731" s="26" t="n">
        <v>245.945005458626</v>
      </c>
      <c r="Z731" s="27" t="n">
        <v>0.1355866237913416</v>
      </c>
      <c r="AA731" s="26" t="n">
        <v>251.7021841007233</v>
      </c>
      <c r="AB731" s="27" t="n">
        <v>0.2490516450039178</v>
      </c>
    </row>
    <row r="732">
      <c r="A732" s="26" t="n">
        <v>255.6788049630296</v>
      </c>
      <c r="B732" s="27" t="n">
        <v>0.2276705596260582</v>
      </c>
      <c r="C732" s="26" t="n">
        <v>252.3951333828899</v>
      </c>
      <c r="D732" s="27" t="n">
        <v>0.2276562507015014</v>
      </c>
      <c r="E732" s="26" t="n">
        <v>274.932736148627</v>
      </c>
      <c r="F732" s="27" t="n">
        <v>0.1904111704906855</v>
      </c>
      <c r="G732" s="26" t="n">
        <v>287.4506135009489</v>
      </c>
      <c r="H732" s="27" t="n">
        <v>0.1508751617619185</v>
      </c>
      <c r="I732" s="26" t="n">
        <v>290.2992800931569</v>
      </c>
      <c r="J732" s="27" t="n">
        <v>0.1513326098974332</v>
      </c>
      <c r="K732" s="26" t="n">
        <v>280.3322670149705</v>
      </c>
      <c r="L732" s="27" t="n">
        <v>0.1630705590487132</v>
      </c>
      <c r="M732" s="26" t="n">
        <v>270.3401157320284</v>
      </c>
      <c r="N732" s="27" t="n">
        <v>0.1954594791797312</v>
      </c>
      <c r="O732" s="26" t="n">
        <v>236.5158267092585</v>
      </c>
      <c r="P732" s="27" t="n">
        <v>0.1906971526662212</v>
      </c>
      <c r="Q732" s="26" t="n">
        <v>255.9370988782526</v>
      </c>
      <c r="R732" s="27" t="n">
        <v>0.2444339270889015</v>
      </c>
      <c r="S732" s="26" t="n">
        <v>246.1478305668502</v>
      </c>
      <c r="T732" s="27" t="n">
        <v>0.267982282105986</v>
      </c>
      <c r="U732" s="26" t="n">
        <v>258.6669581044542</v>
      </c>
      <c r="V732" s="27" t="n">
        <v>0.2290866280435035</v>
      </c>
      <c r="W732" s="26" t="n">
        <v>260.6875530560536</v>
      </c>
      <c r="X732" s="27" t="n">
        <v>0.2003464041399146</v>
      </c>
      <c r="Y732" s="26" t="n">
        <v>246.0504466252329</v>
      </c>
      <c r="Z732" s="27" t="n">
        <v>0.1361854371561715</v>
      </c>
      <c r="AA732" s="26" t="n">
        <v>251.7823717624299</v>
      </c>
      <c r="AB732" s="27" t="n">
        <v>0.2498249442804592</v>
      </c>
    </row>
    <row r="733">
      <c r="A733" s="26" t="n">
        <v>255.844566626235</v>
      </c>
      <c r="B733" s="27" t="n">
        <v>0.2283927847051709</v>
      </c>
      <c r="C733" s="26" t="n">
        <v>252.5351828967046</v>
      </c>
      <c r="D733" s="27" t="n">
        <v>0.2284141374525702</v>
      </c>
      <c r="E733" s="26" t="n">
        <v>275.0457938029837</v>
      </c>
      <c r="F733" s="27" t="n">
        <v>0.1911487234633247</v>
      </c>
      <c r="G733" s="26" t="n">
        <v>287.5373359315545</v>
      </c>
      <c r="H733" s="27" t="n">
        <v>0.1515540157910075</v>
      </c>
      <c r="I733" s="26" t="n">
        <v>290.3796645216568</v>
      </c>
      <c r="J733" s="27" t="n">
        <v>0.1520139260202596</v>
      </c>
      <c r="K733" s="26" t="n">
        <v>280.4085095093268</v>
      </c>
      <c r="L733" s="27" t="n">
        <v>0.1637923214683792</v>
      </c>
      <c r="M733" s="26" t="n">
        <v>270.4314214341142</v>
      </c>
      <c r="N733" s="27" t="n">
        <v>0.1962240059507905</v>
      </c>
      <c r="O733" s="26" t="n">
        <v>236.6402314033471</v>
      </c>
      <c r="P733" s="27" t="n">
        <v>0.1914981534690915</v>
      </c>
      <c r="Q733" s="26" t="n">
        <v>256.0311856538856</v>
      </c>
      <c r="R733" s="27" t="n">
        <v>0.2451853126052475</v>
      </c>
      <c r="S733" s="26" t="n">
        <v>246.2542541748816</v>
      </c>
      <c r="T733" s="27" t="n">
        <v>0.2687049882302145</v>
      </c>
      <c r="U733" s="26" t="n">
        <v>258.7520033989066</v>
      </c>
      <c r="V733" s="27" t="n">
        <v>0.2298664617078131</v>
      </c>
      <c r="W733" s="26" t="n">
        <v>260.7657385481064</v>
      </c>
      <c r="X733" s="27" t="n">
        <v>0.2011466300493987</v>
      </c>
      <c r="Y733" s="26" t="n">
        <v>246.1558877918398</v>
      </c>
      <c r="Z733" s="27" t="n">
        <v>0.1367868878135343</v>
      </c>
      <c r="AA733" s="26" t="n">
        <v>251.8625594241365</v>
      </c>
      <c r="AB733" s="27" t="n">
        <v>0.250597534967693</v>
      </c>
    </row>
    <row r="734">
      <c r="A734" s="26" t="n">
        <v>256.0103282894403</v>
      </c>
      <c r="B734" s="27" t="n">
        <v>0.2291146873759848</v>
      </c>
      <c r="C734" s="26" t="n">
        <v>252.6752324105194</v>
      </c>
      <c r="D734" s="27" t="n">
        <v>0.2291719482274774</v>
      </c>
      <c r="E734" s="26" t="n">
        <v>275.1588514573403</v>
      </c>
      <c r="F734" s="27" t="n">
        <v>0.1918872530591558</v>
      </c>
      <c r="G734" s="26" t="n">
        <v>287.62405836216</v>
      </c>
      <c r="H734" s="27" t="n">
        <v>0.1522351447236278</v>
      </c>
      <c r="I734" s="26" t="n">
        <v>290.4600489501568</v>
      </c>
      <c r="J734" s="27" t="n">
        <v>0.1526974726471234</v>
      </c>
      <c r="K734" s="26" t="n">
        <v>280.4847520036832</v>
      </c>
      <c r="L734" s="27" t="n">
        <v>0.1645162006340212</v>
      </c>
      <c r="M734" s="26" t="n">
        <v>270.5227271362</v>
      </c>
      <c r="N734" s="27" t="n">
        <v>0.1969895434116343</v>
      </c>
      <c r="O734" s="26" t="n">
        <v>236.7646360974356</v>
      </c>
      <c r="P734" s="27" t="n">
        <v>0.1923013665397506</v>
      </c>
      <c r="Q734" s="26" t="n">
        <v>256.1252724295185</v>
      </c>
      <c r="R734" s="27" t="n">
        <v>0.2459359648607236</v>
      </c>
      <c r="S734" s="26" t="n">
        <v>246.360677782913</v>
      </c>
      <c r="T734" s="27" t="n">
        <v>0.2694262858936817</v>
      </c>
      <c r="U734" s="26" t="n">
        <v>258.8370486933588</v>
      </c>
      <c r="V734" s="27" t="n">
        <v>0.2306461974558939</v>
      </c>
      <c r="W734" s="26" t="n">
        <v>260.8439240401591</v>
      </c>
      <c r="X734" s="27" t="n">
        <v>0.2019480678205502</v>
      </c>
      <c r="Y734" s="26" t="n">
        <v>246.2613289584467</v>
      </c>
      <c r="Z734" s="27" t="n">
        <v>0.1373909865032626</v>
      </c>
      <c r="AA734" s="26" t="n">
        <v>251.9427470858431</v>
      </c>
      <c r="AB734" s="27" t="n">
        <v>0.2513693888600606</v>
      </c>
    </row>
    <row r="735">
      <c r="A735" s="26" t="n">
        <v>256.1760899526456</v>
      </c>
      <c r="B735" s="27" t="n">
        <v>0.2298362401200416</v>
      </c>
      <c r="C735" s="26" t="n">
        <v>252.8152819243342</v>
      </c>
      <c r="D735" s="27" t="n">
        <v>0.2299296550497877</v>
      </c>
      <c r="E735" s="26" t="n">
        <v>275.2719091116971</v>
      </c>
      <c r="F735" s="27" t="n">
        <v>0.1926267372989583</v>
      </c>
      <c r="G735" s="26" t="n">
        <v>287.7107807927656</v>
      </c>
      <c r="H735" s="27" t="n">
        <v>0.1529185432264806</v>
      </c>
      <c r="I735" s="26" t="n">
        <v>290.5404333786566</v>
      </c>
      <c r="J735" s="27" t="n">
        <v>0.1533832434795314</v>
      </c>
      <c r="K735" s="26" t="n">
        <v>280.5609944980395</v>
      </c>
      <c r="L735" s="27" t="n">
        <v>0.1652421863349796</v>
      </c>
      <c r="M735" s="26" t="n">
        <v>270.6140328382859</v>
      </c>
      <c r="N735" s="27" t="n">
        <v>0.1977560687329314</v>
      </c>
      <c r="O735" s="26" t="n">
        <v>236.8890407915242</v>
      </c>
      <c r="P735" s="27" t="n">
        <v>0.1931067798858496</v>
      </c>
      <c r="Q735" s="26" t="n">
        <v>256.2193592051515</v>
      </c>
      <c r="R735" s="27" t="n">
        <v>0.2466858560541149</v>
      </c>
      <c r="S735" s="26" t="n">
        <v>246.4671013909444</v>
      </c>
      <c r="T735" s="27" t="n">
        <v>0.2701461490038454</v>
      </c>
      <c r="U735" s="26" t="n">
        <v>258.9220939878112</v>
      </c>
      <c r="V735" s="27" t="n">
        <v>0.2314258071349011</v>
      </c>
      <c r="W735" s="26" t="n">
        <v>260.9221095322119</v>
      </c>
      <c r="X735" s="27" t="n">
        <v>0.2027506946292458</v>
      </c>
      <c r="Y735" s="26" t="n">
        <v>246.3667701250536</v>
      </c>
      <c r="Z735" s="27" t="n">
        <v>0.1379977439803144</v>
      </c>
      <c r="AA735" s="26" t="n">
        <v>252.0229347475497</v>
      </c>
      <c r="AB735" s="27" t="n">
        <v>0.2521404776720504</v>
      </c>
    </row>
    <row r="736">
      <c r="A736" s="26" t="n">
        <v>256.3418516158509</v>
      </c>
      <c r="B736" s="27" t="n">
        <v>0.2305574152617062</v>
      </c>
      <c r="C736" s="26" t="n">
        <v>252.955331438149</v>
      </c>
      <c r="D736" s="27" t="n">
        <v>0.2306872297559591</v>
      </c>
      <c r="E736" s="26" t="n">
        <v>275.3849667660538</v>
      </c>
      <c r="F736" s="27" t="n">
        <v>0.1933671539255335</v>
      </c>
      <c r="G736" s="26" t="n">
        <v>287.7975032233712</v>
      </c>
      <c r="H736" s="27" t="n">
        <v>0.1536042057086677</v>
      </c>
      <c r="I736" s="26" t="n">
        <v>290.6208178071566</v>
      </c>
      <c r="J736" s="27" t="n">
        <v>0.1540712319536403</v>
      </c>
      <c r="K736" s="26" t="n">
        <v>280.6372369923959</v>
      </c>
      <c r="L736" s="27" t="n">
        <v>0.1659702680622338</v>
      </c>
      <c r="M736" s="26" t="n">
        <v>270.7053385403717</v>
      </c>
      <c r="N736" s="27" t="n">
        <v>0.1985235588024334</v>
      </c>
      <c r="O736" s="26" t="n">
        <v>237.0134454856127</v>
      </c>
      <c r="P736" s="27" t="n">
        <v>0.1939143811832215</v>
      </c>
      <c r="Q736" s="26" t="n">
        <v>256.3134459807844</v>
      </c>
      <c r="R736" s="27" t="n">
        <v>0.2474349583048763</v>
      </c>
      <c r="S736" s="26" t="n">
        <v>246.5735249989758</v>
      </c>
      <c r="T736" s="27" t="n">
        <v>0.2708645514756117</v>
      </c>
      <c r="U736" s="26" t="n">
        <v>259.0071392822634</v>
      </c>
      <c r="V736" s="27" t="n">
        <v>0.2322052624276183</v>
      </c>
      <c r="W736" s="26" t="n">
        <v>261.0002950242647</v>
      </c>
      <c r="X736" s="27" t="n">
        <v>0.2035544873458812</v>
      </c>
      <c r="Y736" s="26" t="n">
        <v>246.4722112916605</v>
      </c>
      <c r="Z736" s="27" t="n">
        <v>0.1386071710138515</v>
      </c>
      <c r="AA736" s="26" t="n">
        <v>252.1031224092563</v>
      </c>
      <c r="AB736" s="27" t="n">
        <v>0.2529107730407645</v>
      </c>
    </row>
    <row r="737">
      <c r="A737" s="26" t="n">
        <v>256.5076132790562</v>
      </c>
      <c r="B737" s="27" t="n">
        <v>0.2312781849699739</v>
      </c>
      <c r="C737" s="26" t="n">
        <v>253.0953809519638</v>
      </c>
      <c r="D737" s="27" t="n">
        <v>0.2314446439968987</v>
      </c>
      <c r="E737" s="26" t="n">
        <v>275.4980244204106</v>
      </c>
      <c r="F737" s="27" t="n">
        <v>0.1941084804030893</v>
      </c>
      <c r="G737" s="26" t="n">
        <v>287.8842256539767</v>
      </c>
      <c r="H737" s="27" t="n">
        <v>0.1542921263177952</v>
      </c>
      <c r="I737" s="26" t="n">
        <v>290.7012022356565</v>
      </c>
      <c r="J737" s="27" t="n">
        <v>0.154761431236457</v>
      </c>
      <c r="K737" s="26" t="n">
        <v>280.7134794867522</v>
      </c>
      <c r="L737" s="27" t="n">
        <v>0.1667004350049018</v>
      </c>
      <c r="M737" s="26" t="n">
        <v>270.7966442424575</v>
      </c>
      <c r="N737" s="27" t="n">
        <v>0.1992919902244751</v>
      </c>
      <c r="O737" s="26" t="n">
        <v>237.1378501797013</v>
      </c>
      <c r="P737" s="27" t="n">
        <v>0.1947241577719322</v>
      </c>
      <c r="Q737" s="26" t="n">
        <v>256.4075327564174</v>
      </c>
      <c r="R737" s="27" t="n">
        <v>0.2481832436556769</v>
      </c>
      <c r="S737" s="26" t="n">
        <v>246.6799486070071</v>
      </c>
      <c r="T737" s="27" t="n">
        <v>0.2715814672340895</v>
      </c>
      <c r="U737" s="26" t="n">
        <v>259.0921845767158</v>
      </c>
      <c r="V737" s="27" t="n">
        <v>0.232984534854349</v>
      </c>
      <c r="W737" s="26" t="n">
        <v>261.0784805163175</v>
      </c>
      <c r="X737" s="27" t="n">
        <v>0.2043594225345131</v>
      </c>
      <c r="Y737" s="26" t="n">
        <v>246.5776524582674</v>
      </c>
      <c r="Z737" s="27" t="n">
        <v>0.1392192783862848</v>
      </c>
      <c r="AA737" s="26" t="n">
        <v>252.1833100709628</v>
      </c>
      <c r="AB737" s="27" t="n">
        <v>0.253680246528534</v>
      </c>
    </row>
    <row r="738">
      <c r="A738" s="26" t="n">
        <v>256.6733749422615</v>
      </c>
      <c r="B738" s="27" t="n">
        <v>0.2319985212603296</v>
      </c>
      <c r="C738" s="26" t="n">
        <v>253.2354304657785</v>
      </c>
      <c r="D738" s="27" t="n">
        <v>0.2322018692395792</v>
      </c>
      <c r="E738" s="26" t="n">
        <v>275.6110820747673</v>
      </c>
      <c r="F738" s="27" t="n">
        <v>0.1948506939166621</v>
      </c>
      <c r="G738" s="26" t="n">
        <v>287.9709480845823</v>
      </c>
      <c r="H738" s="27" t="n">
        <v>0.1549822989360461</v>
      </c>
      <c r="I738" s="26" t="n">
        <v>290.7815866641565</v>
      </c>
      <c r="J738" s="27" t="n">
        <v>0.1554538342220119</v>
      </c>
      <c r="K738" s="26" t="n">
        <v>280.7897219811085</v>
      </c>
      <c r="L738" s="27" t="n">
        <v>0.1674326760467341</v>
      </c>
      <c r="M738" s="26" t="n">
        <v>270.8879499445434</v>
      </c>
      <c r="N738" s="27" t="n">
        <v>0.2000613393195197</v>
      </c>
      <c r="O738" s="26" t="n">
        <v>237.2622548737898</v>
      </c>
      <c r="P738" s="27" t="n">
        <v>0.1955360966523242</v>
      </c>
      <c r="Q738" s="26" t="n">
        <v>256.5016195320503</v>
      </c>
      <c r="R738" s="27" t="n">
        <v>0.2489306840749804</v>
      </c>
      <c r="S738" s="26" t="n">
        <v>246.7863722150385</v>
      </c>
      <c r="T738" s="27" t="n">
        <v>0.2722968702173645</v>
      </c>
      <c r="U738" s="26" t="n">
        <v>259.1772298711681</v>
      </c>
      <c r="V738" s="27" t="n">
        <v>0.2337635957748542</v>
      </c>
      <c r="W738" s="26" t="n">
        <v>261.1566660083703</v>
      </c>
      <c r="X738" s="27" t="n">
        <v>0.2051654764520479</v>
      </c>
      <c r="Y738" s="26" t="n">
        <v>246.6830936248743</v>
      </c>
      <c r="Z738" s="27" t="n">
        <v>0.1398340768922846</v>
      </c>
      <c r="AA738" s="26" t="n">
        <v>252.2634977326695</v>
      </c>
      <c r="AB738" s="27" t="n">
        <v>0.2544488696255706</v>
      </c>
    </row>
    <row r="739">
      <c r="A739" s="26" t="n">
        <v>256.8391366054668</v>
      </c>
      <c r="B739" s="27" t="n">
        <v>0.2327183959966526</v>
      </c>
      <c r="C739" s="26" t="n">
        <v>253.3754799795933</v>
      </c>
      <c r="D739" s="27" t="n">
        <v>0.2329588767687031</v>
      </c>
      <c r="E739" s="26" t="n">
        <v>275.724139729124</v>
      </c>
      <c r="F739" s="27" t="n">
        <v>0.1955937713715942</v>
      </c>
      <c r="G739" s="26" t="n">
        <v>288.0576705151879</v>
      </c>
      <c r="H739" s="27" t="n">
        <v>0.1556747171762225</v>
      </c>
      <c r="I739" s="26" t="n">
        <v>290.8619710926564</v>
      </c>
      <c r="J739" s="27" t="n">
        <v>0.1561484335275074</v>
      </c>
      <c r="K739" s="26" t="n">
        <v>280.8659644754649</v>
      </c>
      <c r="L739" s="27" t="n">
        <v>0.1681669797625956</v>
      </c>
      <c r="M739" s="26" t="n">
        <v>270.9792556466292</v>
      </c>
      <c r="N739" s="27" t="n">
        <v>0.2008315821237526</v>
      </c>
      <c r="O739" s="26" t="n">
        <v>237.3866595678784</v>
      </c>
      <c r="P739" s="27" t="n">
        <v>0.1963501844810437</v>
      </c>
      <c r="Q739" s="26" t="n">
        <v>256.5957063076833</v>
      </c>
      <c r="R739" s="27" t="n">
        <v>0.2496772514596539</v>
      </c>
      <c r="S739" s="26" t="n">
        <v>246.8927958230699</v>
      </c>
      <c r="T739" s="27" t="n">
        <v>0.2730107343792878</v>
      </c>
      <c r="U739" s="26" t="n">
        <v>259.2622751656204</v>
      </c>
      <c r="V739" s="27" t="n">
        <v>0.2345424163903493</v>
      </c>
      <c r="W739" s="26" t="n">
        <v>261.2348515004231</v>
      </c>
      <c r="X739" s="27" t="n">
        <v>0.2059726250474761</v>
      </c>
      <c r="Y739" s="26" t="n">
        <v>246.7885347914813</v>
      </c>
      <c r="Z739" s="27" t="n">
        <v>0.1404515773377574</v>
      </c>
      <c r="AA739" s="26" t="n">
        <v>252.3436853943761</v>
      </c>
      <c r="AB739" s="27" t="n">
        <v>0.255216613752634</v>
      </c>
    </row>
    <row r="740">
      <c r="A740" s="26" t="n">
        <v>257.0048982686722</v>
      </c>
      <c r="B740" s="27" t="n">
        <v>0.2334377808931748</v>
      </c>
      <c r="C740" s="26" t="n">
        <v>253.5155294934081</v>
      </c>
      <c r="D740" s="27" t="n">
        <v>0.2337156376884226</v>
      </c>
      <c r="E740" s="26" t="n">
        <v>275.8371973834808</v>
      </c>
      <c r="F740" s="27" t="n">
        <v>0.1963376893930458</v>
      </c>
      <c r="G740" s="26" t="n">
        <v>288.1443929457935</v>
      </c>
      <c r="H740" s="27" t="n">
        <v>0.1563693743777564</v>
      </c>
      <c r="I740" s="26" t="n">
        <v>290.9423555211564</v>
      </c>
      <c r="J740" s="27" t="n">
        <v>0.1568452214894402</v>
      </c>
      <c r="K740" s="26" t="n">
        <v>280.9422069698213</v>
      </c>
      <c r="L740" s="27" t="n">
        <v>0.1689033344149402</v>
      </c>
      <c r="M740" s="26" t="n">
        <v>271.0705613487151</v>
      </c>
      <c r="N740" s="27" t="n">
        <v>0.2016026943887211</v>
      </c>
      <c r="O740" s="26" t="n">
        <v>237.5110642619669</v>
      </c>
      <c r="P740" s="27" t="n">
        <v>0.1971664075670599</v>
      </c>
      <c r="Q740" s="26" t="n">
        <v>256.6897930833162</v>
      </c>
      <c r="R740" s="27" t="n">
        <v>0.2504229176376222</v>
      </c>
      <c r="S740" s="26" t="n">
        <v>246.9992194311013</v>
      </c>
      <c r="T740" s="27" t="n">
        <v>0.2737230336922913</v>
      </c>
      <c r="U740" s="26" t="n">
        <v>259.3473204600728</v>
      </c>
      <c r="V740" s="27" t="n">
        <v>0.2353209677455361</v>
      </c>
      <c r="W740" s="26" t="n">
        <v>261.313036992476</v>
      </c>
      <c r="X740" s="27" t="n">
        <v>0.2067808439611535</v>
      </c>
      <c r="Y740" s="26" t="n">
        <v>246.8939759580882</v>
      </c>
      <c r="Z740" s="27" t="n">
        <v>0.1410717905387839</v>
      </c>
      <c r="AA740" s="26" t="n">
        <v>252.4238730560826</v>
      </c>
      <c r="AB740" s="27" t="n">
        <v>0.2559834502637685</v>
      </c>
    </row>
    <row r="741">
      <c r="A741" s="26" t="n">
        <v>257.1706599318775</v>
      </c>
      <c r="B741" s="27" t="n">
        <v>0.2341566475164852</v>
      </c>
      <c r="C741" s="26" t="n">
        <v>253.6555790072229</v>
      </c>
      <c r="D741" s="27" t="n">
        <v>0.2344721229241116</v>
      </c>
      <c r="E741" s="26" t="n">
        <v>275.9502550378375</v>
      </c>
      <c r="F741" s="27" t="n">
        <v>0.197082424325562</v>
      </c>
      <c r="G741" s="26" t="n">
        <v>288.2311153763991</v>
      </c>
      <c r="H741" s="27" t="n">
        <v>0.1570662636026882</v>
      </c>
      <c r="I741" s="26" t="n">
        <v>291.0227399496563</v>
      </c>
      <c r="J741" s="27" t="n">
        <v>0.1575441901596989</v>
      </c>
      <c r="K741" s="26" t="n">
        <v>281.0184494641776</v>
      </c>
      <c r="L741" s="27" t="n">
        <v>0.1696417279502842</v>
      </c>
      <c r="M741" s="26" t="n">
        <v>271.1618670508009</v>
      </c>
      <c r="N741" s="27" t="n">
        <v>0.202374651581029</v>
      </c>
      <c r="O741" s="26" t="n">
        <v>237.6354689560554</v>
      </c>
      <c r="P741" s="27" t="n">
        <v>0.1979847518676742</v>
      </c>
      <c r="Q741" s="26" t="n">
        <v>256.7838798589491</v>
      </c>
      <c r="R741" s="27" t="n">
        <v>0.2511676543705546</v>
      </c>
      <c r="S741" s="26" t="n">
        <v>247.1056430391326</v>
      </c>
      <c r="T741" s="27" t="n">
        <v>0.274433742150212</v>
      </c>
      <c r="U741" s="26" t="n">
        <v>259.432365754525</v>
      </c>
      <c r="V741" s="27" t="n">
        <v>0.2360992207307013</v>
      </c>
      <c r="W741" s="26" t="n">
        <v>261.3912224845288</v>
      </c>
      <c r="X741" s="27" t="n">
        <v>0.2075901085241341</v>
      </c>
      <c r="Y741" s="26" t="n">
        <v>246.9994171246951</v>
      </c>
      <c r="Z741" s="27" t="n">
        <v>0.1416947273205209</v>
      </c>
      <c r="AA741" s="26" t="n">
        <v>252.5040607177893</v>
      </c>
      <c r="AB741" s="27" t="n">
        <v>0.256749350449041</v>
      </c>
    </row>
    <row r="742">
      <c r="A742" s="26" t="n">
        <v>257.3364215950828</v>
      </c>
      <c r="B742" s="27" t="n">
        <v>0.2348749672875879</v>
      </c>
      <c r="C742" s="26" t="n">
        <v>253.7956285210376</v>
      </c>
      <c r="D742" s="27" t="n">
        <v>0.2352283032241933</v>
      </c>
      <c r="E742" s="26" t="n">
        <v>276.0633126921941</v>
      </c>
      <c r="F742" s="27" t="n">
        <v>0.1978279522326849</v>
      </c>
      <c r="G742" s="26" t="n">
        <v>288.3178378070046</v>
      </c>
      <c r="H742" s="27" t="n">
        <v>0.1577653776316195</v>
      </c>
      <c r="I742" s="26" t="n">
        <v>291.1031243781563</v>
      </c>
      <c r="J742" s="27" t="n">
        <v>0.1582453313016383</v>
      </c>
      <c r="K742" s="26" t="n">
        <v>281.094691958534</v>
      </c>
      <c r="L742" s="27" t="n">
        <v>0.1703821479956686</v>
      </c>
      <c r="M742" s="26" t="n">
        <v>271.2531727528868</v>
      </c>
      <c r="N742" s="27" t="n">
        <v>0.2031474288820752</v>
      </c>
      <c r="O742" s="26" t="n">
        <v>237.759873650144</v>
      </c>
      <c r="P742" s="27" t="n">
        <v>0.1988052029845178</v>
      </c>
      <c r="Q742" s="26" t="n">
        <v>256.8779666345821</v>
      </c>
      <c r="R742" s="27" t="n">
        <v>0.251911433356589</v>
      </c>
      <c r="S742" s="26" t="n">
        <v>247.212066647164</v>
      </c>
      <c r="T742" s="27" t="n">
        <v>0.2751428337711398</v>
      </c>
      <c r="U742" s="26" t="n">
        <v>259.5174110489774</v>
      </c>
      <c r="V742" s="27" t="n">
        <v>0.2368771460838537</v>
      </c>
      <c r="W742" s="26" t="n">
        <v>261.4694079765816</v>
      </c>
      <c r="X742" s="27" t="n">
        <v>0.2084003937575509</v>
      </c>
      <c r="Y742" s="26" t="n">
        <v>247.104858291302</v>
      </c>
      <c r="Z742" s="27" t="n">
        <v>0.1423203985160649</v>
      </c>
      <c r="AA742" s="26" t="n">
        <v>252.5842483794958</v>
      </c>
      <c r="AB742" s="27" t="n">
        <v>0.2575142855373468</v>
      </c>
    </row>
    <row r="743">
      <c r="A743" s="26" t="n">
        <v>257.502183258288</v>
      </c>
      <c r="B743" s="27" t="n">
        <v>0.2355927114840069</v>
      </c>
      <c r="C743" s="26" t="n">
        <v>253.9356780348524</v>
      </c>
      <c r="D743" s="27" t="n">
        <v>0.2359841491620222</v>
      </c>
      <c r="E743" s="26" t="n">
        <v>276.1763703465509</v>
      </c>
      <c r="F743" s="27" t="n">
        <v>0.1985742488966129</v>
      </c>
      <c r="G743" s="26" t="n">
        <v>288.4045602376102</v>
      </c>
      <c r="H743" s="27" t="n">
        <v>0.1584667089596328</v>
      </c>
      <c r="I743" s="26" t="n">
        <v>291.1835088066562</v>
      </c>
      <c r="J743" s="27" t="n">
        <v>0.1589486363861279</v>
      </c>
      <c r="K743" s="26" t="n">
        <v>281.1709344528903</v>
      </c>
      <c r="L743" s="27" t="n">
        <v>0.1711245818551201</v>
      </c>
      <c r="M743" s="26" t="n">
        <v>271.3444784549726</v>
      </c>
      <c r="N743" s="27" t="n">
        <v>0.2039210011878488</v>
      </c>
      <c r="O743" s="26" t="n">
        <v>237.8842783442325</v>
      </c>
      <c r="P743" s="27" t="n">
        <v>0.1996277461595449</v>
      </c>
      <c r="Q743" s="26" t="n">
        <v>256.972053410215</v>
      </c>
      <c r="R743" s="27" t="n">
        <v>0.2526542262330855</v>
      </c>
      <c r="S743" s="26" t="n">
        <v>247.3184902551954</v>
      </c>
      <c r="T743" s="27" t="n">
        <v>0.2758502826002773</v>
      </c>
      <c r="U743" s="26" t="n">
        <v>259.6024563434296</v>
      </c>
      <c r="V743" s="27" t="n">
        <v>0.2376547143929188</v>
      </c>
      <c r="W743" s="26" t="n">
        <v>261.5475934686343</v>
      </c>
      <c r="X743" s="27" t="n">
        <v>0.2092116743720475</v>
      </c>
      <c r="Y743" s="26" t="n">
        <v>247.2102994579089</v>
      </c>
      <c r="Z743" s="27" t="n">
        <v>0.1429488149652752</v>
      </c>
      <c r="AA743" s="26" t="n">
        <v>252.6644360412025</v>
      </c>
      <c r="AB743" s="27" t="n">
        <v>0.2582782266992211</v>
      </c>
    </row>
    <row r="744">
      <c r="A744" s="26" t="n">
        <v>257.6679449214934</v>
      </c>
      <c r="B744" s="27" t="n">
        <v>0.2363098512419454</v>
      </c>
      <c r="C744" s="26" t="n">
        <v>254.0757275486672</v>
      </c>
      <c r="D744" s="27" t="n">
        <v>0.2367396311378193</v>
      </c>
      <c r="E744" s="26" t="n">
        <v>276.2894280009076</v>
      </c>
      <c r="F744" s="27" t="n">
        <v>0.1993212898179134</v>
      </c>
      <c r="G744" s="26" t="n">
        <v>288.4912826682157</v>
      </c>
      <c r="H744" s="27" t="n">
        <v>0.1591702497921826</v>
      </c>
      <c r="I744" s="26" t="n">
        <v>291.2638932351562</v>
      </c>
      <c r="J744" s="27" t="n">
        <v>0.1596540965875805</v>
      </c>
      <c r="K744" s="26" t="n">
        <v>281.2471769472467</v>
      </c>
      <c r="L744" s="27" t="n">
        <v>0.1718690165061056</v>
      </c>
      <c r="M744" s="26" t="n">
        <v>271.4357841570584</v>
      </c>
      <c r="N744" s="27" t="n">
        <v>0.2046953431087743</v>
      </c>
      <c r="O744" s="26" t="n">
        <v>238.0086830383211</v>
      </c>
      <c r="P744" s="27" t="n">
        <v>0.2004523662710185</v>
      </c>
      <c r="Q744" s="26" t="n">
        <v>257.066140185848</v>
      </c>
      <c r="R744" s="27" t="n">
        <v>0.2533960045794278</v>
      </c>
      <c r="S744" s="26" t="n">
        <v>247.4249138632268</v>
      </c>
      <c r="T744" s="27" t="n">
        <v>0.2765560627128256</v>
      </c>
      <c r="U744" s="26" t="n">
        <v>259.687501637882</v>
      </c>
      <c r="V744" s="27" t="n">
        <v>0.2384318960979821</v>
      </c>
      <c r="W744" s="26" t="n">
        <v>261.6257789606872</v>
      </c>
      <c r="X744" s="27" t="n">
        <v>0.2100239247672634</v>
      </c>
      <c r="Y744" s="26" t="n">
        <v>247.3157406245158</v>
      </c>
      <c r="Z744" s="27" t="n">
        <v>0.1435799875135566</v>
      </c>
      <c r="AA744" s="26" t="n">
        <v>252.744623702909</v>
      </c>
      <c r="AB744" s="27" t="n">
        <v>0.2590411450497078</v>
      </c>
    </row>
    <row r="745">
      <c r="A745" s="26" t="n">
        <v>257.8337065846987</v>
      </c>
      <c r="B745" s="27" t="n">
        <v>0.2370263575584925</v>
      </c>
      <c r="C745" s="26" t="n">
        <v>254.2157770624819</v>
      </c>
      <c r="D745" s="27" t="n">
        <v>0.2374947193806649</v>
      </c>
      <c r="E745" s="26" t="n">
        <v>276.4024856552644</v>
      </c>
      <c r="F745" s="27" t="n">
        <v>0.200069050215284</v>
      </c>
      <c r="G745" s="26" t="n">
        <v>288.5780050988213</v>
      </c>
      <c r="H745" s="27" t="n">
        <v>0.1598759920409594</v>
      </c>
      <c r="I745" s="26" t="n">
        <v>291.344277663656</v>
      </c>
      <c r="J745" s="27" t="n">
        <v>0.1603617027799552</v>
      </c>
      <c r="K745" s="26" t="n">
        <v>281.3234194416031</v>
      </c>
      <c r="L745" s="27" t="n">
        <v>0.1726154385959902</v>
      </c>
      <c r="M745" s="26" t="n">
        <v>271.5270898591442</v>
      </c>
      <c r="N745" s="27" t="n">
        <v>0.2054704289696114</v>
      </c>
      <c r="O745" s="26" t="n">
        <v>238.1330877324096</v>
      </c>
      <c r="P745" s="27" t="n">
        <v>0.2012790478294867</v>
      </c>
      <c r="Q745" s="26" t="n">
        <v>257.1602269614809</v>
      </c>
      <c r="R745" s="27" t="n">
        <v>0.2541367399198508</v>
      </c>
      <c r="S745" s="26" t="n">
        <v>247.5313374712582</v>
      </c>
      <c r="T745" s="27" t="n">
        <v>0.2772601482168734</v>
      </c>
      <c r="U745" s="26" t="n">
        <v>259.7725469323342</v>
      </c>
      <c r="V745" s="27" t="n">
        <v>0.2392086614935844</v>
      </c>
      <c r="W745" s="26" t="n">
        <v>261.7039644527399</v>
      </c>
      <c r="X745" s="27" t="n">
        <v>0.2108371190313725</v>
      </c>
      <c r="Y745" s="26" t="n">
        <v>247.4211817911227</v>
      </c>
      <c r="Z745" s="27" t="n">
        <v>0.1442139270105995</v>
      </c>
      <c r="AA745" s="26" t="n">
        <v>252.8248113646156</v>
      </c>
      <c r="AB745" s="27" t="n">
        <v>0.2598030116512553</v>
      </c>
    </row>
    <row r="746">
      <c r="A746" s="26" t="n">
        <v>257.999468247904</v>
      </c>
      <c r="B746" s="27" t="n">
        <v>0.2377422012938834</v>
      </c>
      <c r="C746" s="26" t="n">
        <v>254.3558265762967</v>
      </c>
      <c r="D746" s="27" t="n">
        <v>0.2382493839505467</v>
      </c>
      <c r="E746" s="26" t="n">
        <v>276.5155433096211</v>
      </c>
      <c r="F746" s="27" t="n">
        <v>0.2008175050253671</v>
      </c>
      <c r="G746" s="26" t="n">
        <v>288.6647275294269</v>
      </c>
      <c r="H746" s="27" t="n">
        <v>0.1605839273197253</v>
      </c>
      <c r="I746" s="26" t="n">
        <v>291.424662092156</v>
      </c>
      <c r="J746" s="27" t="n">
        <v>0.161071445532741</v>
      </c>
      <c r="K746" s="26" t="n">
        <v>281.3996619359593</v>
      </c>
      <c r="L746" s="27" t="n">
        <v>0.1733638344384872</v>
      </c>
      <c r="M746" s="26" t="n">
        <v>271.6183955612301</v>
      </c>
      <c r="N746" s="27" t="n">
        <v>0.2062462328094097</v>
      </c>
      <c r="O746" s="26" t="n">
        <v>238.2574924264982</v>
      </c>
      <c r="P746" s="27" t="n">
        <v>0.2021077749737598</v>
      </c>
      <c r="Q746" s="26" t="n">
        <v>257.2543137371139</v>
      </c>
      <c r="R746" s="27" t="n">
        <v>0.2548764037263005</v>
      </c>
      <c r="S746" s="26" t="n">
        <v>247.6377610792895</v>
      </c>
      <c r="T746" s="27" t="n">
        <v>0.2779625132563142</v>
      </c>
      <c r="U746" s="26" t="n">
        <v>259.8575922267866</v>
      </c>
      <c r="V746" s="27" t="n">
        <v>0.2399849807310682</v>
      </c>
      <c r="W746" s="26" t="n">
        <v>261.7821499447928</v>
      </c>
      <c r="X746" s="27" t="n">
        <v>0.2116512309406762</v>
      </c>
      <c r="Y746" s="26" t="n">
        <v>247.5266229577296</v>
      </c>
      <c r="Z746" s="27" t="n">
        <v>0.1448506443090763</v>
      </c>
      <c r="AA746" s="26" t="n">
        <v>252.9049990263222</v>
      </c>
      <c r="AB746" s="27" t="n">
        <v>0.2605637975166419</v>
      </c>
    </row>
    <row r="747">
      <c r="A747" s="26" t="n">
        <v>258.1652299111093</v>
      </c>
      <c r="B747" s="27" t="n">
        <v>0.2384573531738117</v>
      </c>
      <c r="C747" s="26" t="n">
        <v>254.4958760901115</v>
      </c>
      <c r="D747" s="27" t="n">
        <v>0.2390035947404628</v>
      </c>
      <c r="E747" s="26" t="n">
        <v>276.6286009639778</v>
      </c>
      <c r="F747" s="27" t="n">
        <v>0.2015666289026191</v>
      </c>
      <c r="G747" s="26" t="n">
        <v>288.7514499600325</v>
      </c>
      <c r="H747" s="27" t="n">
        <v>0.1612940469401203</v>
      </c>
      <c r="I747" s="26" t="n">
        <v>291.5050465206559</v>
      </c>
      <c r="J747" s="27" t="n">
        <v>0.161783315106919</v>
      </c>
      <c r="K747" s="26" t="n">
        <v>281.4759044303157</v>
      </c>
      <c r="L747" s="27" t="n">
        <v>0.174114190010113</v>
      </c>
      <c r="M747" s="26" t="n">
        <v>271.7097012633159</v>
      </c>
      <c r="N747" s="27" t="n">
        <v>0.2070227283815187</v>
      </c>
      <c r="O747" s="26" t="n">
        <v>238.3818971205867</v>
      </c>
      <c r="P747" s="27" t="n">
        <v>0.202938531466881</v>
      </c>
      <c r="Q747" s="26" t="n">
        <v>257.3484005127468</v>
      </c>
      <c r="R747" s="27" t="n">
        <v>0.2556149674213457</v>
      </c>
      <c r="S747" s="26" t="n">
        <v>247.7441846873209</v>
      </c>
      <c r="T747" s="27" t="n">
        <v>0.2786631320137724</v>
      </c>
      <c r="U747" s="26" t="n">
        <v>259.9426375212388</v>
      </c>
      <c r="V747" s="27" t="n">
        <v>0.2407608238209768</v>
      </c>
      <c r="W747" s="26" t="n">
        <v>261.8603354368456</v>
      </c>
      <c r="X747" s="27" t="n">
        <v>0.2124662339592505</v>
      </c>
      <c r="Y747" s="26" t="n">
        <v>247.6320641243366</v>
      </c>
      <c r="Z747" s="27" t="n">
        <v>0.1454901502632953</v>
      </c>
      <c r="AA747" s="26" t="n">
        <v>252.9851866880288</v>
      </c>
      <c r="AB747" s="27" t="n">
        <v>0.2613234736119494</v>
      </c>
    </row>
    <row r="748">
      <c r="A748" s="26" t="n">
        <v>258.3309915743146</v>
      </c>
      <c r="B748" s="27" t="n">
        <v>0.2391717837917901</v>
      </c>
      <c r="C748" s="26" t="n">
        <v>254.6359256039263</v>
      </c>
      <c r="D748" s="27" t="n">
        <v>0.2397573214785824</v>
      </c>
      <c r="E748" s="26" t="n">
        <v>276.7416586183346</v>
      </c>
      <c r="F748" s="27" t="n">
        <v>0.2023163962192297</v>
      </c>
      <c r="G748" s="26" t="n">
        <v>288.8381723906381</v>
      </c>
      <c r="H748" s="27" t="n">
        <v>0.1620063419074461</v>
      </c>
      <c r="I748" s="26" t="n">
        <v>291.5854309491559</v>
      </c>
      <c r="J748" s="27" t="n">
        <v>0.1624973014509031</v>
      </c>
      <c r="K748" s="26" t="n">
        <v>281.5521469246721</v>
      </c>
      <c r="L748" s="27" t="n">
        <v>0.1748664909466373</v>
      </c>
      <c r="M748" s="26" t="n">
        <v>271.8010069654018</v>
      </c>
      <c r="N748" s="27" t="n">
        <v>0.2077998891536555</v>
      </c>
      <c r="O748" s="26" t="n">
        <v>238.5063018146753</v>
      </c>
      <c r="P748" s="27" t="n">
        <v>0.2037713006920945</v>
      </c>
      <c r="Q748" s="26" t="n">
        <v>257.4424872883798</v>
      </c>
      <c r="R748" s="27" t="n">
        <v>0.2563524023811024</v>
      </c>
      <c r="S748" s="26" t="n">
        <v>247.8506082953522</v>
      </c>
      <c r="T748" s="27" t="n">
        <v>0.2793619787135459</v>
      </c>
      <c r="U748" s="26" t="n">
        <v>260.0276828156912</v>
      </c>
      <c r="V748" s="27" t="n">
        <v>0.2415361606355035</v>
      </c>
      <c r="W748" s="26" t="n">
        <v>261.9385209288984</v>
      </c>
      <c r="X748" s="27" t="n">
        <v>0.2132821012386559</v>
      </c>
      <c r="Y748" s="26" t="n">
        <v>247.7375052909434</v>
      </c>
      <c r="Z748" s="27" t="n">
        <v>0.1461324557278057</v>
      </c>
      <c r="AA748" s="26" t="n">
        <v>253.0653743497354</v>
      </c>
      <c r="AB748" s="27" t="n">
        <v>0.2620820108595535</v>
      </c>
    </row>
    <row r="749">
      <c r="A749" s="26" t="n">
        <v>258.4967532375199</v>
      </c>
      <c r="B749" s="27" t="n">
        <v>0.2398854636115658</v>
      </c>
      <c r="C749" s="26" t="n">
        <v>254.7759751177411</v>
      </c>
      <c r="D749" s="27" t="n">
        <v>0.2405105337304628</v>
      </c>
      <c r="E749" s="26" t="n">
        <v>276.8547162726912</v>
      </c>
      <c r="F749" s="27" t="n">
        <v>0.2030667810651015</v>
      </c>
      <c r="G749" s="26" t="n">
        <v>288.9248948212436</v>
      </c>
      <c r="H749" s="27" t="n">
        <v>0.1627208029164202</v>
      </c>
      <c r="I749" s="26" t="n">
        <v>291.6658153776558</v>
      </c>
      <c r="J749" s="27" t="n">
        <v>0.1632133941964636</v>
      </c>
      <c r="K749" s="26" t="n">
        <v>281.6283894190284</v>
      </c>
      <c r="L749" s="27" t="n">
        <v>0.1756207225395427</v>
      </c>
      <c r="M749" s="26" t="n">
        <v>271.8923126674876</v>
      </c>
      <c r="N749" s="27" t="n">
        <v>0.20857768830803</v>
      </c>
      <c r="O749" s="26" t="n">
        <v>238.6307065087638</v>
      </c>
      <c r="P749" s="27" t="n">
        <v>0.2046060656488143</v>
      </c>
      <c r="Q749" s="26" t="n">
        <v>257.5365740640128</v>
      </c>
      <c r="R749" s="27" t="n">
        <v>0.2570886799382124</v>
      </c>
      <c r="S749" s="26" t="n">
        <v>247.9570319033836</v>
      </c>
      <c r="T749" s="27" t="n">
        <v>0.2800590276245655</v>
      </c>
      <c r="U749" s="26" t="n">
        <v>260.1127281101434</v>
      </c>
      <c r="V749" s="27" t="n">
        <v>0.2423109609109984</v>
      </c>
      <c r="W749" s="26" t="n">
        <v>262.0167064209512</v>
      </c>
      <c r="X749" s="27" t="n">
        <v>0.2140988056176987</v>
      </c>
      <c r="Y749" s="26" t="n">
        <v>247.8429464575504</v>
      </c>
      <c r="Z749" s="27" t="n">
        <v>0.1467775715559569</v>
      </c>
      <c r="AA749" s="26" t="n">
        <v>253.145562011442</v>
      </c>
      <c r="AB749" s="27" t="n">
        <v>0.2628393801411675</v>
      </c>
    </row>
    <row r="750">
      <c r="A750" s="26" t="n">
        <v>258.6625149007252</v>
      </c>
      <c r="B750" s="27" t="n">
        <v>0.2405983629695878</v>
      </c>
      <c r="C750" s="26" t="n">
        <v>254.9160246315558</v>
      </c>
      <c r="D750" s="27" t="n">
        <v>0.2412632009013249</v>
      </c>
      <c r="E750" s="26" t="n">
        <v>276.967773927048</v>
      </c>
      <c r="F750" s="27" t="n">
        <v>0.2038177572478831</v>
      </c>
      <c r="G750" s="26" t="n">
        <v>289.0116172518492</v>
      </c>
      <c r="H750" s="27" t="n">
        <v>0.1634374203469058</v>
      </c>
      <c r="I750" s="26" t="n">
        <v>291.7461998061558</v>
      </c>
      <c r="J750" s="27" t="n">
        <v>0.1639315826546301</v>
      </c>
      <c r="K750" s="26" t="n">
        <v>281.7046319133848</v>
      </c>
      <c r="L750" s="27" t="n">
        <v>0.1763768697324821</v>
      </c>
      <c r="M750" s="26" t="n">
        <v>271.9836183695734</v>
      </c>
      <c r="N750" s="27" t="n">
        <v>0.2093560987415287</v>
      </c>
      <c r="O750" s="26" t="n">
        <v>238.7551112028524</v>
      </c>
      <c r="P750" s="27" t="n">
        <v>0.2054428089485928</v>
      </c>
      <c r="Q750" s="26" t="n">
        <v>257.6306608396457</v>
      </c>
      <c r="R750" s="27" t="n">
        <v>0.2578237713848439</v>
      </c>
      <c r="S750" s="26" t="n">
        <v>248.063455511415</v>
      </c>
      <c r="T750" s="27" t="n">
        <v>0.2807542530633644</v>
      </c>
      <c r="U750" s="26" t="n">
        <v>260.1977734045958</v>
      </c>
      <c r="V750" s="27" t="n">
        <v>0.2430851942505162</v>
      </c>
      <c r="W750" s="26" t="n">
        <v>262.0948919130039</v>
      </c>
      <c r="X750" s="27" t="n">
        <v>0.2149163196222567</v>
      </c>
      <c r="Y750" s="26" t="n">
        <v>247.9483876241573</v>
      </c>
      <c r="Z750" s="27" t="n">
        <v>0.1474255085984094</v>
      </c>
      <c r="AA750" s="26" t="n">
        <v>253.2257496731486</v>
      </c>
      <c r="AB750" s="27" t="n">
        <v>0.263595552300905</v>
      </c>
    </row>
    <row r="751">
      <c r="A751" s="26" t="n">
        <v>258.8282765639306</v>
      </c>
      <c r="B751" s="27" t="n">
        <v>0.2413104520775255</v>
      </c>
      <c r="C751" s="26" t="n">
        <v>255.0560741453706</v>
      </c>
      <c r="D751" s="27" t="n">
        <v>0.2420152922383836</v>
      </c>
      <c r="E751" s="26" t="n">
        <v>277.0808315814047</v>
      </c>
      <c r="F751" s="27" t="n">
        <v>0.2045692982930614</v>
      </c>
      <c r="G751" s="26" t="n">
        <v>289.0983396824548</v>
      </c>
      <c r="H751" s="27" t="n">
        <v>0.1641561842596184</v>
      </c>
      <c r="I751" s="26" t="n">
        <v>291.8265842346557</v>
      </c>
      <c r="J751" s="27" t="n">
        <v>0.1646518558115782</v>
      </c>
      <c r="K751" s="26" t="n">
        <v>281.7808744077412</v>
      </c>
      <c r="L751" s="27" t="n">
        <v>0.1771349171177395</v>
      </c>
      <c r="M751" s="26" t="n">
        <v>272.0749240716593</v>
      </c>
      <c r="N751" s="27" t="n">
        <v>0.2101350930659608</v>
      </c>
      <c r="O751" s="26" t="n">
        <v>238.8795158969409</v>
      </c>
      <c r="P751" s="27" t="n">
        <v>0.2062815128110897</v>
      </c>
      <c r="Q751" s="26" t="n">
        <v>257.7247476152787</v>
      </c>
      <c r="R751" s="27" t="n">
        <v>0.2585576479757293</v>
      </c>
      <c r="S751" s="26" t="n">
        <v>248.1698791194464</v>
      </c>
      <c r="T751" s="27" t="n">
        <v>0.2814476293970659</v>
      </c>
      <c r="U751" s="26" t="n">
        <v>260.2828186990481</v>
      </c>
      <c r="V751" s="27" t="n">
        <v>0.2438588301264312</v>
      </c>
      <c r="W751" s="26" t="n">
        <v>262.1730774050568</v>
      </c>
      <c r="X751" s="27" t="n">
        <v>0.2157346154651639</v>
      </c>
      <c r="Y751" s="26" t="n">
        <v>248.0538287907642</v>
      </c>
      <c r="Z751" s="27" t="n">
        <v>0.1480762777015938</v>
      </c>
      <c r="AA751" s="26" t="n">
        <v>253.3059373348552</v>
      </c>
      <c r="AB751" s="27" t="n">
        <v>0.2643504981483836</v>
      </c>
    </row>
    <row r="752">
      <c r="A752" s="26" t="n">
        <v>258.9940382271359</v>
      </c>
      <c r="B752" s="27" t="n">
        <v>0.2420217010248394</v>
      </c>
      <c r="C752" s="26" t="n">
        <v>255.1961236591854</v>
      </c>
      <c r="D752" s="27" t="n">
        <v>0.2427667768332387</v>
      </c>
      <c r="E752" s="26" t="n">
        <v>277.1938892357614</v>
      </c>
      <c r="F752" s="27" t="n">
        <v>0.2053213774441129</v>
      </c>
      <c r="G752" s="26" t="n">
        <v>289.1850621130603</v>
      </c>
      <c r="H752" s="27" t="n">
        <v>0.164877084391805</v>
      </c>
      <c r="I752" s="26" t="n">
        <v>291.9069686631557</v>
      </c>
      <c r="J752" s="27" t="n">
        <v>0.1653742023244981</v>
      </c>
      <c r="K752" s="26" t="n">
        <v>281.8571169020975</v>
      </c>
      <c r="L752" s="27" t="n">
        <v>0.1778948489327028</v>
      </c>
      <c r="M752" s="26" t="n">
        <v>272.1662297737451</v>
      </c>
      <c r="N752" s="27" t="n">
        <v>0.2109146436083625</v>
      </c>
      <c r="O752" s="26" t="n">
        <v>239.0039205910294</v>
      </c>
      <c r="P752" s="27" t="n">
        <v>0.2071221590600458</v>
      </c>
      <c r="Q752" s="26" t="n">
        <v>257.8188343909116</v>
      </c>
      <c r="R752" s="27" t="n">
        <v>0.259290280931241</v>
      </c>
      <c r="S752" s="26" t="n">
        <v>248.2763027274777</v>
      </c>
      <c r="T752" s="27" t="n">
        <v>0.2821391310463816</v>
      </c>
      <c r="U752" s="26" t="n">
        <v>260.3678639935004</v>
      </c>
      <c r="V752" s="27" t="n">
        <v>0.2446318378830901</v>
      </c>
      <c r="W752" s="26" t="n">
        <v>262.2512628971097</v>
      </c>
      <c r="X752" s="27" t="n">
        <v>0.2165536650461573</v>
      </c>
      <c r="Y752" s="26" t="n">
        <v>248.1592699573711</v>
      </c>
      <c r="Z752" s="27" t="n">
        <v>0.1487298897061204</v>
      </c>
      <c r="AA752" s="26" t="n">
        <v>253.3861249965618</v>
      </c>
      <c r="AB752" s="27" t="n">
        <v>0.2651041884618606</v>
      </c>
    </row>
    <row r="753">
      <c r="A753" s="26" t="n">
        <v>259.1597998903412</v>
      </c>
      <c r="B753" s="27" t="n">
        <v>0.2427320797814074</v>
      </c>
      <c r="C753" s="26" t="n">
        <v>255.3361731730002</v>
      </c>
      <c r="D753" s="27" t="n">
        <v>0.2435176236243237</v>
      </c>
      <c r="E753" s="26" t="n">
        <v>277.3069468901182</v>
      </c>
      <c r="F753" s="27" t="n">
        <v>0.2060739676627118</v>
      </c>
      <c r="G753" s="26" t="n">
        <v>289.2717845436659</v>
      </c>
      <c r="H753" s="27" t="n">
        <v>0.1656001101529063</v>
      </c>
      <c r="I753" s="26" t="n">
        <v>291.9873530916556</v>
      </c>
      <c r="J753" s="27" t="n">
        <v>0.1660986105174489</v>
      </c>
      <c r="K753" s="26" t="n">
        <v>281.9333593964539</v>
      </c>
      <c r="L753" s="27" t="n">
        <v>0.1786566490563376</v>
      </c>
      <c r="M753" s="26" t="n">
        <v>272.2575354758309</v>
      </c>
      <c r="N753" s="27" t="n">
        <v>0.2116947224113669</v>
      </c>
      <c r="O753" s="26" t="n">
        <v>239.128325285118</v>
      </c>
      <c r="P753" s="27" t="n">
        <v>0.2079647291192609</v>
      </c>
      <c r="Q753" s="26" t="n">
        <v>257.9129211665445</v>
      </c>
      <c r="R753" s="27" t="n">
        <v>0.2600216414405027</v>
      </c>
      <c r="S753" s="26" t="n">
        <v>248.3827263355091</v>
      </c>
      <c r="T753" s="27" t="n">
        <v>0.2828287324886266</v>
      </c>
      <c r="U753" s="26" t="n">
        <v>260.4529092879527</v>
      </c>
      <c r="V753" s="27" t="n">
        <v>0.2454041867395295</v>
      </c>
      <c r="W753" s="26" t="n">
        <v>262.3294483891624</v>
      </c>
      <c r="X753" s="27" t="n">
        <v>0.2173734399518883</v>
      </c>
      <c r="Y753" s="26" t="n">
        <v>248.264711123978</v>
      </c>
      <c r="Z753" s="27" t="n">
        <v>0.1493863554451338</v>
      </c>
      <c r="AA753" s="26" t="n">
        <v>253.4663126582684</v>
      </c>
      <c r="AB753" s="27" t="n">
        <v>0.2658565939913983</v>
      </c>
    </row>
    <row r="754">
      <c r="A754" s="26" t="n">
        <v>259.3255615535464</v>
      </c>
      <c r="B754" s="27" t="n">
        <v>0.2434415582001995</v>
      </c>
      <c r="C754" s="26" t="n">
        <v>255.476222686815</v>
      </c>
      <c r="D754" s="27" t="n">
        <v>0.2442678013994116</v>
      </c>
      <c r="E754" s="26" t="n">
        <v>277.4200045444749</v>
      </c>
      <c r="F754" s="27" t="n">
        <v>0.2068270416290038</v>
      </c>
      <c r="G754" s="26" t="n">
        <v>289.3585069742714</v>
      </c>
      <c r="H754" s="27" t="n">
        <v>0.1663252506201905</v>
      </c>
      <c r="I754" s="26" t="n">
        <v>292.0677375201556</v>
      </c>
      <c r="J754" s="27" t="n">
        <v>0.1668250683771964</v>
      </c>
      <c r="K754" s="26" t="n">
        <v>282.0096018908102</v>
      </c>
      <c r="L754" s="27" t="n">
        <v>0.1794203010056726</v>
      </c>
      <c r="M754" s="26" t="n">
        <v>272.3488411779168</v>
      </c>
      <c r="N754" s="27" t="n">
        <v>0.2124753012336347</v>
      </c>
      <c r="O754" s="26" t="n">
        <v>239.2527299792065</v>
      </c>
      <c r="P754" s="27" t="n">
        <v>0.2088092040085751</v>
      </c>
      <c r="Q754" s="26" t="n">
        <v>258.0070079421776</v>
      </c>
      <c r="R754" s="27" t="n">
        <v>0.2607517006645163</v>
      </c>
      <c r="S754" s="26" t="n">
        <v>248.4891499435405</v>
      </c>
      <c r="T754" s="27" t="n">
        <v>0.2835164082607395</v>
      </c>
      <c r="U754" s="26" t="n">
        <v>260.537954582405</v>
      </c>
      <c r="V754" s="27" t="n">
        <v>0.2461758457922432</v>
      </c>
      <c r="W754" s="26" t="n">
        <v>262.4076338812152</v>
      </c>
      <c r="X754" s="27" t="n">
        <v>0.218193911455995</v>
      </c>
      <c r="Y754" s="26" t="n">
        <v>248.3701522905849</v>
      </c>
      <c r="Z754" s="27" t="n">
        <v>0.1500456857426139</v>
      </c>
      <c r="AA754" s="26" t="n">
        <v>253.546500319975</v>
      </c>
      <c r="AB754" s="27" t="n">
        <v>0.266607685462071</v>
      </c>
    </row>
    <row r="755">
      <c r="A755" s="26" t="n">
        <v>259.4913232167518</v>
      </c>
      <c r="B755" s="27" t="n">
        <v>0.2441501060200093</v>
      </c>
      <c r="C755" s="26" t="n">
        <v>255.6162722006298</v>
      </c>
      <c r="D755" s="27" t="n">
        <v>0.2450172787981806</v>
      </c>
      <c r="E755" s="26" t="n">
        <v>277.5330621988317</v>
      </c>
      <c r="F755" s="27" t="n">
        <v>0.2075805717419395</v>
      </c>
      <c r="G755" s="26" t="n">
        <v>289.4452294048771</v>
      </c>
      <c r="H755" s="27" t="n">
        <v>0.16705249453437</v>
      </c>
      <c r="I755" s="26" t="n">
        <v>292.1481219486554</v>
      </c>
      <c r="J755" s="27" t="n">
        <v>0.1675535635490379</v>
      </c>
      <c r="K755" s="26" t="n">
        <v>282.0858443851665</v>
      </c>
      <c r="L755" s="27" t="n">
        <v>0.180185787932291</v>
      </c>
      <c r="M755" s="26" t="n">
        <v>272.4401468800026</v>
      </c>
      <c r="N755" s="27" t="n">
        <v>0.2132563515503521</v>
      </c>
      <c r="O755" s="26" t="n">
        <v>239.3771346732951</v>
      </c>
      <c r="P755" s="27" t="n">
        <v>0.2096555643398618</v>
      </c>
      <c r="Q755" s="26" t="n">
        <v>258.1010947178105</v>
      </c>
      <c r="R755" s="27" t="n">
        <v>0.2614804297393511</v>
      </c>
      <c r="S755" s="26" t="n">
        <v>248.5955735515719</v>
      </c>
      <c r="T755" s="27" t="n">
        <v>0.2842021329623211</v>
      </c>
      <c r="U755" s="26" t="n">
        <v>260.6229998768573</v>
      </c>
      <c r="V755" s="27" t="n">
        <v>0.246946784017993</v>
      </c>
      <c r="W755" s="26" t="n">
        <v>262.485819373268</v>
      </c>
      <c r="X755" s="27" t="n">
        <v>0.2190150505192468</v>
      </c>
      <c r="Y755" s="26" t="n">
        <v>248.4755934571918</v>
      </c>
      <c r="Z755" s="27" t="n">
        <v>0.1507078914116201</v>
      </c>
      <c r="AA755" s="26" t="n">
        <v>253.6266879816816</v>
      </c>
      <c r="AB755" s="27" t="n">
        <v>0.2673574335771947</v>
      </c>
    </row>
    <row r="756">
      <c r="A756" s="26" t="n">
        <v>259.6570848799571</v>
      </c>
      <c r="B756" s="27" t="n">
        <v>0.2448576928682361</v>
      </c>
      <c r="C756" s="26" t="n">
        <v>255.7563217144445</v>
      </c>
      <c r="D756" s="27" t="n">
        <v>0.2457660243148385</v>
      </c>
      <c r="E756" s="26" t="n">
        <v>277.6461198531883</v>
      </c>
      <c r="F756" s="27" t="n">
        <v>0.2083345301196698</v>
      </c>
      <c r="G756" s="26" t="n">
        <v>289.5319518354826</v>
      </c>
      <c r="H756" s="27" t="n">
        <v>0.1677818302951955</v>
      </c>
      <c r="I756" s="26" t="n">
        <v>292.2285063771554</v>
      </c>
      <c r="J756" s="27" t="n">
        <v>0.1682840833326145</v>
      </c>
      <c r="K756" s="26" t="n">
        <v>282.1620868795229</v>
      </c>
      <c r="L756" s="27" t="n">
        <v>0.1809530926188393</v>
      </c>
      <c r="M756" s="26" t="n">
        <v>272.5314525820884</v>
      </c>
      <c r="N756" s="27" t="n">
        <v>0.2140378445537918</v>
      </c>
      <c r="O756" s="26" t="n">
        <v>239.5015393673837</v>
      </c>
      <c r="P756" s="27" t="n">
        <v>0.2105037903130255</v>
      </c>
      <c r="Q756" s="26" t="n">
        <v>258.1951814934434</v>
      </c>
      <c r="R756" s="27" t="n">
        <v>0.2622077997793398</v>
      </c>
      <c r="S756" s="26" t="n">
        <v>248.7019971596033</v>
      </c>
      <c r="T756" s="27" t="n">
        <v>0.2848858812586854</v>
      </c>
      <c r="U756" s="26" t="n">
        <v>260.7080451713095</v>
      </c>
      <c r="V756" s="27" t="n">
        <v>0.2477169702766839</v>
      </c>
      <c r="W756" s="26" t="n">
        <v>262.5640048653208</v>
      </c>
      <c r="X756" s="27" t="n">
        <v>0.2198368277897499</v>
      </c>
      <c r="Y756" s="26" t="n">
        <v>248.5810346237987</v>
      </c>
      <c r="Z756" s="27" t="n">
        <v>0.1513729832524775</v>
      </c>
      <c r="AA756" s="26" t="n">
        <v>253.7068756433882</v>
      </c>
      <c r="AB756" s="27" t="n">
        <v>0.2681058090215944</v>
      </c>
    </row>
    <row r="757">
      <c r="A757" s="26" t="n">
        <v>259.8228465431624</v>
      </c>
      <c r="B757" s="27" t="n">
        <v>0.2455642882637214</v>
      </c>
      <c r="C757" s="26" t="n">
        <v>255.8963712282593</v>
      </c>
      <c r="D757" s="27" t="n">
        <v>0.2465140063008078</v>
      </c>
      <c r="E757" s="26" t="n">
        <v>277.759177507545</v>
      </c>
      <c r="F757" s="27" t="n">
        <v>0.2090888886000102</v>
      </c>
      <c r="G757" s="26" t="n">
        <v>289.6186742660882</v>
      </c>
      <c r="H757" s="27" t="n">
        <v>0.1685132459570318</v>
      </c>
      <c r="I757" s="26" t="n">
        <v>292.3088908056553</v>
      </c>
      <c r="J757" s="27" t="n">
        <v>0.1690166146777101</v>
      </c>
      <c r="K757" s="26" t="n">
        <v>282.2383293738792</v>
      </c>
      <c r="L757" s="27" t="n">
        <v>0.181722197475543</v>
      </c>
      <c r="M757" s="26" t="n">
        <v>272.6227582841742</v>
      </c>
      <c r="N757" s="27" t="n">
        <v>0.2148197511539426</v>
      </c>
      <c r="O757" s="26" t="n">
        <v>239.6259440614722</v>
      </c>
      <c r="P757" s="27" t="n">
        <v>0.2113538617120126</v>
      </c>
      <c r="Q757" s="26" t="n">
        <v>258.2892682690763</v>
      </c>
      <c r="R757" s="27" t="n">
        <v>0.2629337818803208</v>
      </c>
      <c r="S757" s="26" t="n">
        <v>248.8084207676346</v>
      </c>
      <c r="T757" s="27" t="n">
        <v>0.2855676278839142</v>
      </c>
      <c r="U757" s="26" t="n">
        <v>260.7930904657619</v>
      </c>
      <c r="V757" s="27" t="n">
        <v>0.2484863733142981</v>
      </c>
      <c r="W757" s="26" t="n">
        <v>262.6421903573736</v>
      </c>
      <c r="X757" s="27" t="n">
        <v>0.2206592136032245</v>
      </c>
      <c r="Y757" s="26" t="n">
        <v>248.6864757904056</v>
      </c>
      <c r="Z757" s="27" t="n">
        <v>0.1520409720509037</v>
      </c>
      <c r="AA757" s="26" t="n">
        <v>253.7870633050948</v>
      </c>
      <c r="AB757" s="27" t="n">
        <v>0.2688527824649041</v>
      </c>
    </row>
    <row r="758">
      <c r="A758" s="26" t="n">
        <v>259.9886082063678</v>
      </c>
      <c r="B758" s="27" t="n">
        <v>0.2462698616196394</v>
      </c>
      <c r="C758" s="26" t="n">
        <v>256.036420742074</v>
      </c>
      <c r="D758" s="27" t="n">
        <v>0.2472611929674677</v>
      </c>
      <c r="E758" s="26" t="n">
        <v>277.8722351619018</v>
      </c>
      <c r="F758" s="27" t="n">
        <v>0.2098436187409649</v>
      </c>
      <c r="G758" s="26" t="n">
        <v>289.7053966966938</v>
      </c>
      <c r="H758" s="27" t="n">
        <v>0.1692467292244158</v>
      </c>
      <c r="I758" s="26" t="n">
        <v>292.3892752341553</v>
      </c>
      <c r="J758" s="27" t="n">
        <v>0.1697511441800419</v>
      </c>
      <c r="K758" s="26" t="n">
        <v>282.3145718682356</v>
      </c>
      <c r="L758" s="27" t="n">
        <v>0.1824930845367387</v>
      </c>
      <c r="M758" s="26" t="n">
        <v>272.7140639862602</v>
      </c>
      <c r="N758" s="27" t="n">
        <v>0.2156020419792075</v>
      </c>
      <c r="O758" s="26" t="n">
        <v>239.7503487555607</v>
      </c>
      <c r="P758" s="27" t="n">
        <v>0.2122057579008331</v>
      </c>
      <c r="Q758" s="26" t="n">
        <v>258.3833550447092</v>
      </c>
      <c r="R758" s="27" t="n">
        <v>0.2636583471229102</v>
      </c>
      <c r="S758" s="26" t="n">
        <v>248.914844375666</v>
      </c>
      <c r="T758" s="27" t="n">
        <v>0.2862473476439279</v>
      </c>
      <c r="U758" s="26" t="n">
        <v>260.8781357602141</v>
      </c>
      <c r="V758" s="27" t="n">
        <v>0.2492549617658492</v>
      </c>
      <c r="W758" s="26" t="n">
        <v>262.7203758494264</v>
      </c>
      <c r="X758" s="27" t="n">
        <v>0.22148217798335</v>
      </c>
      <c r="Y758" s="26" t="n">
        <v>248.7919169570125</v>
      </c>
      <c r="Z758" s="27" t="n">
        <v>0.1527118685760746</v>
      </c>
      <c r="AA758" s="26" t="n">
        <v>253.8672509668014</v>
      </c>
      <c r="AB758" s="27" t="n">
        <v>0.2695983245648932</v>
      </c>
    </row>
    <row r="759">
      <c r="A759" s="26" t="n">
        <v>260.154369869573</v>
      </c>
      <c r="B759" s="27" t="n">
        <v>0.2469743822464381</v>
      </c>
      <c r="C759" s="26" t="n">
        <v>256.1764702558888</v>
      </c>
      <c r="D759" s="27" t="n">
        <v>0.2480075523889591</v>
      </c>
      <c r="E759" s="26" t="n">
        <v>277.9852928162585</v>
      </c>
      <c r="F759" s="27" t="n">
        <v>0.2105986918213216</v>
      </c>
      <c r="G759" s="26" t="n">
        <v>289.7921191272993</v>
      </c>
      <c r="H759" s="27" t="n">
        <v>0.1699822674475939</v>
      </c>
      <c r="I759" s="26" t="n">
        <v>292.4696596626552</v>
      </c>
      <c r="J759" s="27" t="n">
        <v>0.1704876580770396</v>
      </c>
      <c r="K759" s="26" t="n">
        <v>282.390814362592</v>
      </c>
      <c r="L759" s="27" t="n">
        <v>0.1832657354574201</v>
      </c>
      <c r="M759" s="26" t="n">
        <v>272.805369688346</v>
      </c>
      <c r="N759" s="27" t="n">
        <v>0.2163846873771676</v>
      </c>
      <c r="O759" s="26" t="n">
        <v>239.8747534496493</v>
      </c>
      <c r="P759" s="27" t="n">
        <v>0.2130594578195964</v>
      </c>
      <c r="Q759" s="26" t="n">
        <v>258.4774418203422</v>
      </c>
      <c r="R759" s="27" t="n">
        <v>0.2643814665758035</v>
      </c>
      <c r="S759" s="26" t="n">
        <v>249.0212679836974</v>
      </c>
      <c r="T759" s="27" t="n">
        <v>0.2869250154195677</v>
      </c>
      <c r="U759" s="26" t="n">
        <v>260.9631810546665</v>
      </c>
      <c r="V759" s="27" t="n">
        <v>0.2500227041584377</v>
      </c>
      <c r="W759" s="26" t="n">
        <v>262.7985613414792</v>
      </c>
      <c r="X759" s="27" t="n">
        <v>0.2223056906421832</v>
      </c>
      <c r="Y759" s="26" t="n">
        <v>248.8973581236195</v>
      </c>
      <c r="Z759" s="27" t="n">
        <v>0.1533856835786254</v>
      </c>
      <c r="AA759" s="26" t="n">
        <v>253.947438628508</v>
      </c>
      <c r="AB759" s="27" t="n">
        <v>0.270342405970829</v>
      </c>
    </row>
    <row r="760">
      <c r="A760" s="26" t="n">
        <v>260.3201315327783</v>
      </c>
      <c r="B760" s="27" t="n">
        <v>0.2476778193548373</v>
      </c>
      <c r="C760" s="26" t="n">
        <v>256.3165197697036</v>
      </c>
      <c r="D760" s="27" t="n">
        <v>0.2487530525050467</v>
      </c>
      <c r="E760" s="26" t="n">
        <v>278.0983504706152</v>
      </c>
      <c r="F760" s="27" t="n">
        <v>0.2113540788413157</v>
      </c>
      <c r="G760" s="26" t="n">
        <v>289.8788415579049</v>
      </c>
      <c r="H760" s="27" t="n">
        <v>0.1707198476180487</v>
      </c>
      <c r="I760" s="26" t="n">
        <v>292.5500440911552</v>
      </c>
      <c r="J760" s="27" t="n">
        <v>0.1712261422436172</v>
      </c>
      <c r="K760" s="26" t="n">
        <v>282.4670568569483</v>
      </c>
      <c r="L760" s="27" t="n">
        <v>0.1840401315098047</v>
      </c>
      <c r="M760" s="26" t="n">
        <v>272.8966753904318</v>
      </c>
      <c r="N760" s="27" t="n">
        <v>0.2171676574154211</v>
      </c>
      <c r="O760" s="26" t="n">
        <v>239.9991581437378</v>
      </c>
      <c r="P760" s="27" t="n">
        <v>0.2139149399805621</v>
      </c>
      <c r="Q760" s="26" t="n">
        <v>258.5715285959752</v>
      </c>
      <c r="R760" s="27" t="n">
        <v>0.265103111299112</v>
      </c>
      <c r="S760" s="26" t="n">
        <v>249.1276915917288</v>
      </c>
      <c r="T760" s="27" t="n">
        <v>0.2876006061696813</v>
      </c>
      <c r="U760" s="26" t="n">
        <v>261.0482263491187</v>
      </c>
      <c r="V760" s="27" t="n">
        <v>0.2507895689143168</v>
      </c>
      <c r="W760" s="26" t="n">
        <v>262.876746833532</v>
      </c>
      <c r="X760" s="27" t="n">
        <v>0.2231297209806461</v>
      </c>
      <c r="Y760" s="26" t="n">
        <v>249.0027992902264</v>
      </c>
      <c r="Z760" s="27" t="n">
        <v>0.1540624277885891</v>
      </c>
      <c r="AA760" s="26" t="n">
        <v>254.0276262902146</v>
      </c>
      <c r="AB760" s="27" t="n">
        <v>0.271084997326867</v>
      </c>
    </row>
    <row r="761">
      <c r="A761" s="26" t="n">
        <v>260.4858931959836</v>
      </c>
      <c r="B761" s="27" t="n">
        <v>0.2483801420588779</v>
      </c>
      <c r="C761" s="26" t="n">
        <v>256.4565692835184</v>
      </c>
      <c r="D761" s="27" t="n">
        <v>0.2494976611240435</v>
      </c>
      <c r="E761" s="26" t="n">
        <v>278.211408124972</v>
      </c>
      <c r="F761" s="27" t="n">
        <v>0.212109750523355</v>
      </c>
      <c r="G761" s="26" t="n">
        <v>289.9655639885104</v>
      </c>
      <c r="H761" s="27" t="n">
        <v>0.1714594563640054</v>
      </c>
      <c r="I761" s="26" t="n">
        <v>292.6304285196551</v>
      </c>
      <c r="J761" s="27" t="n">
        <v>0.1719665821879381</v>
      </c>
      <c r="K761" s="26" t="n">
        <v>282.5432993513047</v>
      </c>
      <c r="L761" s="27" t="n">
        <v>0.184816253579916</v>
      </c>
      <c r="M761" s="26" t="n">
        <v>272.9879810925177</v>
      </c>
      <c r="N761" s="27" t="n">
        <v>0.2179509218824895</v>
      </c>
      <c r="O761" s="26" t="n">
        <v>240.1235628378263</v>
      </c>
      <c r="P761" s="27" t="n">
        <v>0.21477218246421</v>
      </c>
      <c r="Q761" s="26" t="n">
        <v>258.6656153716081</v>
      </c>
      <c r="R761" s="27" t="n">
        <v>0.2658232523477257</v>
      </c>
      <c r="S761" s="26" t="n">
        <v>249.2341151997601</v>
      </c>
      <c r="T761" s="27" t="n">
        <v>0.2882740949342223</v>
      </c>
      <c r="U761" s="26" t="n">
        <v>261.1332716435711</v>
      </c>
      <c r="V761" s="27" t="n">
        <v>0.2515555243540425</v>
      </c>
      <c r="W761" s="26" t="n">
        <v>262.9549323255848</v>
      </c>
      <c r="X761" s="27" t="n">
        <v>0.2239542380890899</v>
      </c>
      <c r="Y761" s="26" t="n">
        <v>249.1082404568333</v>
      </c>
      <c r="Z761" s="27" t="n">
        <v>0.1547421119132657</v>
      </c>
      <c r="AA761" s="26" t="n">
        <v>254.1078139519212</v>
      </c>
      <c r="AB761" s="27" t="n">
        <v>0.2718260692754769</v>
      </c>
    </row>
    <row r="762">
      <c r="A762" s="26" t="n">
        <v>260.651654859189</v>
      </c>
      <c r="B762" s="27" t="n">
        <v>0.2490813193790249</v>
      </c>
      <c r="C762" s="26" t="n">
        <v>256.5966187973332</v>
      </c>
      <c r="D762" s="27" t="n">
        <v>0.2502413459257958</v>
      </c>
      <c r="E762" s="26" t="n">
        <v>278.3244657793286</v>
      </c>
      <c r="F762" s="27" t="n">
        <v>0.212865677312827</v>
      </c>
      <c r="G762" s="26" t="n">
        <v>290.0522864191161</v>
      </c>
      <c r="H762" s="27" t="n">
        <v>0.1722010799459266</v>
      </c>
      <c r="I762" s="26" t="n">
        <v>292.7108129481551</v>
      </c>
      <c r="J762" s="27" t="n">
        <v>0.1727089630471736</v>
      </c>
      <c r="K762" s="26" t="n">
        <v>282.619541845661</v>
      </c>
      <c r="L762" s="27" t="n">
        <v>0.1855940821641851</v>
      </c>
      <c r="M762" s="26" t="n">
        <v>273.0792867946035</v>
      </c>
      <c r="N762" s="27" t="n">
        <v>0.2187344502887982</v>
      </c>
      <c r="O762" s="26" t="n">
        <v>240.2479675319149</v>
      </c>
      <c r="P762" s="27" t="n">
        <v>0.215631162915325</v>
      </c>
      <c r="Q762" s="26" t="n">
        <v>258.7597021472411</v>
      </c>
      <c r="R762" s="27" t="n">
        <v>0.2665418607747131</v>
      </c>
      <c r="S762" s="26" t="n">
        <v>249.3405388077915</v>
      </c>
      <c r="T762" s="27" t="n">
        <v>0.2889454568373575</v>
      </c>
      <c r="U762" s="26" t="n">
        <v>261.2183169380234</v>
      </c>
      <c r="V762" s="27" t="n">
        <v>0.2523205386996501</v>
      </c>
      <c r="W762" s="26" t="n">
        <v>263.0331178176376</v>
      </c>
      <c r="X762" s="27" t="n">
        <v>0.2247792107479314</v>
      </c>
      <c r="Y762" s="26" t="n">
        <v>249.2136816234402</v>
      </c>
      <c r="Z762" s="27" t="n">
        <v>0.1554247466350244</v>
      </c>
      <c r="AA762" s="26" t="n">
        <v>254.1880016136278</v>
      </c>
      <c r="AB762" s="27" t="n">
        <v>0.2725655924608861</v>
      </c>
    </row>
    <row r="763">
      <c r="A763" s="26" t="n">
        <v>260.8174165223943</v>
      </c>
      <c r="B763" s="27" t="n">
        <v>0.2497813202453248</v>
      </c>
      <c r="C763" s="26" t="n">
        <v>256.7366683111479</v>
      </c>
      <c r="D763" s="27" t="n">
        <v>0.2509840744647258</v>
      </c>
      <c r="E763" s="26" t="n">
        <v>278.4375234336854</v>
      </c>
      <c r="F763" s="27" t="n">
        <v>0.2136218293789666</v>
      </c>
      <c r="G763" s="26" t="n">
        <v>290.1390088497216</v>
      </c>
      <c r="H763" s="27" t="n">
        <v>0.1729447042519951</v>
      </c>
      <c r="I763" s="26" t="n">
        <v>292.791197376655</v>
      </c>
      <c r="J763" s="27" t="n">
        <v>0.1734532695832578</v>
      </c>
      <c r="K763" s="26" t="n">
        <v>282.6957843400173</v>
      </c>
      <c r="L763" s="27" t="n">
        <v>0.1863735973660799</v>
      </c>
      <c r="M763" s="26" t="n">
        <v>273.1705924966893</v>
      </c>
      <c r="N763" s="27" t="n">
        <v>0.2195182118677294</v>
      </c>
      <c r="O763" s="26" t="n">
        <v>240.3723722260034</v>
      </c>
      <c r="P763" s="27" t="n">
        <v>0.2164918585391078</v>
      </c>
      <c r="Q763" s="26" t="n">
        <v>258.8537889228741</v>
      </c>
      <c r="R763" s="27" t="n">
        <v>0.2672589076347475</v>
      </c>
      <c r="S763" s="26" t="n">
        <v>249.4469624158229</v>
      </c>
      <c r="T763" s="27" t="n">
        <v>0.2896146670905772</v>
      </c>
      <c r="U763" s="26" t="n">
        <v>261.3033622324757</v>
      </c>
      <c r="V763" s="27" t="n">
        <v>0.253084580077909</v>
      </c>
      <c r="W763" s="26" t="n">
        <v>263.1113033096905</v>
      </c>
      <c r="X763" s="27" t="n">
        <v>0.2256046074283659</v>
      </c>
      <c r="Y763" s="26" t="n">
        <v>249.3191227900471</v>
      </c>
      <c r="Z763" s="27" t="n">
        <v>0.1561103426090332</v>
      </c>
      <c r="AA763" s="26" t="n">
        <v>254.2681892753344</v>
      </c>
      <c r="AB763" s="27" t="n">
        <v>0.2733035375325694</v>
      </c>
    </row>
    <row r="764">
      <c r="A764" s="26" t="n">
        <v>260.9831781855996</v>
      </c>
      <c r="B764" s="27" t="n">
        <v>0.2504801135006173</v>
      </c>
      <c r="C764" s="26" t="n">
        <v>256.8767178249627</v>
      </c>
      <c r="D764" s="27" t="n">
        <v>0.2517258141729403</v>
      </c>
      <c r="E764" s="26" t="n">
        <v>278.5505810880421</v>
      </c>
      <c r="F764" s="27" t="n">
        <v>0.2143781766158019</v>
      </c>
      <c r="G764" s="26" t="n">
        <v>290.2257312803272</v>
      </c>
      <c r="H764" s="27" t="n">
        <v>0.1736903147935812</v>
      </c>
      <c r="I764" s="26" t="n">
        <v>292.871581805155</v>
      </c>
      <c r="J764" s="27" t="n">
        <v>0.1741994861786397</v>
      </c>
      <c r="K764" s="26" t="n">
        <v>282.7720268343737</v>
      </c>
      <c r="L764" s="27" t="n">
        <v>0.1871547788927515</v>
      </c>
      <c r="M764" s="26" t="n">
        <v>273.2618981987752</v>
      </c>
      <c r="N764" s="27" t="n">
        <v>0.2203021755767514</v>
      </c>
      <c r="O764" s="26" t="n">
        <v>240.496776920092</v>
      </c>
      <c r="P764" s="27" t="n">
        <v>0.2173542460973048</v>
      </c>
      <c r="Q764" s="26" t="n">
        <v>258.9478756985069</v>
      </c>
      <c r="R764" s="27" t="n">
        <v>0.2679743639875606</v>
      </c>
      <c r="S764" s="26" t="n">
        <v>249.5533860238543</v>
      </c>
      <c r="T764" s="27" t="n">
        <v>0.2902817009958224</v>
      </c>
      <c r="U764" s="26" t="n">
        <v>261.388407526928</v>
      </c>
      <c r="V764" s="27" t="n">
        <v>0.2538476165236105</v>
      </c>
      <c r="W764" s="26" t="n">
        <v>263.1894888017432</v>
      </c>
      <c r="X764" s="27" t="n">
        <v>0.2264303962931607</v>
      </c>
      <c r="Y764" s="26" t="n">
        <v>249.424563956654</v>
      </c>
      <c r="Z764" s="27" t="n">
        <v>0.1567989104609178</v>
      </c>
      <c r="AA764" s="26" t="n">
        <v>254.3483769370409</v>
      </c>
      <c r="AB764" s="27" t="n">
        <v>0.2740398751487564</v>
      </c>
    </row>
    <row r="765">
      <c r="A765" s="26" t="n">
        <v>261.1489398488048</v>
      </c>
      <c r="B765" s="27" t="n">
        <v>0.2511776679037975</v>
      </c>
      <c r="C765" s="26" t="n">
        <v>257.0167673387775</v>
      </c>
      <c r="D765" s="27" t="n">
        <v>0.2524665323633941</v>
      </c>
      <c r="E765" s="26" t="n">
        <v>278.6636387423988</v>
      </c>
      <c r="F765" s="27" t="n">
        <v>0.2151346886431733</v>
      </c>
      <c r="G765" s="26" t="n">
        <v>290.3124537109328</v>
      </c>
      <c r="H765" s="27" t="n">
        <v>0.174437896700707</v>
      </c>
      <c r="I765" s="26" t="n">
        <v>292.9519662336548</v>
      </c>
      <c r="J765" s="27" t="n">
        <v>0.1749475968320325</v>
      </c>
      <c r="K765" s="26" t="n">
        <v>282.8482693287301</v>
      </c>
      <c r="L765" s="27" t="n">
        <v>0.1879376060517109</v>
      </c>
      <c r="M765" s="26" t="n">
        <v>273.353203900861</v>
      </c>
      <c r="N765" s="27" t="n">
        <v>0.2210863100986222</v>
      </c>
      <c r="O765" s="26" t="n">
        <v>240.6211816141805</v>
      </c>
      <c r="P765" s="27" t="n">
        <v>0.2182183019043642</v>
      </c>
      <c r="Q765" s="26" t="n">
        <v>259.04196247414</v>
      </c>
      <c r="R765" s="27" t="n">
        <v>0.2686882009014339</v>
      </c>
      <c r="S765" s="26" t="n">
        <v>249.6598096318856</v>
      </c>
      <c r="T765" s="27" t="n">
        <v>0.2909465339486061</v>
      </c>
      <c r="U765" s="26" t="n">
        <v>261.4734528213803</v>
      </c>
      <c r="V765" s="27" t="n">
        <v>0.2546096159829227</v>
      </c>
      <c r="W765" s="26" t="n">
        <v>263.2676742937961</v>
      </c>
      <c r="X765" s="27" t="n">
        <v>0.2272565451975222</v>
      </c>
      <c r="Y765" s="26" t="n">
        <v>249.5300051232609</v>
      </c>
      <c r="Z765" s="27" t="n">
        <v>0.1574904607843438</v>
      </c>
      <c r="AA765" s="26" t="n">
        <v>254.4285645987476</v>
      </c>
      <c r="AB765" s="27" t="n">
        <v>0.2747745759799685</v>
      </c>
    </row>
    <row r="766">
      <c r="A766" s="26" t="n">
        <v>261.3147015120102</v>
      </c>
      <c r="B766" s="27" t="n">
        <v>0.2518739521331342</v>
      </c>
      <c r="C766" s="26" t="n">
        <v>257.1568168525923</v>
      </c>
      <c r="D766" s="27" t="n">
        <v>0.2532061962331206</v>
      </c>
      <c r="E766" s="26" t="n">
        <v>278.7766963967556</v>
      </c>
      <c r="F766" s="27" t="n">
        <v>0.2158913348078247</v>
      </c>
      <c r="G766" s="26" t="n">
        <v>290.3991761415383</v>
      </c>
      <c r="H766" s="27" t="n">
        <v>0.1751874347174951</v>
      </c>
      <c r="I766" s="26" t="n">
        <v>293.0323506621548</v>
      </c>
      <c r="J766" s="27" t="n">
        <v>0.1756975851541651</v>
      </c>
      <c r="K766" s="26" t="n">
        <v>282.9245118230864</v>
      </c>
      <c r="L766" s="27" t="n">
        <v>0.1887220577475287</v>
      </c>
      <c r="M766" s="26" t="n">
        <v>273.4445096029468</v>
      </c>
      <c r="N766" s="27" t="n">
        <v>0.2218705838426696</v>
      </c>
      <c r="O766" s="26" t="n">
        <v>240.7455863082691</v>
      </c>
      <c r="P766" s="27" t="n">
        <v>0.2190840018236184</v>
      </c>
      <c r="Q766" s="26" t="n">
        <v>259.1360492497729</v>
      </c>
      <c r="R766" s="27" t="n">
        <v>0.2694003894567112</v>
      </c>
      <c r="S766" s="26" t="n">
        <v>249.766233239917</v>
      </c>
      <c r="T766" s="27" t="n">
        <v>0.2916091414411539</v>
      </c>
      <c r="U766" s="26" t="n">
        <v>261.5584981158327</v>
      </c>
      <c r="V766" s="27" t="n">
        <v>0.2553705463167869</v>
      </c>
      <c r="W766" s="26" t="n">
        <v>263.3458597858488</v>
      </c>
      <c r="X766" s="27" t="n">
        <v>0.2280830216900469</v>
      </c>
      <c r="Y766" s="26" t="n">
        <v>249.6354462898678</v>
      </c>
      <c r="Z766" s="27" t="n">
        <v>0.1581850041385221</v>
      </c>
      <c r="AA766" s="26" t="n">
        <v>254.5087522604542</v>
      </c>
      <c r="AB766" s="27" t="n">
        <v>0.2755076107125884</v>
      </c>
    </row>
    <row r="767">
      <c r="A767" s="26" t="n">
        <v>261.4804631752155</v>
      </c>
      <c r="B767" s="27" t="n">
        <v>0.2525689347896445</v>
      </c>
      <c r="C767" s="26" t="n">
        <v>257.296866366407</v>
      </c>
      <c r="D767" s="27" t="n">
        <v>0.2539447728665185</v>
      </c>
      <c r="E767" s="26" t="n">
        <v>278.8897540511123</v>
      </c>
      <c r="F767" s="27" t="n">
        <v>0.2166480841845727</v>
      </c>
      <c r="G767" s="26" t="n">
        <v>290.4858985721439</v>
      </c>
      <c r="H767" s="27" t="n">
        <v>0.1759389131976133</v>
      </c>
      <c r="I767" s="26" t="n">
        <v>293.1127350906547</v>
      </c>
      <c r="J767" s="27" t="n">
        <v>0.1764494343635324</v>
      </c>
      <c r="K767" s="26" t="n">
        <v>283.0007543174428</v>
      </c>
      <c r="L767" s="27" t="n">
        <v>0.1895081124785702</v>
      </c>
      <c r="M767" s="26" t="n">
        <v>273.5358153050327</v>
      </c>
      <c r="N767" s="27" t="n">
        <v>0.2226549649461513</v>
      </c>
      <c r="O767" s="26" t="n">
        <v>240.8699910023576</v>
      </c>
      <c r="P767" s="27" t="n">
        <v>0.2199513212634956</v>
      </c>
      <c r="Q767" s="26" t="n">
        <v>259.2301360254058</v>
      </c>
      <c r="R767" s="27" t="n">
        <v>0.2701109007493433</v>
      </c>
      <c r="S767" s="26" t="n">
        <v>249.8726568479483</v>
      </c>
      <c r="T767" s="27" t="n">
        <v>0.2922694990655387</v>
      </c>
      <c r="U767" s="26" t="n">
        <v>261.6435434102849</v>
      </c>
      <c r="V767" s="27" t="n">
        <v>0.2561303753043772</v>
      </c>
      <c r="W767" s="26" t="n">
        <v>263.4240452779017</v>
      </c>
      <c r="X767" s="27" t="n">
        <v>0.2289097930137514</v>
      </c>
      <c r="Y767" s="26" t="n">
        <v>249.7408874564747</v>
      </c>
      <c r="Z767" s="27" t="n">
        <v>0.1588825510456353</v>
      </c>
      <c r="AA767" s="26" t="n">
        <v>254.5889399221608</v>
      </c>
      <c r="AB767" s="27" t="n">
        <v>0.2762389500524549</v>
      </c>
    </row>
    <row r="768">
      <c r="A768" s="26" t="n">
        <v>261.6462248384208</v>
      </c>
      <c r="B768" s="27" t="n">
        <v>0.2532625844005105</v>
      </c>
      <c r="C768" s="26" t="n">
        <v>257.4369158802218</v>
      </c>
      <c r="D768" s="27" t="n">
        <v>0.2546822292387035</v>
      </c>
      <c r="E768" s="26" t="n">
        <v>279.0028117054691</v>
      </c>
      <c r="F768" s="27" t="n">
        <v>0.217404905577553</v>
      </c>
      <c r="G768" s="26" t="n">
        <v>290.5726210027494</v>
      </c>
      <c r="H768" s="27" t="n">
        <v>0.1766923160997126</v>
      </c>
      <c r="I768" s="26" t="n">
        <v>293.1931195191547</v>
      </c>
      <c r="J768" s="27" t="n">
        <v>0.1772031272821513</v>
      </c>
      <c r="K768" s="26" t="n">
        <v>283.0769968117991</v>
      </c>
      <c r="L768" s="27" t="n">
        <v>0.190295748333755</v>
      </c>
      <c r="M768" s="26" t="n">
        <v>273.6271210071185</v>
      </c>
      <c r="N768" s="27" t="n">
        <v>0.2234394212756916</v>
      </c>
      <c r="O768" s="26" t="n">
        <v>240.9943956964462</v>
      </c>
      <c r="P768" s="27" t="n">
        <v>0.2208202351737622</v>
      </c>
      <c r="Q768" s="26" t="n">
        <v>259.3242228010387</v>
      </c>
      <c r="R768" s="27" t="n">
        <v>0.270819705894459</v>
      </c>
      <c r="S768" s="26" t="n">
        <v>249.9790804559797</v>
      </c>
      <c r="T768" s="27" t="n">
        <v>0.2929275825168281</v>
      </c>
      <c r="U768" s="26" t="n">
        <v>261.7285887047373</v>
      </c>
      <c r="V768" s="27" t="n">
        <v>0.2568890706466029</v>
      </c>
      <c r="W768" s="26" t="n">
        <v>263.5022307699544</v>
      </c>
      <c r="X768" s="27" t="n">
        <v>0.2297368261071861</v>
      </c>
      <c r="Y768" s="26" t="n">
        <v>249.8463286230816</v>
      </c>
      <c r="Z768" s="27" t="n">
        <v>0.1595831119881829</v>
      </c>
      <c r="AA768" s="26" t="n">
        <v>254.6691275838674</v>
      </c>
      <c r="AB768" s="27" t="n">
        <v>0.2769685647284839</v>
      </c>
    </row>
    <row r="769">
      <c r="A769" s="26" t="n">
        <v>261.8119865016261</v>
      </c>
      <c r="B769" s="27" t="n">
        <v>0.253954869422568</v>
      </c>
      <c r="C769" s="26" t="n">
        <v>257.5769653940366</v>
      </c>
      <c r="D769" s="27" t="n">
        <v>0.2554185322189179</v>
      </c>
      <c r="E769" s="26" t="n">
        <v>279.1158693598258</v>
      </c>
      <c r="F769" s="27" t="n">
        <v>0.2181617675215426</v>
      </c>
      <c r="G769" s="26" t="n">
        <v>290.659343433355</v>
      </c>
      <c r="H769" s="27" t="n">
        <v>0.1774476269828618</v>
      </c>
      <c r="I769" s="26" t="n">
        <v>293.2735039476546</v>
      </c>
      <c r="J769" s="27" t="n">
        <v>0.1779586463313197</v>
      </c>
      <c r="K769" s="26" t="n">
        <v>283.1532393061555</v>
      </c>
      <c r="L769" s="27" t="n">
        <v>0.1910849429893549</v>
      </c>
      <c r="M769" s="26" t="n">
        <v>273.7184267092043</v>
      </c>
      <c r="N769" s="27" t="n">
        <v>0.2242239204288007</v>
      </c>
      <c r="O769" s="26" t="n">
        <v>241.1188003905347</v>
      </c>
      <c r="P769" s="27" t="n">
        <v>0.2216907180417969</v>
      </c>
      <c r="Q769" s="26" t="n">
        <v>259.4183095766717</v>
      </c>
      <c r="R769" s="27" t="n">
        <v>0.27152677602997</v>
      </c>
      <c r="S769" s="26" t="n">
        <v>250.0855040640111</v>
      </c>
      <c r="T769" s="27" t="n">
        <v>0.293583367596232</v>
      </c>
      <c r="U769" s="26" t="n">
        <v>261.8136339991895</v>
      </c>
      <c r="V769" s="27" t="n">
        <v>0.2576465999696722</v>
      </c>
      <c r="W769" s="26" t="n">
        <v>263.5804162620072</v>
      </c>
      <c r="X769" s="27" t="n">
        <v>0.2305640876056332</v>
      </c>
      <c r="Y769" s="26" t="n">
        <v>249.9517697896885</v>
      </c>
      <c r="Z769" s="27" t="n">
        <v>0.1602866974062415</v>
      </c>
      <c r="AA769" s="26" t="n">
        <v>254.749315245574</v>
      </c>
      <c r="AB769" s="27" t="n">
        <v>0.2776964254963182</v>
      </c>
    </row>
    <row r="770">
      <c r="A770" s="26" t="n">
        <v>261.9777481648314</v>
      </c>
      <c r="B770" s="27" t="n">
        <v>0.2546457582458274</v>
      </c>
      <c r="C770" s="26" t="n">
        <v>257.7170149078514</v>
      </c>
      <c r="D770" s="27" t="n">
        <v>0.2561536485740048</v>
      </c>
      <c r="E770" s="26" t="n">
        <v>279.2289270141824</v>
      </c>
      <c r="F770" s="27" t="n">
        <v>0.218918638283366</v>
      </c>
      <c r="G770" s="26" t="n">
        <v>290.7460658639606</v>
      </c>
      <c r="H770" s="27" t="n">
        <v>0.1782048290019773</v>
      </c>
      <c r="I770" s="26" t="n">
        <v>293.3538883761546</v>
      </c>
      <c r="J770" s="27" t="n">
        <v>0.1787159735273825</v>
      </c>
      <c r="K770" s="26" t="n">
        <v>283.2294818005118</v>
      </c>
      <c r="L770" s="27" t="n">
        <v>0.1918756737058214</v>
      </c>
      <c r="M770" s="26" t="n">
        <v>273.8097324112903</v>
      </c>
      <c r="N770" s="27" t="n">
        <v>0.2250084297354709</v>
      </c>
      <c r="O770" s="26" t="n">
        <v>241.2432050846233</v>
      </c>
      <c r="P770" s="27" t="n">
        <v>0.2225627438889033</v>
      </c>
      <c r="Q770" s="26" t="n">
        <v>259.5123963523047</v>
      </c>
      <c r="R770" s="27" t="n">
        <v>0.2722320823201908</v>
      </c>
      <c r="S770" s="26" t="n">
        <v>250.1919276720425</v>
      </c>
      <c r="T770" s="27" t="n">
        <v>0.2942368302142571</v>
      </c>
      <c r="U770" s="26" t="n">
        <v>261.8986792936419</v>
      </c>
      <c r="V770" s="27" t="n">
        <v>0.2584029308287034</v>
      </c>
      <c r="W770" s="26" t="n">
        <v>263.6586017540601</v>
      </c>
      <c r="X770" s="27" t="n">
        <v>0.2313915438423861</v>
      </c>
      <c r="Y770" s="26" t="n">
        <v>250.0572109562954</v>
      </c>
      <c r="Z770" s="27" t="n">
        <v>0.1609933176946397</v>
      </c>
      <c r="AA770" s="26" t="n">
        <v>254.8295029072806</v>
      </c>
      <c r="AB770" s="27" t="n">
        <v>0.2784225031420027</v>
      </c>
    </row>
    <row r="771">
      <c r="A771" s="26" t="n">
        <v>262.1435098280367</v>
      </c>
      <c r="B771" s="27" t="n">
        <v>0.255335219197068</v>
      </c>
      <c r="C771" s="26" t="n">
        <v>257.8570644216662</v>
      </c>
      <c r="D771" s="27" t="n">
        <v>0.2568875449719429</v>
      </c>
      <c r="E771" s="26" t="n">
        <v>279.3419846685392</v>
      </c>
      <c r="F771" s="27" t="n">
        <v>0.2196754858633748</v>
      </c>
      <c r="G771" s="26" t="n">
        <v>290.8327882945662</v>
      </c>
      <c r="H771" s="27" t="n">
        <v>0.1789639049032529</v>
      </c>
      <c r="I771" s="26" t="n">
        <v>293.4342728046545</v>
      </c>
      <c r="J771" s="27" t="n">
        <v>0.1794750904775059</v>
      </c>
      <c r="K771" s="26" t="n">
        <v>283.3057242948681</v>
      </c>
      <c r="L771" s="27" t="n">
        <v>0.1926679173246565</v>
      </c>
      <c r="M771" s="26" t="n">
        <v>273.9010381133761</v>
      </c>
      <c r="N771" s="27" t="n">
        <v>0.2257929162598617</v>
      </c>
      <c r="O771" s="26" t="n">
        <v>241.3676097787118</v>
      </c>
      <c r="P771" s="27" t="n">
        <v>0.2234362862666553</v>
      </c>
      <c r="Q771" s="26" t="n">
        <v>259.6064831279376</v>
      </c>
      <c r="R771" s="27" t="n">
        <v>0.2729355959594988</v>
      </c>
      <c r="S771" s="26" t="n">
        <v>250.2983512800739</v>
      </c>
      <c r="T771" s="27" t="n">
        <v>0.2948879463938605</v>
      </c>
      <c r="U771" s="26" t="n">
        <v>261.9837245880941</v>
      </c>
      <c r="V771" s="27" t="n">
        <v>0.2591580307113868</v>
      </c>
      <c r="W771" s="26" t="n">
        <v>263.7367872461128</v>
      </c>
      <c r="X771" s="27" t="n">
        <v>0.2322191608501228</v>
      </c>
      <c r="Y771" s="26" t="n">
        <v>250.1626521229024</v>
      </c>
      <c r="Z771" s="27" t="n">
        <v>0.1617029832000426</v>
      </c>
      <c r="AA771" s="26" t="n">
        <v>254.9096905689871</v>
      </c>
      <c r="AB771" s="27" t="n">
        <v>0.2791467684856843</v>
      </c>
    </row>
    <row r="772">
      <c r="A772" s="26" t="n">
        <v>262.309271491242</v>
      </c>
      <c r="B772" s="27" t="n">
        <v>0.2560232205434649</v>
      </c>
      <c r="C772" s="26" t="n">
        <v>257.997113935481</v>
      </c>
      <c r="D772" s="27" t="n">
        <v>0.2576201879854395</v>
      </c>
      <c r="E772" s="26" t="n">
        <v>279.455042322896</v>
      </c>
      <c r="F772" s="27" t="n">
        <v>0.2204322779970156</v>
      </c>
      <c r="G772" s="26" t="n">
        <v>290.9195107251718</v>
      </c>
      <c r="H772" s="27" t="n">
        <v>0.179724837019592</v>
      </c>
      <c r="I772" s="26" t="n">
        <v>293.5146572331545</v>
      </c>
      <c r="J772" s="27" t="n">
        <v>0.1802359783754619</v>
      </c>
      <c r="K772" s="26" t="n">
        <v>283.3819667892245</v>
      </c>
      <c r="L772" s="27" t="n">
        <v>0.1934616502653196</v>
      </c>
      <c r="M772" s="26" t="n">
        <v>273.9923438154619</v>
      </c>
      <c r="N772" s="27" t="n">
        <v>0.2265773468020631</v>
      </c>
      <c r="O772" s="26" t="n">
        <v>241.4920144728003</v>
      </c>
      <c r="P772" s="27" t="n">
        <v>0.2243113182532872</v>
      </c>
      <c r="Q772" s="26" t="n">
        <v>259.7005699035706</v>
      </c>
      <c r="R772" s="27" t="n">
        <v>0.2736372881760115</v>
      </c>
      <c r="S772" s="26" t="n">
        <v>250.4047748881052</v>
      </c>
      <c r="T772" s="27" t="n">
        <v>0.2955366922736097</v>
      </c>
      <c r="U772" s="26" t="n">
        <v>262.0687698825465</v>
      </c>
      <c r="V772" s="27" t="n">
        <v>0.2599118670417035</v>
      </c>
      <c r="W772" s="26" t="n">
        <v>263.8149727381657</v>
      </c>
      <c r="X772" s="27" t="n">
        <v>0.2330469043623591</v>
      </c>
      <c r="Y772" s="26" t="n">
        <v>250.2680932895093</v>
      </c>
      <c r="Z772" s="27" t="n">
        <v>0.1624157042179473</v>
      </c>
      <c r="AA772" s="26" t="n">
        <v>254.9898782306937</v>
      </c>
      <c r="AB772" s="27" t="n">
        <v>0.279869192385339</v>
      </c>
    </row>
    <row r="773">
      <c r="A773" s="26" t="n">
        <v>262.4750331544474</v>
      </c>
      <c r="B773" s="27" t="n">
        <v>0.25670973049629</v>
      </c>
      <c r="C773" s="26" t="n">
        <v>258.1371634492957</v>
      </c>
      <c r="D773" s="27" t="n">
        <v>0.2583515440955907</v>
      </c>
      <c r="E773" s="26" t="n">
        <v>279.5680999772527</v>
      </c>
      <c r="F773" s="27" t="n">
        <v>0.2211889821564766</v>
      </c>
      <c r="G773" s="26" t="n">
        <v>291.0062331557773</v>
      </c>
      <c r="H773" s="27" t="n">
        <v>0.1804876072660386</v>
      </c>
      <c r="I773" s="26" t="n">
        <v>293.5950416616544</v>
      </c>
      <c r="J773" s="27" t="n">
        <v>0.1809986179974234</v>
      </c>
      <c r="K773" s="26" t="n">
        <v>283.4582092835809</v>
      </c>
      <c r="L773" s="27" t="n">
        <v>0.1942568485221715</v>
      </c>
      <c r="M773" s="26" t="n">
        <v>274.0836495175477</v>
      </c>
      <c r="N773" s="27" t="n">
        <v>0.227361687899944</v>
      </c>
      <c r="O773" s="26" t="n">
        <v>241.6164191668889</v>
      </c>
      <c r="P773" s="27" t="n">
        <v>0.2251878124501223</v>
      </c>
      <c r="Q773" s="26" t="n">
        <v>259.7946566792035</v>
      </c>
      <c r="R773" s="27" t="n">
        <v>0.2743371302352912</v>
      </c>
      <c r="S773" s="26" t="n">
        <v>250.5111984961366</v>
      </c>
      <c r="T773" s="27" t="n">
        <v>0.2961830441108426</v>
      </c>
      <c r="U773" s="26" t="n">
        <v>262.1538151769987</v>
      </c>
      <c r="V773" s="27" t="n">
        <v>0.2606644071836915</v>
      </c>
      <c r="W773" s="26" t="n">
        <v>263.8931582302184</v>
      </c>
      <c r="X773" s="27" t="n">
        <v>0.2338747398149951</v>
      </c>
      <c r="Y773" s="26" t="n">
        <v>250.3735344561162</v>
      </c>
      <c r="Z773" s="27" t="n">
        <v>0.1631314909895825</v>
      </c>
      <c r="AA773" s="26" t="n">
        <v>255.0700658924004</v>
      </c>
      <c r="AB773" s="27" t="n">
        <v>0.2805897457405194</v>
      </c>
    </row>
    <row r="774">
      <c r="A774" s="26" t="n">
        <v>262.6407948176526</v>
      </c>
      <c r="B774" s="27" t="n">
        <v>0.257394717214647</v>
      </c>
      <c r="C774" s="26" t="n">
        <v>258.2772129631105</v>
      </c>
      <c r="D774" s="27" t="n">
        <v>0.2590815796955974</v>
      </c>
      <c r="E774" s="26" t="n">
        <v>279.6811576316094</v>
      </c>
      <c r="F774" s="27" t="n">
        <v>0.2219455655524188</v>
      </c>
      <c r="G774" s="26" t="n">
        <v>291.0929555863829</v>
      </c>
      <c r="H774" s="27" t="n">
        <v>0.1812521971352143</v>
      </c>
      <c r="I774" s="26" t="n">
        <v>293.6754260901544</v>
      </c>
      <c r="J774" s="27" t="n">
        <v>0.1817629896977748</v>
      </c>
      <c r="K774" s="26" t="n">
        <v>283.5344517779372</v>
      </c>
      <c r="L774" s="27" t="n">
        <v>0.1950534876614712</v>
      </c>
      <c r="M774" s="26" t="n">
        <v>274.1749552196335</v>
      </c>
      <c r="N774" s="27" t="n">
        <v>0.2281459058310877</v>
      </c>
      <c r="O774" s="26" t="n">
        <v>241.7408238609775</v>
      </c>
      <c r="P774" s="27" t="n">
        <v>0.2260657409780477</v>
      </c>
      <c r="Q774" s="26" t="n">
        <v>259.8887434548365</v>
      </c>
      <c r="R774" s="27" t="n">
        <v>0.2750350934440782</v>
      </c>
      <c r="S774" s="26" t="n">
        <v>250.617622104168</v>
      </c>
      <c r="T774" s="27" t="n">
        <v>0.2968269782848301</v>
      </c>
      <c r="U774" s="26" t="n">
        <v>262.2388604714511</v>
      </c>
      <c r="V774" s="27" t="n">
        <v>0.2614156184452721</v>
      </c>
      <c r="W774" s="26" t="n">
        <v>263.9713437222713</v>
      </c>
      <c r="X774" s="27" t="n">
        <v>0.2347026323479507</v>
      </c>
      <c r="Y774" s="26" t="n">
        <v>250.4789756227231</v>
      </c>
      <c r="Z774" s="27" t="n">
        <v>0.1638503536987123</v>
      </c>
      <c r="AA774" s="26" t="n">
        <v>255.1502535541069</v>
      </c>
      <c r="AB774" s="27" t="n">
        <v>0.2813083994961311</v>
      </c>
    </row>
    <row r="775">
      <c r="A775" s="26" t="n">
        <v>262.8065564808579</v>
      </c>
      <c r="B775" s="27" t="n">
        <v>0.2580781488092708</v>
      </c>
      <c r="C775" s="26" t="n">
        <v>258.4172624769253</v>
      </c>
      <c r="D775" s="27" t="n">
        <v>0.2598102610945462</v>
      </c>
      <c r="E775" s="26" t="n">
        <v>279.7942152859661</v>
      </c>
      <c r="F775" s="27" t="n">
        <v>0.2227019951357942</v>
      </c>
      <c r="G775" s="26" t="n">
        <v>291.1796780169885</v>
      </c>
      <c r="H775" s="27" t="n">
        <v>0.1820185876927614</v>
      </c>
      <c r="I775" s="26" t="n">
        <v>293.7558105186542</v>
      </c>
      <c r="J775" s="27" t="n">
        <v>0.1825290734049368</v>
      </c>
      <c r="K775" s="26" t="n">
        <v>283.6106942722936</v>
      </c>
      <c r="L775" s="27" t="n">
        <v>0.1958515428184098</v>
      </c>
      <c r="M775" s="26" t="n">
        <v>274.2662609217194</v>
      </c>
      <c r="N775" s="27" t="n">
        <v>0.2289299666148136</v>
      </c>
      <c r="O775" s="26" t="n">
        <v>241.865228555066</v>
      </c>
      <c r="P775" s="27" t="n">
        <v>0.2269450754740368</v>
      </c>
      <c r="Q775" s="26" t="n">
        <v>259.9828302304694</v>
      </c>
      <c r="R775" s="27" t="n">
        <v>0.2757311491540421</v>
      </c>
      <c r="S775" s="26" t="n">
        <v>250.7240457121994</v>
      </c>
      <c r="T775" s="27" t="n">
        <v>0.2974684712999353</v>
      </c>
      <c r="U775" s="26" t="n">
        <v>262.3239057659034</v>
      </c>
      <c r="V775" s="27" t="n">
        <v>0.2621654680821052</v>
      </c>
      <c r="W775" s="26" t="n">
        <v>264.049529214324</v>
      </c>
      <c r="X775" s="27" t="n">
        <v>0.2355305468068932</v>
      </c>
      <c r="Y775" s="26" t="n">
        <v>250.58441678933</v>
      </c>
      <c r="Z775" s="27" t="n">
        <v>0.1645723024683404</v>
      </c>
      <c r="AA775" s="26" t="n">
        <v>255.2304412158135</v>
      </c>
      <c r="AB775" s="27" t="n">
        <v>0.2820251246462309</v>
      </c>
    </row>
    <row r="776">
      <c r="A776" s="26" t="n">
        <v>262.9723181440633</v>
      </c>
      <c r="B776" s="27" t="n">
        <v>0.2587599933463747</v>
      </c>
      <c r="C776" s="26" t="n">
        <v>258.55731199074</v>
      </c>
      <c r="D776" s="27" t="n">
        <v>0.2605375545212502</v>
      </c>
      <c r="E776" s="26" t="n">
        <v>279.9072729403229</v>
      </c>
      <c r="F776" s="27" t="n">
        <v>0.2234582375997456</v>
      </c>
      <c r="G776" s="26" t="n">
        <v>291.266400447594</v>
      </c>
      <c r="H776" s="27" t="n">
        <v>0.1827867595727919</v>
      </c>
      <c r="I776" s="26" t="n">
        <v>293.8361949471542</v>
      </c>
      <c r="J776" s="27" t="n">
        <v>0.1832968486172095</v>
      </c>
      <c r="K776" s="26" t="n">
        <v>283.6869367666499</v>
      </c>
      <c r="L776" s="27" t="n">
        <v>0.1966509886941974</v>
      </c>
      <c r="M776" s="26" t="n">
        <v>274.3575666238052</v>
      </c>
      <c r="N776" s="27" t="n">
        <v>0.2297138360142849</v>
      </c>
      <c r="O776" s="26" t="n">
        <v>241.9896332491546</v>
      </c>
      <c r="P776" s="27" t="n">
        <v>0.227825787087719</v>
      </c>
      <c r="Q776" s="26" t="n">
        <v>260.0769170061023</v>
      </c>
      <c r="R776" s="27" t="n">
        <v>0.2764252687655656</v>
      </c>
      <c r="S776" s="26" t="n">
        <v>250.8304693202307</v>
      </c>
      <c r="T776" s="27" t="n">
        <v>0.2981074997887803</v>
      </c>
      <c r="U776" s="26" t="n">
        <v>262.4089510603557</v>
      </c>
      <c r="V776" s="27" t="n">
        <v>0.2629139233015318</v>
      </c>
      <c r="W776" s="26" t="n">
        <v>264.1277147063769</v>
      </c>
      <c r="X776" s="27" t="n">
        <v>0.2363584477450578</v>
      </c>
      <c r="Y776" s="26" t="n">
        <v>250.6898579559369</v>
      </c>
      <c r="Z776" s="27" t="n">
        <v>0.1652973473573125</v>
      </c>
      <c r="AA776" s="26" t="n">
        <v>255.3106288775201</v>
      </c>
      <c r="AB776" s="27" t="n">
        <v>0.2827398922378448</v>
      </c>
    </row>
    <row r="777">
      <c r="A777" s="26" t="n">
        <v>263.1380798072686</v>
      </c>
      <c r="B777" s="27" t="n">
        <v>0.2594402188515507</v>
      </c>
      <c r="C777" s="26" t="n">
        <v>258.6973615045548</v>
      </c>
      <c r="D777" s="27" t="n">
        <v>0.2612634261281533</v>
      </c>
      <c r="E777" s="26" t="n">
        <v>280.0203305946795</v>
      </c>
      <c r="F777" s="27" t="n">
        <v>0.2242142593815974</v>
      </c>
      <c r="G777" s="26" t="n">
        <v>291.3531228781997</v>
      </c>
      <c r="H777" s="27" t="n">
        <v>0.1835566929733503</v>
      </c>
      <c r="I777" s="26" t="n">
        <v>293.9165793756541</v>
      </c>
      <c r="J777" s="27" t="n">
        <v>0.1840662943986355</v>
      </c>
      <c r="K777" s="26" t="n">
        <v>283.7631792610063</v>
      </c>
      <c r="L777" s="27" t="n">
        <v>0.1974517995531949</v>
      </c>
      <c r="M777" s="26" t="n">
        <v>274.4488723258911</v>
      </c>
      <c r="N777" s="27" t="n">
        <v>0.2304974795387067</v>
      </c>
      <c r="O777" s="26" t="n">
        <v>242.1140379432431</v>
      </c>
      <c r="P777" s="27" t="n">
        <v>0.2287078464780042</v>
      </c>
      <c r="Q777" s="26" t="n">
        <v>260.1710037817353</v>
      </c>
      <c r="R777" s="27" t="n">
        <v>0.2771174237315422</v>
      </c>
      <c r="S777" s="26" t="n">
        <v>250.9368929282621</v>
      </c>
      <c r="T777" s="27" t="n">
        <v>0.2987440405154043</v>
      </c>
      <c r="U777" s="26" t="n">
        <v>262.493996354808</v>
      </c>
      <c r="V777" s="27" t="n">
        <v>0.2636609512665288</v>
      </c>
      <c r="W777" s="26" t="n">
        <v>264.2059001984297</v>
      </c>
      <c r="X777" s="27" t="n">
        <v>0.2371862994251593</v>
      </c>
      <c r="Y777" s="26" t="n">
        <v>250.7952991225438</v>
      </c>
      <c r="Z777" s="27" t="n">
        <v>0.1660254983568136</v>
      </c>
      <c r="AA777" s="26" t="n">
        <v>255.3908165392267</v>
      </c>
      <c r="AB777" s="27" t="n">
        <v>0.2834526733748118</v>
      </c>
    </row>
    <row r="778">
      <c r="A778" s="26" t="n">
        <v>263.3038414704739</v>
      </c>
      <c r="B778" s="27" t="n">
        <v>0.2601187933137153</v>
      </c>
      <c r="C778" s="26" t="n">
        <v>258.8374110183696</v>
      </c>
      <c r="D778" s="27" t="n">
        <v>0.261987841995288</v>
      </c>
      <c r="E778" s="26" t="n">
        <v>280.1333882490363</v>
      </c>
      <c r="F778" s="27" t="n">
        <v>0.2249700266649331</v>
      </c>
      <c r="G778" s="26" t="n">
        <v>291.4398453088052</v>
      </c>
      <c r="H778" s="27" t="n">
        <v>0.1843283676518835</v>
      </c>
      <c r="I778" s="26" t="n">
        <v>293.9969638041541</v>
      </c>
      <c r="J778" s="27" t="n">
        <v>0.1848373893748846</v>
      </c>
      <c r="K778" s="26" t="n">
        <v>283.8394217553627</v>
      </c>
      <c r="L778" s="27" t="n">
        <v>0.1982539492201063</v>
      </c>
      <c r="M778" s="26" t="n">
        <v>274.5401780279769</v>
      </c>
      <c r="N778" s="27" t="n">
        <v>0.2312808624456134</v>
      </c>
      <c r="O778" s="26" t="n">
        <v>242.2384426373316</v>
      </c>
      <c r="P778" s="27" t="n">
        <v>0.229591223809761</v>
      </c>
      <c r="Q778" s="26" t="n">
        <v>260.2650905573682</v>
      </c>
      <c r="R778" s="27" t="n">
        <v>0.2778075855612018</v>
      </c>
      <c r="S778" s="26" t="n">
        <v>251.0433165362935</v>
      </c>
      <c r="T778" s="27" t="n">
        <v>0.2993780703784229</v>
      </c>
      <c r="U778" s="26" t="n">
        <v>262.5790416492603</v>
      </c>
      <c r="V778" s="27" t="n">
        <v>0.2644065190997423</v>
      </c>
      <c r="W778" s="26" t="n">
        <v>264.2840856904825</v>
      </c>
      <c r="X778" s="27" t="n">
        <v>0.2380140658214053</v>
      </c>
      <c r="Y778" s="26" t="n">
        <v>250.9007402891507</v>
      </c>
      <c r="Z778" s="27" t="n">
        <v>0.1667567653867565</v>
      </c>
      <c r="AA778" s="26" t="n">
        <v>255.4710042009334</v>
      </c>
      <c r="AB778" s="27" t="n">
        <v>0.2841634392216474</v>
      </c>
    </row>
    <row r="779">
      <c r="A779" s="26" t="n">
        <v>263.4696031336792</v>
      </c>
      <c r="B779" s="27" t="n">
        <v>0.260795684689126</v>
      </c>
      <c r="C779" s="26" t="n">
        <v>258.9774605321844</v>
      </c>
      <c r="D779" s="27" t="n">
        <v>0.2627107681343062</v>
      </c>
      <c r="E779" s="26" t="n">
        <v>280.246445903393</v>
      </c>
      <c r="F779" s="27" t="n">
        <v>0.2257255053817612</v>
      </c>
      <c r="G779" s="26" t="n">
        <v>291.5265677394108</v>
      </c>
      <c r="H779" s="27" t="n">
        <v>0.1851017629207282</v>
      </c>
      <c r="I779" s="26" t="n">
        <v>294.077348232654</v>
      </c>
      <c r="J779" s="27" t="n">
        <v>0.1856101117291619</v>
      </c>
      <c r="K779" s="26" t="n">
        <v>283.9156642497189</v>
      </c>
      <c r="L779" s="27" t="n">
        <v>0.1990574110772185</v>
      </c>
      <c r="M779" s="26" t="n">
        <v>274.6314837300627</v>
      </c>
      <c r="N779" s="27" t="n">
        <v>0.2320639497432449</v>
      </c>
      <c r="O779" s="26" t="n">
        <v>242.3628473314202</v>
      </c>
      <c r="P779" s="27" t="n">
        <v>0.2304758887505522</v>
      </c>
      <c r="Q779" s="26" t="n">
        <v>260.3591773330012</v>
      </c>
      <c r="R779" s="27" t="n">
        <v>0.2784957258239613</v>
      </c>
      <c r="S779" s="26" t="n">
        <v>251.1497401443249</v>
      </c>
      <c r="T779" s="27" t="n">
        <v>0.3000095664141923</v>
      </c>
      <c r="U779" s="26" t="n">
        <v>262.6640869437126</v>
      </c>
      <c r="V779" s="27" t="n">
        <v>0.2651505938875559</v>
      </c>
      <c r="W779" s="26" t="n">
        <v>264.3622711825353</v>
      </c>
      <c r="X779" s="27" t="n">
        <v>0.2388417106215999</v>
      </c>
      <c r="Y779" s="26" t="n">
        <v>251.0061814557576</v>
      </c>
      <c r="Z779" s="27" t="n">
        <v>0.1674911582920604</v>
      </c>
      <c r="AA779" s="26" t="n">
        <v>255.5511918626399</v>
      </c>
      <c r="AB779" s="27" t="n">
        <v>0.2848721610074293</v>
      </c>
    </row>
    <row r="780">
      <c r="A780" s="26" t="n">
        <v>263.6353647968845</v>
      </c>
      <c r="B780" s="27" t="n">
        <v>0.2614708609054197</v>
      </c>
      <c r="C780" s="26" t="n">
        <v>259.1175100459991</v>
      </c>
      <c r="D780" s="27" t="n">
        <v>0.2634321704925585</v>
      </c>
      <c r="E780" s="26" t="n">
        <v>280.3595035577497</v>
      </c>
      <c r="F780" s="27" t="n">
        <v>0.2264806612147739</v>
      </c>
      <c r="G780" s="26" t="n">
        <v>291.6132901700163</v>
      </c>
      <c r="H780" s="27" t="n">
        <v>0.1858768576426126</v>
      </c>
      <c r="I780" s="26" t="n">
        <v>294.157732661154</v>
      </c>
      <c r="J780" s="27" t="n">
        <v>0.1863844391981447</v>
      </c>
      <c r="K780" s="26" t="n">
        <v>283.9919067440753</v>
      </c>
      <c r="L780" s="27" t="n">
        <v>0.1998621580617026</v>
      </c>
      <c r="M780" s="26" t="n">
        <v>274.7227894321485</v>
      </c>
      <c r="N780" s="27" t="n">
        <v>0.2328467061930179</v>
      </c>
      <c r="O780" s="26" t="n">
        <v>242.4872520255087</v>
      </c>
      <c r="P780" s="27" t="n">
        <v>0.2313618104674302</v>
      </c>
      <c r="Q780" s="26" t="n">
        <v>260.4532641086341</v>
      </c>
      <c r="R780" s="27" t="n">
        <v>0.2791818161532872</v>
      </c>
      <c r="S780" s="26" t="n">
        <v>251.2561637523562</v>
      </c>
      <c r="T780" s="27" t="n">
        <v>0.3006385057999577</v>
      </c>
      <c r="U780" s="26" t="n">
        <v>262.7491322381649</v>
      </c>
      <c r="V780" s="27" t="n">
        <v>0.2658931426842169</v>
      </c>
      <c r="W780" s="26" t="n">
        <v>264.4404566745881</v>
      </c>
      <c r="X780" s="27" t="n">
        <v>0.2396691972293473</v>
      </c>
      <c r="Y780" s="26" t="n">
        <v>251.1116226223645</v>
      </c>
      <c r="Z780" s="27" t="n">
        <v>0.1682286868388153</v>
      </c>
      <c r="AA780" s="26" t="n">
        <v>255.6313795243465</v>
      </c>
      <c r="AB780" s="27" t="n">
        <v>0.2855788100297001</v>
      </c>
    </row>
    <row r="781">
      <c r="A781" s="26" t="n">
        <v>263.8011264600898</v>
      </c>
      <c r="B781" s="27" t="n">
        <v>0.2621442898657289</v>
      </c>
      <c r="C781" s="26" t="n">
        <v>259.2575595598139</v>
      </c>
      <c r="D781" s="27" t="n">
        <v>0.2641520149572432</v>
      </c>
      <c r="E781" s="26" t="n">
        <v>280.4725612121065</v>
      </c>
      <c r="F781" s="27" t="n">
        <v>0.2272354595996937</v>
      </c>
      <c r="G781" s="26" t="n">
        <v>291.7000126006219</v>
      </c>
      <c r="H781" s="27" t="n">
        <v>0.1866536302261753</v>
      </c>
      <c r="I781" s="26" t="n">
        <v>294.2381170896539</v>
      </c>
      <c r="J781" s="27" t="n">
        <v>0.1871603490679441</v>
      </c>
      <c r="K781" s="26" t="n">
        <v>284.0681492384317</v>
      </c>
      <c r="L781" s="27" t="n">
        <v>0.2006681626629715</v>
      </c>
      <c r="M781" s="26" t="n">
        <v>274.8140951342344</v>
      </c>
      <c r="N781" s="27" t="n">
        <v>0.2336290963120859</v>
      </c>
      <c r="O781" s="26" t="n">
        <v>242.6116567195973</v>
      </c>
      <c r="P781" s="27" t="n">
        <v>0.2322489576237975</v>
      </c>
      <c r="Q781" s="26" t="n">
        <v>260.5473508842671</v>
      </c>
      <c r="R781" s="27" t="n">
        <v>0.2798658282505875</v>
      </c>
      <c r="S781" s="26" t="n">
        <v>251.3625873603876</v>
      </c>
      <c r="T781" s="27" t="n">
        <v>0.3012648658570108</v>
      </c>
      <c r="U781" s="26" t="n">
        <v>262.8341775326172</v>
      </c>
      <c r="V781" s="27" t="n">
        <v>0.2666341325160042</v>
      </c>
      <c r="W781" s="26" t="n">
        <v>264.5186421666409</v>
      </c>
      <c r="X781" s="27" t="n">
        <v>0.2404964887663552</v>
      </c>
      <c r="Y781" s="26" t="n">
        <v>251.2170637889714</v>
      </c>
      <c r="Z781" s="27" t="n">
        <v>0.168969360710328</v>
      </c>
      <c r="AA781" s="26" t="n">
        <v>255.7115671860531</v>
      </c>
      <c r="AB781" s="27" t="n">
        <v>0.2862833576583932</v>
      </c>
    </row>
    <row r="782">
      <c r="A782" s="26" t="n">
        <v>263.9668881232951</v>
      </c>
      <c r="B782" s="27" t="n">
        <v>0.2628159394528322</v>
      </c>
      <c r="C782" s="26" t="n">
        <v>259.3976090736287</v>
      </c>
      <c r="D782" s="27" t="n">
        <v>0.2648702673596146</v>
      </c>
      <c r="E782" s="26" t="n">
        <v>280.5856188664632</v>
      </c>
      <c r="F782" s="27" t="n">
        <v>0.2279898657277143</v>
      </c>
      <c r="G782" s="26" t="n">
        <v>291.7867350312275</v>
      </c>
      <c r="H782" s="27" t="n">
        <v>0.1874320586215115</v>
      </c>
      <c r="I782" s="26" t="n">
        <v>294.3185015181539</v>
      </c>
      <c r="J782" s="27" t="n">
        <v>0.1879378181701016</v>
      </c>
      <c r="K782" s="26" t="n">
        <v>284.144391732788</v>
      </c>
      <c r="L782" s="27" t="n">
        <v>0.2014753969201057</v>
      </c>
      <c r="M782" s="26" t="n">
        <v>274.9054008363202</v>
      </c>
      <c r="N782" s="27" t="n">
        <v>0.2344110843759953</v>
      </c>
      <c r="O782" s="26" t="n">
        <v>242.7360614136858</v>
      </c>
      <c r="P782" s="27" t="n">
        <v>0.2331372983763305</v>
      </c>
      <c r="Q782" s="26" t="n">
        <v>260.6414376599</v>
      </c>
      <c r="R782" s="27" t="n">
        <v>0.2805477338891209</v>
      </c>
      <c r="S782" s="26" t="n">
        <v>251.469010968419</v>
      </c>
      <c r="T782" s="27" t="n">
        <v>0.3018886240538356</v>
      </c>
      <c r="U782" s="26" t="n">
        <v>262.9192228270695</v>
      </c>
      <c r="V782" s="27" t="n">
        <v>0.2673735303854549</v>
      </c>
      <c r="W782" s="26" t="n">
        <v>264.5968276586937</v>
      </c>
      <c r="X782" s="27" t="n">
        <v>0.2413235480748375</v>
      </c>
      <c r="Y782" s="26" t="n">
        <v>251.3225049555784</v>
      </c>
      <c r="Z782" s="27" t="n">
        <v>0.1697131895030485</v>
      </c>
      <c r="AA782" s="26" t="n">
        <v>255.7917548477597</v>
      </c>
      <c r="AB782" s="27" t="n">
        <v>0.2869857753397756</v>
      </c>
    </row>
    <row r="783">
      <c r="A783" s="26" t="n">
        <v>264.1326497865005</v>
      </c>
      <c r="B783" s="27" t="n">
        <v>0.2634857775333618</v>
      </c>
      <c r="C783" s="26" t="n">
        <v>259.5376585874435</v>
      </c>
      <c r="D783" s="27" t="n">
        <v>0.2655868934792416</v>
      </c>
      <c r="E783" s="26" t="n">
        <v>280.6986765208199</v>
      </c>
      <c r="F783" s="27" t="n">
        <v>0.2287438445480368</v>
      </c>
      <c r="G783" s="26" t="n">
        <v>291.873457461833</v>
      </c>
      <c r="H783" s="27" t="n">
        <v>0.1882121203157305</v>
      </c>
      <c r="I783" s="26" t="n">
        <v>294.3988859466538</v>
      </c>
      <c r="J783" s="27" t="n">
        <v>0.1887168228776171</v>
      </c>
      <c r="K783" s="26" t="n">
        <v>284.2206342271444</v>
      </c>
      <c r="L783" s="27" t="n">
        <v>0.2022838324193388</v>
      </c>
      <c r="M783" s="26" t="n">
        <v>274.996706538406</v>
      </c>
      <c r="N783" s="27" t="n">
        <v>0.2351926344214353</v>
      </c>
      <c r="O783" s="26" t="n">
        <v>242.8604661077744</v>
      </c>
      <c r="P783" s="27" t="n">
        <v>0.2340268003719735</v>
      </c>
      <c r="Q783" s="26" t="n">
        <v>260.735524435533</v>
      </c>
      <c r="R783" s="27" t="n">
        <v>0.2812275049179241</v>
      </c>
      <c r="S783" s="26" t="n">
        <v>251.5754345764503</v>
      </c>
      <c r="T783" s="27" t="n">
        <v>0.3025097580092518</v>
      </c>
      <c r="U783" s="26" t="n">
        <v>263.0042681215218</v>
      </c>
      <c r="V783" s="27" t="n">
        <v>0.2681113032756268</v>
      </c>
      <c r="W783" s="26" t="n">
        <v>264.6750131507465</v>
      </c>
      <c r="X783" s="27" t="n">
        <v>0.2421503377200188</v>
      </c>
      <c r="Y783" s="26" t="n">
        <v>251.4279461221853</v>
      </c>
      <c r="Z783" s="27" t="n">
        <v>0.1704601827223719</v>
      </c>
      <c r="AA783" s="26" t="n">
        <v>255.8719425094663</v>
      </c>
      <c r="AB783" s="27" t="n">
        <v>0.2876860346004098</v>
      </c>
    </row>
    <row r="784">
      <c r="A784" s="26" t="n">
        <v>264.2984114497058</v>
      </c>
      <c r="B784" s="27" t="n">
        <v>0.2641537719620598</v>
      </c>
      <c r="C784" s="26" t="n">
        <v>259.6777081012583</v>
      </c>
      <c r="D784" s="27" t="n">
        <v>0.2663018590483391</v>
      </c>
      <c r="E784" s="26" t="n">
        <v>280.8117341751766</v>
      </c>
      <c r="F784" s="27" t="n">
        <v>0.2294973607704942</v>
      </c>
      <c r="G784" s="26" t="n">
        <v>291.9601798924386</v>
      </c>
      <c r="H784" s="27" t="n">
        <v>0.1889937923285507</v>
      </c>
      <c r="I784" s="26" t="n">
        <v>294.4792703751538</v>
      </c>
      <c r="J784" s="27" t="n">
        <v>0.1894973391010125</v>
      </c>
      <c r="K784" s="26" t="n">
        <v>284.2968767215008</v>
      </c>
      <c r="L784" s="27" t="n">
        <v>0.2030934402916106</v>
      </c>
      <c r="M784" s="26" t="n">
        <v>275.0880122404919</v>
      </c>
      <c r="N784" s="27" t="n">
        <v>0.2359737102490835</v>
      </c>
      <c r="O784" s="26" t="n">
        <v>242.9848708018629</v>
      </c>
      <c r="P784" s="27" t="n">
        <v>0.2349174307450057</v>
      </c>
      <c r="Q784" s="26" t="n">
        <v>260.8296112111659</v>
      </c>
      <c r="R784" s="27" t="n">
        <v>0.2819051132657575</v>
      </c>
      <c r="S784" s="26" t="n">
        <v>251.6818581844817</v>
      </c>
      <c r="T784" s="27" t="n">
        <v>0.3031282454955547</v>
      </c>
      <c r="U784" s="26" t="n">
        <v>263.0893134159741</v>
      </c>
      <c r="V784" s="27" t="n">
        <v>0.2688474181544215</v>
      </c>
      <c r="W784" s="26" t="n">
        <v>264.7531986427992</v>
      </c>
      <c r="X784" s="27" t="n">
        <v>0.2429768199927405</v>
      </c>
      <c r="Y784" s="26" t="n">
        <v>251.5333872887922</v>
      </c>
      <c r="Z784" s="27" t="n">
        <v>0.1712103497783136</v>
      </c>
      <c r="AA784" s="26" t="n">
        <v>255.9521301711729</v>
      </c>
      <c r="AB784" s="27" t="n">
        <v>0.2883841070511295</v>
      </c>
    </row>
    <row r="785">
      <c r="A785" s="26" t="n">
        <v>264.4641731129111</v>
      </c>
      <c r="B785" s="27" t="n">
        <v>0.2648198905860812</v>
      </c>
      <c r="C785" s="26" t="n">
        <v>259.817757615073</v>
      </c>
      <c r="D785" s="27" t="n">
        <v>0.2670151297561522</v>
      </c>
      <c r="E785" s="26" t="n">
        <v>280.9247918295333</v>
      </c>
      <c r="F785" s="27" t="n">
        <v>0.23025037886828</v>
      </c>
      <c r="G785" s="26" t="n">
        <v>292.0469023230442</v>
      </c>
      <c r="H785" s="27" t="n">
        <v>0.1897770512079146</v>
      </c>
      <c r="I785" s="26" t="n">
        <v>294.5596548036536</v>
      </c>
      <c r="J785" s="27" t="n">
        <v>0.1902793422844353</v>
      </c>
      <c r="K785" s="26" t="n">
        <v>284.3731192158571</v>
      </c>
      <c r="L785" s="27" t="n">
        <v>0.2039041912101958</v>
      </c>
      <c r="M785" s="26" t="n">
        <v>275.1793179425777</v>
      </c>
      <c r="N785" s="27" t="n">
        <v>0.2367542754265464</v>
      </c>
      <c r="O785" s="26" t="n">
        <v>243.1092754959515</v>
      </c>
      <c r="P785" s="27" t="n">
        <v>0.2358091561141804</v>
      </c>
      <c r="Q785" s="26" t="n">
        <v>260.9236979867989</v>
      </c>
      <c r="R785" s="27" t="n">
        <v>0.2825805309450732</v>
      </c>
      <c r="S785" s="26" t="n">
        <v>251.7882817925131</v>
      </c>
      <c r="T785" s="27" t="n">
        <v>0.3037440644416458</v>
      </c>
      <c r="U785" s="26" t="n">
        <v>263.1743587104264</v>
      </c>
      <c r="V785" s="27" t="n">
        <v>0.2695818419789477</v>
      </c>
      <c r="W785" s="26" t="n">
        <v>264.8313841348521</v>
      </c>
      <c r="X785" s="27" t="n">
        <v>0.2438029569121728</v>
      </c>
      <c r="Y785" s="26" t="n">
        <v>251.6388284553991</v>
      </c>
      <c r="Z785" s="27" t="n">
        <v>0.1719636999810528</v>
      </c>
      <c r="AA785" s="26" t="n">
        <v>256.0323178328795</v>
      </c>
      <c r="AB785" s="27" t="n">
        <v>0.2890799643910384</v>
      </c>
    </row>
    <row r="786">
      <c r="A786" s="26" t="n">
        <v>264.6299347761163</v>
      </c>
      <c r="B786" s="27" t="n">
        <v>0.2654841012493498</v>
      </c>
      <c r="C786" s="26" t="n">
        <v>259.9578071288878</v>
      </c>
      <c r="D786" s="27" t="n">
        <v>0.2677266712534033</v>
      </c>
      <c r="E786" s="26" t="n">
        <v>281.0378494838901</v>
      </c>
      <c r="F786" s="27" t="n">
        <v>0.2310028630807642</v>
      </c>
      <c r="G786" s="26" t="n">
        <v>292.1336247536498</v>
      </c>
      <c r="H786" s="27" t="n">
        <v>0.1905618730256382</v>
      </c>
      <c r="I786" s="26" t="n">
        <v>294.6400392321536</v>
      </c>
      <c r="J786" s="27" t="n">
        <v>0.1910628074018029</v>
      </c>
      <c r="K786" s="26" t="n">
        <v>284.4493617102135</v>
      </c>
      <c r="L786" s="27" t="n">
        <v>0.2047160553884004</v>
      </c>
      <c r="M786" s="26" t="n">
        <v>275.2706236446635</v>
      </c>
      <c r="N786" s="27" t="n">
        <v>0.2375342932914001</v>
      </c>
      <c r="O786" s="26" t="n">
        <v>243.23368019004</v>
      </c>
      <c r="P786" s="27" t="n">
        <v>0.2367019425799438</v>
      </c>
      <c r="Q786" s="26" t="n">
        <v>261.0177847624319</v>
      </c>
      <c r="R786" s="27" t="n">
        <v>0.2832537300559936</v>
      </c>
      <c r="S786" s="26" t="n">
        <v>251.8947054005445</v>
      </c>
      <c r="T786" s="27" t="n">
        <v>0.3043571929361584</v>
      </c>
      <c r="U786" s="26" t="n">
        <v>263.2594040048787</v>
      </c>
      <c r="V786" s="27" t="n">
        <v>0.2703145416999312</v>
      </c>
      <c r="W786" s="26" t="n">
        <v>264.909569626905</v>
      </c>
      <c r="X786" s="27" t="n">
        <v>0.2446287102286274</v>
      </c>
      <c r="Y786" s="26" t="n">
        <v>251.744269622006</v>
      </c>
      <c r="Z786" s="27" t="n">
        <v>0.1727202425363418</v>
      </c>
      <c r="AA786" s="26" t="n">
        <v>256.1125054945861</v>
      </c>
      <c r="AB786" s="27" t="n">
        <v>0.2897735784115189</v>
      </c>
    </row>
    <row r="787">
      <c r="A787" s="26" t="n">
        <v>264.7956964393217</v>
      </c>
      <c r="B787" s="27" t="n">
        <v>0.2661463717969562</v>
      </c>
      <c r="C787" s="26" t="n">
        <v>260.0978566427026</v>
      </c>
      <c r="D787" s="27" t="n">
        <v>0.2684364491567937</v>
      </c>
      <c r="E787" s="26" t="n">
        <v>281.1509071382468</v>
      </c>
      <c r="F787" s="27" t="n">
        <v>0.2317547774164133</v>
      </c>
      <c r="G787" s="26" t="n">
        <v>292.2203471842553</v>
      </c>
      <c r="H787" s="27" t="n">
        <v>0.1913482333730913</v>
      </c>
      <c r="I787" s="26" t="n">
        <v>294.7204236606535</v>
      </c>
      <c r="J787" s="27" t="n">
        <v>0.1918477089529893</v>
      </c>
      <c r="K787" s="26" t="n">
        <v>284.5256042045698</v>
      </c>
      <c r="L787" s="27" t="n">
        <v>0.2055290025773357</v>
      </c>
      <c r="M787" s="26" t="n">
        <v>275.3619293467494</v>
      </c>
      <c r="N787" s="27" t="n">
        <v>0.2383137269543252</v>
      </c>
      <c r="O787" s="26" t="n">
        <v>243.3580848841285</v>
      </c>
      <c r="P787" s="27" t="n">
        <v>0.2375957557217367</v>
      </c>
      <c r="Q787" s="26" t="n">
        <v>261.1118715380649</v>
      </c>
      <c r="R787" s="27" t="n">
        <v>0.2839246827903112</v>
      </c>
      <c r="S787" s="26" t="n">
        <v>252.0011290085758</v>
      </c>
      <c r="T787" s="27" t="n">
        <v>0.3049676092305756</v>
      </c>
      <c r="U787" s="26" t="n">
        <v>263.344449299331</v>
      </c>
      <c r="V787" s="27" t="n">
        <v>0.2710454842661781</v>
      </c>
      <c r="W787" s="26" t="n">
        <v>264.9877551189577</v>
      </c>
      <c r="X787" s="27" t="n">
        <v>0.2454540414264823</v>
      </c>
      <c r="Y787" s="26" t="n">
        <v>251.8497107886129</v>
      </c>
      <c r="Z787" s="27" t="n">
        <v>0.1734799865407771</v>
      </c>
      <c r="AA787" s="26" t="n">
        <v>256.1926931562927</v>
      </c>
      <c r="AB787" s="27" t="n">
        <v>0.2904649210002591</v>
      </c>
    </row>
    <row r="788">
      <c r="A788" s="26" t="n">
        <v>264.961458102527</v>
      </c>
      <c r="B788" s="27" t="n">
        <v>0.2668066700796157</v>
      </c>
      <c r="C788" s="26" t="n">
        <v>260.2379061565174</v>
      </c>
      <c r="D788" s="27" t="n">
        <v>0.2691444290535628</v>
      </c>
      <c r="E788" s="26" t="n">
        <v>281.2639647926035</v>
      </c>
      <c r="F788" s="27" t="n">
        <v>0.2325060856558065</v>
      </c>
      <c r="G788" s="26" t="n">
        <v>292.3070696148609</v>
      </c>
      <c r="H788" s="27" t="n">
        <v>0.192136107356914</v>
      </c>
      <c r="I788" s="26" t="n">
        <v>294.8008080891535</v>
      </c>
      <c r="J788" s="27" t="n">
        <v>0.1926340209600612</v>
      </c>
      <c r="K788" s="26" t="n">
        <v>284.6018466989261</v>
      </c>
      <c r="L788" s="27" t="n">
        <v>0.2063430020637698</v>
      </c>
      <c r="M788" s="26" t="n">
        <v>275.4532350488353</v>
      </c>
      <c r="N788" s="27" t="n">
        <v>0.2390925393023448</v>
      </c>
      <c r="O788" s="26" t="n">
        <v>243.4824895782171</v>
      </c>
      <c r="P788" s="27" t="n">
        <v>0.238490560595375</v>
      </c>
      <c r="Q788" s="26" t="n">
        <v>261.2059583136977</v>
      </c>
      <c r="R788" s="27" t="n">
        <v>0.2845933614355019</v>
      </c>
      <c r="S788" s="26" t="n">
        <v>252.1075526166072</v>
      </c>
      <c r="T788" s="27" t="n">
        <v>0.3055752917423386</v>
      </c>
      <c r="U788" s="26" t="n">
        <v>263.4294945937833</v>
      </c>
      <c r="V788" s="27" t="n">
        <v>0.271774636629073</v>
      </c>
      <c r="W788" s="26" t="n">
        <v>265.0659406110105</v>
      </c>
      <c r="X788" s="27" t="n">
        <v>0.2462789117272088</v>
      </c>
      <c r="Y788" s="26" t="n">
        <v>251.9551519552198</v>
      </c>
      <c r="Z788" s="27" t="n">
        <v>0.1742429409769286</v>
      </c>
      <c r="AA788" s="26" t="n">
        <v>256.2728808179993</v>
      </c>
      <c r="AB788" s="27" t="n">
        <v>0.2911539641452905</v>
      </c>
    </row>
    <row r="789">
      <c r="A789" s="26" t="n">
        <v>265.1272197657323</v>
      </c>
      <c r="B789" s="27" t="n">
        <v>0.2674649639581588</v>
      </c>
      <c r="C789" s="26" t="n">
        <v>260.3779556703321</v>
      </c>
      <c r="D789" s="27" t="n">
        <v>0.2698505765061159</v>
      </c>
      <c r="E789" s="26" t="n">
        <v>281.3770224469603</v>
      </c>
      <c r="F789" s="27" t="n">
        <v>0.2332567513547482</v>
      </c>
      <c r="G789" s="26" t="n">
        <v>292.3937920454665</v>
      </c>
      <c r="H789" s="27" t="n">
        <v>0.1929254695947755</v>
      </c>
      <c r="I789" s="26" t="n">
        <v>294.8811925176534</v>
      </c>
      <c r="J789" s="27" t="n">
        <v>0.1934217169635606</v>
      </c>
      <c r="K789" s="26" t="n">
        <v>284.6780891932825</v>
      </c>
      <c r="L789" s="27" t="n">
        <v>0.2071580226680647</v>
      </c>
      <c r="M789" s="26" t="n">
        <v>275.5445407509211</v>
      </c>
      <c r="N789" s="27" t="n">
        <v>0.2398706930021582</v>
      </c>
      <c r="O789" s="26" t="n">
        <v>243.6068942723056</v>
      </c>
      <c r="P789" s="27" t="n">
        <v>0.2393863217305258</v>
      </c>
      <c r="Q789" s="26" t="n">
        <v>261.3000450893308</v>
      </c>
      <c r="R789" s="27" t="n">
        <v>0.2852597383787556</v>
      </c>
      <c r="S789" s="26" t="n">
        <v>252.2139762246386</v>
      </c>
      <c r="T789" s="27" t="n">
        <v>0.3061802190579482</v>
      </c>
      <c r="U789" s="26" t="n">
        <v>263.5145398882356</v>
      </c>
      <c r="V789" s="27" t="n">
        <v>0.2725019657471366</v>
      </c>
      <c r="W789" s="26" t="n">
        <v>265.1441261030633</v>
      </c>
      <c r="X789" s="27" t="n">
        <v>0.2471032820925076</v>
      </c>
      <c r="Y789" s="26" t="n">
        <v>252.0605931218267</v>
      </c>
      <c r="Z789" s="27" t="n">
        <v>0.1750091147083222</v>
      </c>
      <c r="AA789" s="26" t="n">
        <v>256.3530684797059</v>
      </c>
      <c r="AB789" s="27" t="n">
        <v>0.2918406799390467</v>
      </c>
    </row>
    <row r="790">
      <c r="A790" s="26" t="n">
        <v>265.2929814289377</v>
      </c>
      <c r="B790" s="27" t="n">
        <v>0.2681212213080774</v>
      </c>
      <c r="C790" s="26" t="n">
        <v>260.5180051841469</v>
      </c>
      <c r="D790" s="27" t="n">
        <v>0.2705548570566986</v>
      </c>
      <c r="E790" s="26" t="n">
        <v>281.4900801013169</v>
      </c>
      <c r="F790" s="27" t="n">
        <v>0.2340067378474861</v>
      </c>
      <c r="G790" s="26" t="n">
        <v>292.480514476072</v>
      </c>
      <c r="H790" s="27" t="n">
        <v>0.1937162942111682</v>
      </c>
      <c r="I790" s="26" t="n">
        <v>294.9615769461534</v>
      </c>
      <c r="J790" s="27" t="n">
        <v>0.1942107700188425</v>
      </c>
      <c r="K790" s="26" t="n">
        <v>284.7543316876388</v>
      </c>
      <c r="L790" s="27" t="n">
        <v>0.207974032742192</v>
      </c>
      <c r="M790" s="26" t="n">
        <v>275.6358464530069</v>
      </c>
      <c r="N790" s="27" t="n">
        <v>0.240648150503579</v>
      </c>
      <c r="O790" s="26" t="n">
        <v>243.7312989663942</v>
      </c>
      <c r="P790" s="27" t="n">
        <v>0.2402830031282672</v>
      </c>
      <c r="Q790" s="26" t="n">
        <v>261.3941318649637</v>
      </c>
      <c r="R790" s="27" t="n">
        <v>0.2859237861110167</v>
      </c>
      <c r="S790" s="26" t="n">
        <v>252.32039983267</v>
      </c>
      <c r="T790" s="27" t="n">
        <v>0.3067823699360558</v>
      </c>
      <c r="U790" s="26" t="n">
        <v>263.599585182688</v>
      </c>
      <c r="V790" s="27" t="n">
        <v>0.2732274385906122</v>
      </c>
      <c r="W790" s="26" t="n">
        <v>265.2223115951161</v>
      </c>
      <c r="X790" s="27" t="n">
        <v>0.2479271132275563</v>
      </c>
      <c r="Y790" s="26" t="n">
        <v>252.1660342884337</v>
      </c>
      <c r="Z790" s="27" t="n">
        <v>0.1757785164742729</v>
      </c>
      <c r="AA790" s="26" t="n">
        <v>256.4332561414125</v>
      </c>
      <c r="AB790" s="27" t="n">
        <v>0.2925250405824254</v>
      </c>
    </row>
    <row r="791">
      <c r="A791" s="26" t="n">
        <v>265.4587430921429</v>
      </c>
      <c r="B791" s="27" t="n">
        <v>0.268775410024119</v>
      </c>
      <c r="C791" s="26" t="n">
        <v>260.6580546979617</v>
      </c>
      <c r="D791" s="27" t="n">
        <v>0.2712572362321317</v>
      </c>
      <c r="E791" s="26" t="n">
        <v>281.6031377556737</v>
      </c>
      <c r="F791" s="27" t="n">
        <v>0.234756008250025</v>
      </c>
      <c r="G791" s="26" t="n">
        <v>292.5672369066776</v>
      </c>
      <c r="H791" s="27" t="n">
        <v>0.1945085548332514</v>
      </c>
      <c r="I791" s="26" t="n">
        <v>295.0419613746533</v>
      </c>
      <c r="J791" s="27" t="n">
        <v>0.1950011526924656</v>
      </c>
      <c r="K791" s="26" t="n">
        <v>284.8305741819952</v>
      </c>
      <c r="L791" s="27" t="n">
        <v>0.2087910001678411</v>
      </c>
      <c r="M791" s="26" t="n">
        <v>275.7271521550928</v>
      </c>
      <c r="N791" s="27" t="n">
        <v>0.241424874043073</v>
      </c>
      <c r="O791" s="26" t="n">
        <v>243.8557036604827</v>
      </c>
      <c r="P791" s="27" t="n">
        <v>0.2411805682587456</v>
      </c>
      <c r="Q791" s="26" t="n">
        <v>261.4882186405966</v>
      </c>
      <c r="R791" s="27" t="n">
        <v>0.2865854772310419</v>
      </c>
      <c r="S791" s="26" t="n">
        <v>252.4268234407014</v>
      </c>
      <c r="T791" s="27" t="n">
        <v>0.307381723310543</v>
      </c>
      <c r="U791" s="26" t="n">
        <v>263.6846304771402</v>
      </c>
      <c r="V791" s="27" t="n">
        <v>0.273951022146113</v>
      </c>
      <c r="W791" s="26" t="n">
        <v>265.3004970871689</v>
      </c>
      <c r="X791" s="27" t="n">
        <v>0.2487503655843653</v>
      </c>
      <c r="Y791" s="26" t="n">
        <v>252.2714754550406</v>
      </c>
      <c r="Z791" s="27" t="n">
        <v>0.1765511548845646</v>
      </c>
      <c r="AA791" s="26" t="n">
        <v>256.5134438031191</v>
      </c>
      <c r="AB791" s="27" t="n">
        <v>0.2932070183888694</v>
      </c>
    </row>
    <row r="792">
      <c r="A792" s="26" t="n">
        <v>265.6245047553482</v>
      </c>
      <c r="B792" s="27" t="n">
        <v>0.2694274980249199</v>
      </c>
      <c r="C792" s="26" t="n">
        <v>260.7981042117765</v>
      </c>
      <c r="D792" s="27" t="n">
        <v>0.2719576795486072</v>
      </c>
      <c r="E792" s="26" t="n">
        <v>281.7161954100304</v>
      </c>
      <c r="F792" s="27" t="n">
        <v>0.2355045254635459</v>
      </c>
      <c r="G792" s="26" t="n">
        <v>292.6539593372832</v>
      </c>
      <c r="H792" s="27" t="n">
        <v>0.1953022245867402</v>
      </c>
      <c r="I792" s="26" t="n">
        <v>295.1223458031533</v>
      </c>
      <c r="J792" s="27" t="n">
        <v>0.1957928370586428</v>
      </c>
      <c r="K792" s="26" t="n">
        <v>284.9068166763516</v>
      </c>
      <c r="L792" s="27" t="n">
        <v>0.2096088923546117</v>
      </c>
      <c r="M792" s="26" t="n">
        <v>275.8184578571786</v>
      </c>
      <c r="N792" s="27" t="n">
        <v>0.2422008256473963</v>
      </c>
      <c r="O792" s="26" t="n">
        <v>243.9801083545713</v>
      </c>
      <c r="P792" s="27" t="n">
        <v>0.2420789800589331</v>
      </c>
      <c r="Q792" s="26" t="n">
        <v>261.5823054162295</v>
      </c>
      <c r="R792" s="27" t="n">
        <v>0.2872447844494674</v>
      </c>
      <c r="S792" s="26" t="n">
        <v>252.5332470487327</v>
      </c>
      <c r="T792" s="27" t="n">
        <v>0.3079782582935898</v>
      </c>
      <c r="U792" s="26" t="n">
        <v>263.7696757715926</v>
      </c>
      <c r="V792" s="27" t="n">
        <v>0.2746726834213009</v>
      </c>
      <c r="W792" s="26" t="n">
        <v>265.3786825792217</v>
      </c>
      <c r="X792" s="27" t="n">
        <v>0.249572999365246</v>
      </c>
      <c r="Y792" s="26" t="n">
        <v>252.3769166216475</v>
      </c>
      <c r="Z792" s="27" t="n">
        <v>0.1773270384139701</v>
      </c>
      <c r="AA792" s="26" t="n">
        <v>256.5936314648256</v>
      </c>
      <c r="AB792" s="27" t="n">
        <v>0.2938865857884552</v>
      </c>
    </row>
    <row r="793">
      <c r="A793" s="26" t="n">
        <v>265.7902664185535</v>
      </c>
      <c r="B793" s="27" t="n">
        <v>0.2700774532576897</v>
      </c>
      <c r="C793" s="26" t="n">
        <v>260.9381537255913</v>
      </c>
      <c r="D793" s="27" t="n">
        <v>0.2726561525165342</v>
      </c>
      <c r="E793" s="26" t="n">
        <v>281.8292530643872</v>
      </c>
      <c r="F793" s="27" t="n">
        <v>0.2362522521779286</v>
      </c>
      <c r="G793" s="26" t="n">
        <v>292.7406817678888</v>
      </c>
      <c r="H793" s="27" t="n">
        <v>0.196097276091844</v>
      </c>
      <c r="I793" s="26" t="n">
        <v>295.2027302316532</v>
      </c>
      <c r="J793" s="27" t="n">
        <v>0.1965857946957525</v>
      </c>
      <c r="K793" s="26" t="n">
        <v>284.9830591707079</v>
      </c>
      <c r="L793" s="27" t="n">
        <v>0.2104276762383085</v>
      </c>
      <c r="M793" s="26" t="n">
        <v>275.9097635592644</v>
      </c>
      <c r="N793" s="27" t="n">
        <v>0.2429759671373407</v>
      </c>
      <c r="O793" s="26" t="n">
        <v>244.1045130486598</v>
      </c>
      <c r="P793" s="27" t="n">
        <v>0.2429782009304809</v>
      </c>
      <c r="Q793" s="26" t="n">
        <v>261.6763921918624</v>
      </c>
      <c r="R793" s="27" t="n">
        <v>0.2879016805928912</v>
      </c>
      <c r="S793" s="26" t="n">
        <v>252.6396706567641</v>
      </c>
      <c r="T793" s="27" t="n">
        <v>0.3085719541787345</v>
      </c>
      <c r="U793" s="26" t="n">
        <v>263.8547210660448</v>
      </c>
      <c r="V793" s="27" t="n">
        <v>0.27539238944961</v>
      </c>
      <c r="W793" s="26" t="n">
        <v>265.4568680712745</v>
      </c>
      <c r="X793" s="27" t="n">
        <v>0.2503949745263894</v>
      </c>
      <c r="Y793" s="26" t="n">
        <v>252.4823577882544</v>
      </c>
      <c r="Z793" s="27" t="n">
        <v>0.1781061753966099</v>
      </c>
      <c r="AA793" s="26" t="n">
        <v>256.6738191265323</v>
      </c>
      <c r="AB793" s="27" t="n">
        <v>0.2945637153319918</v>
      </c>
    </row>
    <row r="794">
      <c r="A794" s="26" t="n">
        <v>265.9560280817589</v>
      </c>
      <c r="B794" s="27" t="n">
        <v>0.270725243702934</v>
      </c>
      <c r="C794" s="26" t="n">
        <v>261.078203239406</v>
      </c>
      <c r="D794" s="27" t="n">
        <v>0.2733526206454461</v>
      </c>
      <c r="E794" s="26" t="n">
        <v>281.9423107187439</v>
      </c>
      <c r="F794" s="27" t="n">
        <v>0.2369991508753715</v>
      </c>
      <c r="G794" s="26" t="n">
        <v>292.8274041984944</v>
      </c>
      <c r="H794" s="27" t="n">
        <v>0.1968936814592624</v>
      </c>
      <c r="I794" s="26" t="n">
        <v>295.2831146601532</v>
      </c>
      <c r="J794" s="27" t="n">
        <v>0.197379996682915</v>
      </c>
      <c r="K794" s="26" t="n">
        <v>285.0593016650643</v>
      </c>
      <c r="L794" s="27" t="n">
        <v>0.2112473182793245</v>
      </c>
      <c r="M794" s="26" t="n">
        <v>276.0010692613503</v>
      </c>
      <c r="N794" s="27" t="n">
        <v>0.2437502601315787</v>
      </c>
      <c r="O794" s="26" t="n">
        <v>244.2289177427484</v>
      </c>
      <c r="P794" s="27" t="n">
        <v>0.2438781927376817</v>
      </c>
      <c r="Q794" s="26" t="n">
        <v>261.7704789674954</v>
      </c>
      <c r="R794" s="27" t="n">
        <v>0.2885561386079615</v>
      </c>
      <c r="S794" s="26" t="n">
        <v>252.7460942647955</v>
      </c>
      <c r="T794" s="27" t="n">
        <v>0.3091627904439158</v>
      </c>
      <c r="U794" s="26" t="n">
        <v>263.9397663604972</v>
      </c>
      <c r="V794" s="27" t="n">
        <v>0.2761101072950189</v>
      </c>
      <c r="W794" s="26" t="n">
        <v>265.5350535633273</v>
      </c>
      <c r="X794" s="27" t="n">
        <v>0.2512162507815629</v>
      </c>
      <c r="Y794" s="26" t="n">
        <v>252.5877989548613</v>
      </c>
      <c r="Z794" s="27" t="n">
        <v>0.1788885740201443</v>
      </c>
      <c r="AA794" s="26" t="n">
        <v>256.7540067882389</v>
      </c>
      <c r="AB794" s="27" t="n">
        <v>0.2952383796951304</v>
      </c>
    </row>
    <row r="795">
      <c r="A795" s="26" t="n">
        <v>266.1217897449642</v>
      </c>
      <c r="B795" s="27" t="n">
        <v>0.2713708373792287</v>
      </c>
      <c r="C795" s="26" t="n">
        <v>261.2182527532208</v>
      </c>
      <c r="D795" s="27" t="n">
        <v>0.2740470494489611</v>
      </c>
      <c r="E795" s="26" t="n">
        <v>282.0553683731006</v>
      </c>
      <c r="F795" s="27" t="n">
        <v>0.2377451838341238</v>
      </c>
      <c r="G795" s="26" t="n">
        <v>292.9141266290999</v>
      </c>
      <c r="H795" s="27" t="n">
        <v>0.1976914122862339</v>
      </c>
      <c r="I795" s="26" t="n">
        <v>295.363499088653</v>
      </c>
      <c r="J795" s="27" t="n">
        <v>0.1981754135966364</v>
      </c>
      <c r="K795" s="26" t="n">
        <v>285.1355441594206</v>
      </c>
      <c r="L795" s="27" t="n">
        <v>0.2120677844611252</v>
      </c>
      <c r="M795" s="26" t="n">
        <v>276.0923749634361</v>
      </c>
      <c r="N795" s="27" t="n">
        <v>0.2445236660506152</v>
      </c>
      <c r="O795" s="26" t="n">
        <v>244.3533224368369</v>
      </c>
      <c r="P795" s="27" t="n">
        <v>0.2447789168055402</v>
      </c>
      <c r="Q795" s="26" t="n">
        <v>261.8645657431284</v>
      </c>
      <c r="R795" s="27" t="n">
        <v>0.2892081315654811</v>
      </c>
      <c r="S795" s="26" t="n">
        <v>252.8525178728268</v>
      </c>
      <c r="T795" s="27" t="n">
        <v>0.3097507467545049</v>
      </c>
      <c r="U795" s="26" t="n">
        <v>264.0248116549494</v>
      </c>
      <c r="V795" s="27" t="n">
        <v>0.2768258040568569</v>
      </c>
      <c r="W795" s="26" t="n">
        <v>265.6132390553801</v>
      </c>
      <c r="X795" s="27" t="n">
        <v>0.2520367876059165</v>
      </c>
      <c r="Y795" s="26" t="n">
        <v>252.6932401214682</v>
      </c>
      <c r="Z795" s="27" t="n">
        <v>0.1796742423197919</v>
      </c>
      <c r="AA795" s="26" t="n">
        <v>256.8341944499455</v>
      </c>
      <c r="AB795" s="27" t="n">
        <v>0.2959105516824819</v>
      </c>
    </row>
    <row r="796">
      <c r="A796" s="26" t="n">
        <v>266.2875514081695</v>
      </c>
      <c r="B796" s="27" t="n">
        <v>0.2720142023480297</v>
      </c>
      <c r="C796" s="26" t="n">
        <v>261.3583022670356</v>
      </c>
      <c r="D796" s="27" t="n">
        <v>0.2747394044497952</v>
      </c>
      <c r="E796" s="26" t="n">
        <v>282.1684260274574</v>
      </c>
      <c r="F796" s="27" t="n">
        <v>0.2384903131323183</v>
      </c>
      <c r="G796" s="26" t="n">
        <v>293.0008490597055</v>
      </c>
      <c r="H796" s="27" t="n">
        <v>0.1984904396526474</v>
      </c>
      <c r="I796" s="26" t="n">
        <v>295.443883517153</v>
      </c>
      <c r="J796" s="27" t="n">
        <v>0.1989720155075239</v>
      </c>
      <c r="K796" s="26" t="n">
        <v>285.2117866537769</v>
      </c>
      <c r="L796" s="27" t="n">
        <v>0.2128890402888418</v>
      </c>
      <c r="M796" s="26" t="n">
        <v>276.1836806655219</v>
      </c>
      <c r="N796" s="27" t="n">
        <v>0.245296146120843</v>
      </c>
      <c r="O796" s="26" t="n">
        <v>244.4777271309255</v>
      </c>
      <c r="P796" s="27" t="n">
        <v>0.2456803339179532</v>
      </c>
      <c r="Q796" s="26" t="n">
        <v>261.9586525187613</v>
      </c>
      <c r="R796" s="27" t="n">
        <v>0.2898576326645126</v>
      </c>
      <c r="S796" s="26" t="n">
        <v>252.9589414808582</v>
      </c>
      <c r="T796" s="27" t="n">
        <v>0.3103358029663218</v>
      </c>
      <c r="U796" s="26" t="n">
        <v>264.1098569494018</v>
      </c>
      <c r="V796" s="27" t="n">
        <v>0.2775394468746549</v>
      </c>
      <c r="W796" s="26" t="n">
        <v>265.6914245474329</v>
      </c>
      <c r="X796" s="27" t="n">
        <v>0.2528565442399064</v>
      </c>
      <c r="Y796" s="26" t="n">
        <v>252.7986812880751</v>
      </c>
      <c r="Z796" s="27" t="n">
        <v>0.1804631881721756</v>
      </c>
      <c r="AA796" s="26" t="n">
        <v>256.9143821116521</v>
      </c>
      <c r="AB796" s="27" t="n">
        <v>0.2965802042317418</v>
      </c>
    </row>
    <row r="797">
      <c r="A797" s="26" t="n">
        <v>266.4533130713747</v>
      </c>
      <c r="B797" s="27" t="n">
        <v>0.2726553067185326</v>
      </c>
      <c r="C797" s="26" t="n">
        <v>261.4983517808504</v>
      </c>
      <c r="D797" s="27" t="n">
        <v>0.275429651184834</v>
      </c>
      <c r="E797" s="26" t="n">
        <v>282.2814836818141</v>
      </c>
      <c r="F797" s="27" t="n">
        <v>0.23923450065191</v>
      </c>
      <c r="G797" s="26" t="n">
        <v>293.087571490311</v>
      </c>
      <c r="H797" s="27" t="n">
        <v>0.1992907341172166</v>
      </c>
      <c r="I797" s="26" t="n">
        <v>295.5242679456529</v>
      </c>
      <c r="J797" s="27" t="n">
        <v>0.1997697719770755</v>
      </c>
      <c r="K797" s="26" t="n">
        <v>285.2880291481333</v>
      </c>
      <c r="L797" s="27" t="n">
        <v>0.2137110507879625</v>
      </c>
      <c r="M797" s="26" t="n">
        <v>276.2749863676078</v>
      </c>
      <c r="N797" s="27" t="n">
        <v>0.2460676613787054</v>
      </c>
      <c r="O797" s="26" t="n">
        <v>244.602131825014</v>
      </c>
      <c r="P797" s="27" t="n">
        <v>0.2465824043160083</v>
      </c>
      <c r="Q797" s="26" t="n">
        <v>262.0527392943943</v>
      </c>
      <c r="R797" s="27" t="n">
        <v>0.2905046152365003</v>
      </c>
      <c r="S797" s="26" t="n">
        <v>253.0653650888896</v>
      </c>
      <c r="T797" s="27" t="n">
        <v>0.3109179391286393</v>
      </c>
      <c r="U797" s="26" t="n">
        <v>264.194902243854</v>
      </c>
      <c r="V797" s="27" t="n">
        <v>0.2782510029330379</v>
      </c>
      <c r="W797" s="26" t="n">
        <v>265.7696100394858</v>
      </c>
      <c r="X797" s="27" t="n">
        <v>0.253675479693335</v>
      </c>
      <c r="Y797" s="26" t="n">
        <v>252.904122454682</v>
      </c>
      <c r="Z797" s="27" t="n">
        <v>0.1812554192889849</v>
      </c>
      <c r="AA797" s="26" t="n">
        <v>256.9945697733587</v>
      </c>
      <c r="AB797" s="27" t="n">
        <v>0.2972473104178185</v>
      </c>
    </row>
    <row r="798">
      <c r="A798" s="26" t="n">
        <v>266.6190747345801</v>
      </c>
      <c r="B798" s="27" t="n">
        <v>0.2732941186525682</v>
      </c>
      <c r="C798" s="26" t="n">
        <v>261.6384012946652</v>
      </c>
      <c r="D798" s="27" t="n">
        <v>0.2761177552102528</v>
      </c>
      <c r="E798" s="26" t="n">
        <v>282.3945413361708</v>
      </c>
      <c r="F798" s="27" t="n">
        <v>0.2399777080827241</v>
      </c>
      <c r="G798" s="26" t="n">
        <v>293.1742939209166</v>
      </c>
      <c r="H798" s="27" t="n">
        <v>0.2000922657137218</v>
      </c>
      <c r="I798" s="26" t="n">
        <v>295.6046523741529</v>
      </c>
      <c r="J798" s="27" t="n">
        <v>0.2005686520545474</v>
      </c>
      <c r="K798" s="26" t="n">
        <v>285.3642716424896</v>
      </c>
      <c r="L798" s="27" t="n">
        <v>0.2145337805031388</v>
      </c>
      <c r="M798" s="26" t="n">
        <v>276.3662920696936</v>
      </c>
      <c r="N798" s="27" t="n">
        <v>0.246838172674963</v>
      </c>
      <c r="O798" s="26" t="n">
        <v>244.7265365191025</v>
      </c>
      <c r="P798" s="27" t="n">
        <v>0.2474850876964024</v>
      </c>
      <c r="Q798" s="26" t="n">
        <v>262.1468260700273</v>
      </c>
      <c r="R798" s="27" t="n">
        <v>0.2911490527493924</v>
      </c>
      <c r="S798" s="26" t="n">
        <v>253.1717886969209</v>
      </c>
      <c r="T798" s="27" t="n">
        <v>0.3114971354871659</v>
      </c>
      <c r="U798" s="26" t="n">
        <v>264.2799475383064</v>
      </c>
      <c r="V798" s="27" t="n">
        <v>0.2789604394666504</v>
      </c>
      <c r="W798" s="26" t="n">
        <v>265.8477955315385</v>
      </c>
      <c r="X798" s="27" t="n">
        <v>0.2544935527495077</v>
      </c>
      <c r="Y798" s="26" t="n">
        <v>253.0095636212889</v>
      </c>
      <c r="Z798" s="27" t="n">
        <v>0.1820509432104546</v>
      </c>
      <c r="AA798" s="26" t="n">
        <v>257.0747574350653</v>
      </c>
      <c r="AB798" s="27" t="n">
        <v>0.2979118434569782</v>
      </c>
    </row>
    <row r="799">
      <c r="A799" s="26" t="n">
        <v>266.7848363977854</v>
      </c>
      <c r="B799" s="27" t="n">
        <v>0.273930606369539</v>
      </c>
      <c r="C799" s="26" t="n">
        <v>261.7784508084799</v>
      </c>
      <c r="D799" s="27" t="n">
        <v>0.2768036821066955</v>
      </c>
      <c r="E799" s="26" t="n">
        <v>282.5075989905275</v>
      </c>
      <c r="F799" s="27" t="n">
        <v>0.2407198969266069</v>
      </c>
      <c r="G799" s="26" t="n">
        <v>293.2610163515222</v>
      </c>
      <c r="H799" s="27" t="n">
        <v>0.2008950039473222</v>
      </c>
      <c r="I799" s="26" t="n">
        <v>295.6850368026528</v>
      </c>
      <c r="J799" s="27" t="n">
        <v>0.2013686242739047</v>
      </c>
      <c r="K799" s="26" t="n">
        <v>285.440514136846</v>
      </c>
      <c r="L799" s="27" t="n">
        <v>0.2153571934971009</v>
      </c>
      <c r="M799" s="26" t="n">
        <v>276.4575977717794</v>
      </c>
      <c r="N799" s="27" t="n">
        <v>0.24760764067907</v>
      </c>
      <c r="O799" s="26" t="n">
        <v>244.8509412131911</v>
      </c>
      <c r="P799" s="27" t="n">
        <v>0.2483883432099805</v>
      </c>
      <c r="Q799" s="26" t="n">
        <v>262.2409128456601</v>
      </c>
      <c r="R799" s="27" t="n">
        <v>0.2917909188117762</v>
      </c>
      <c r="S799" s="26" t="n">
        <v>253.2782123049523</v>
      </c>
      <c r="T799" s="27" t="n">
        <v>0.3120733724870188</v>
      </c>
      <c r="U799" s="26" t="n">
        <v>264.3649928327586</v>
      </c>
      <c r="V799" s="27" t="n">
        <v>0.2796677237651266</v>
      </c>
      <c r="W799" s="26" t="n">
        <v>265.9259810235914</v>
      </c>
      <c r="X799" s="27" t="n">
        <v>0.2553107219695079</v>
      </c>
      <c r="Y799" s="26" t="n">
        <v>253.1150047878959</v>
      </c>
      <c r="Z799" s="27" t="n">
        <v>0.1828497672986519</v>
      </c>
      <c r="AA799" s="26" t="n">
        <v>257.1549450967718</v>
      </c>
      <c r="AB799" s="27" t="n">
        <v>0.2985737767109771</v>
      </c>
    </row>
    <row r="800">
      <c r="A800" s="26" t="n">
        <v>266.9505980609907</v>
      </c>
      <c r="B800" s="27" t="n">
        <v>0.2745647381514014</v>
      </c>
      <c r="C800" s="26" t="n">
        <v>261.9185003222947</v>
      </c>
      <c r="D800" s="27" t="n">
        <v>0.2774873974845001</v>
      </c>
      <c r="E800" s="26" t="n">
        <v>282.6206566448842</v>
      </c>
      <c r="F800" s="27" t="n">
        <v>0.2414610285016885</v>
      </c>
      <c r="G800" s="26" t="n">
        <v>293.3477387821277</v>
      </c>
      <c r="H800" s="27" t="n">
        <v>0.2016989177909416</v>
      </c>
      <c r="I800" s="26" t="n">
        <v>295.7654212311528</v>
      </c>
      <c r="J800" s="27" t="n">
        <v>0.202169656650854</v>
      </c>
      <c r="K800" s="26" t="n">
        <v>285.5167566312024</v>
      </c>
      <c r="L800" s="27" t="n">
        <v>0.216181253349691</v>
      </c>
      <c r="M800" s="26" t="n">
        <v>276.5489034738653</v>
      </c>
      <c r="N800" s="27" t="n">
        <v>0.2483760258836534</v>
      </c>
      <c r="O800" s="26" t="n">
        <v>244.9753459072796</v>
      </c>
      <c r="P800" s="27" t="n">
        <v>0.2492921294604059</v>
      </c>
      <c r="Q800" s="26" t="n">
        <v>262.3349996212932</v>
      </c>
      <c r="R800" s="27" t="n">
        <v>0.2924301871770102</v>
      </c>
      <c r="S800" s="26" t="n">
        <v>253.3846359129837</v>
      </c>
      <c r="T800" s="27" t="n">
        <v>0.3126466307756755</v>
      </c>
      <c r="U800" s="26" t="n">
        <v>264.450038127211</v>
      </c>
      <c r="V800" s="27" t="n">
        <v>0.2803728231780952</v>
      </c>
      <c r="W800" s="26" t="n">
        <v>266.0041665156441</v>
      </c>
      <c r="X800" s="27" t="n">
        <v>0.2561269456965901</v>
      </c>
      <c r="Y800" s="26" t="n">
        <v>253.2204459545028</v>
      </c>
      <c r="Z800" s="27" t="n">
        <v>0.1836518987305685</v>
      </c>
      <c r="AA800" s="26" t="n">
        <v>257.2351327584785</v>
      </c>
      <c r="AB800" s="27" t="n">
        <v>0.2992330836912142</v>
      </c>
    </row>
    <row r="801">
      <c r="A801" s="26" t="n">
        <v>267.1163597241961</v>
      </c>
      <c r="B801" s="27" t="n">
        <v>0.2751964823476807</v>
      </c>
      <c r="C801" s="26" t="n">
        <v>262.0585498361095</v>
      </c>
      <c r="D801" s="27" t="n">
        <v>0.2781688669889766</v>
      </c>
      <c r="E801" s="26" t="n">
        <v>282.733714299241</v>
      </c>
      <c r="F801" s="27" t="n">
        <v>0.2422010639467521</v>
      </c>
      <c r="G801" s="26" t="n">
        <v>293.4344612127334</v>
      </c>
      <c r="H801" s="27" t="n">
        <v>0.2025039756817351</v>
      </c>
      <c r="I801" s="26" t="n">
        <v>295.8458056596527</v>
      </c>
      <c r="J801" s="27" t="n">
        <v>0.2029717166799683</v>
      </c>
      <c r="K801" s="26" t="n">
        <v>285.5929991255587</v>
      </c>
      <c r="L801" s="27" t="n">
        <v>0.217005923157017</v>
      </c>
      <c r="M801" s="26" t="n">
        <v>276.6402091759512</v>
      </c>
      <c r="N801" s="27" t="n">
        <v>0.2491432886091069</v>
      </c>
      <c r="O801" s="26" t="n">
        <v>245.0997506013682</v>
      </c>
      <c r="P801" s="27" t="n">
        <v>0.2501964045029602</v>
      </c>
      <c r="Q801" s="26" t="n">
        <v>262.4290863969261</v>
      </c>
      <c r="R801" s="27" t="n">
        <v>0.2930668317473685</v>
      </c>
      <c r="S801" s="26" t="n">
        <v>253.4910595210151</v>
      </c>
      <c r="T801" s="27" t="n">
        <v>0.313216891205908</v>
      </c>
      <c r="U801" s="26" t="n">
        <v>264.5350834216633</v>
      </c>
      <c r="V801" s="27" t="n">
        <v>0.2810757051202219</v>
      </c>
      <c r="W801" s="26" t="n">
        <v>266.082352007697</v>
      </c>
      <c r="X801" s="27" t="n">
        <v>0.2569421820606939</v>
      </c>
      <c r="Y801" s="26" t="n">
        <v>253.3258871211097</v>
      </c>
      <c r="Z801" s="27" t="n">
        <v>0.1844573444910126</v>
      </c>
      <c r="AA801" s="26" t="n">
        <v>257.3153204201851</v>
      </c>
      <c r="AB801" s="27" t="n">
        <v>0.2998897380628777</v>
      </c>
    </row>
    <row r="802">
      <c r="A802" s="26" t="n">
        <v>267.2821213874013</v>
      </c>
      <c r="B802" s="27" t="n">
        <v>0.2758258073805316</v>
      </c>
      <c r="C802" s="26" t="n">
        <v>262.1985993499243</v>
      </c>
      <c r="D802" s="27" t="n">
        <v>0.2788480563057406</v>
      </c>
      <c r="E802" s="26" t="n">
        <v>282.8467719535977</v>
      </c>
      <c r="F802" s="27" t="n">
        <v>0.2429399642257125</v>
      </c>
      <c r="G802" s="26" t="n">
        <v>293.5211836433389</v>
      </c>
      <c r="H802" s="27" t="n">
        <v>0.2033101455176349</v>
      </c>
      <c r="I802" s="26" t="n">
        <v>295.9261900881527</v>
      </c>
      <c r="J802" s="27" t="n">
        <v>0.2037747713319024</v>
      </c>
      <c r="K802" s="26" t="n">
        <v>285.6692416199151</v>
      </c>
      <c r="L802" s="27" t="n">
        <v>0.2178311655307278</v>
      </c>
      <c r="M802" s="26" t="n">
        <v>276.731514878037</v>
      </c>
      <c r="N802" s="27" t="n">
        <v>0.2499093890082869</v>
      </c>
      <c r="O802" s="26" t="n">
        <v>245.2241552954567</v>
      </c>
      <c r="P802" s="27" t="n">
        <v>0.2511011258434773</v>
      </c>
      <c r="Q802" s="26" t="n">
        <v>262.523173172559</v>
      </c>
      <c r="R802" s="27" t="n">
        <v>0.2937008265781845</v>
      </c>
      <c r="S802" s="26" t="n">
        <v>253.5974831290465</v>
      </c>
      <c r="T802" s="27" t="n">
        <v>0.3137841348386984</v>
      </c>
      <c r="U802" s="26" t="n">
        <v>264.6201287161156</v>
      </c>
      <c r="V802" s="27" t="n">
        <v>0.2817763370762874</v>
      </c>
      <c r="W802" s="26" t="n">
        <v>266.1605374997498</v>
      </c>
      <c r="X802" s="27" t="n">
        <v>0.2577563889830758</v>
      </c>
      <c r="Y802" s="26" t="n">
        <v>253.4313282877166</v>
      </c>
      <c r="Z802" s="27" t="n">
        <v>0.1852661113652938</v>
      </c>
      <c r="AA802" s="26" t="n">
        <v>257.3955080818916</v>
      </c>
      <c r="AB802" s="27" t="n">
        <v>0.3005437136490933</v>
      </c>
    </row>
    <row r="803">
      <c r="A803" s="26" t="n">
        <v>267.4478830506066</v>
      </c>
      <c r="B803" s="27" t="n">
        <v>0.2764526817498255</v>
      </c>
      <c r="C803" s="26" t="n">
        <v>262.338648863739</v>
      </c>
      <c r="D803" s="27" t="n">
        <v>0.279524931166089</v>
      </c>
      <c r="E803" s="26" t="n">
        <v>282.9598296079544</v>
      </c>
      <c r="F803" s="27" t="n">
        <v>0.2436776901322061</v>
      </c>
      <c r="G803" s="26" t="n">
        <v>293.6079060739445</v>
      </c>
      <c r="H803" s="27" t="n">
        <v>0.204117394653983</v>
      </c>
      <c r="I803" s="26" t="n">
        <v>296.0065745166526</v>
      </c>
      <c r="J803" s="27" t="n">
        <v>0.2045787870507052</v>
      </c>
      <c r="K803" s="26" t="n">
        <v>285.7454841142714</v>
      </c>
      <c r="L803" s="27" t="n">
        <v>0.2186569425974129</v>
      </c>
      <c r="M803" s="26" t="n">
        <v>276.8228205801228</v>
      </c>
      <c r="N803" s="27" t="n">
        <v>0.2506742870713202</v>
      </c>
      <c r="O803" s="26" t="n">
        <v>245.3485599895453</v>
      </c>
      <c r="P803" s="27" t="n">
        <v>0.2520062504374199</v>
      </c>
      <c r="Q803" s="26" t="n">
        <v>262.6172599481919</v>
      </c>
      <c r="R803" s="27" t="n">
        <v>0.294332145881998</v>
      </c>
      <c r="S803" s="26" t="n">
        <v>253.7039067370778</v>
      </c>
      <c r="T803" s="27" t="n">
        <v>0.3143483429461378</v>
      </c>
      <c r="U803" s="26" t="n">
        <v>264.7051740105679</v>
      </c>
      <c r="V803" s="27" t="n">
        <v>0.2824746866062969</v>
      </c>
      <c r="W803" s="26" t="n">
        <v>266.2387229918025</v>
      </c>
      <c r="X803" s="27" t="n">
        <v>0.2585695241810665</v>
      </c>
      <c r="Y803" s="26" t="n">
        <v>253.5367694543235</v>
      </c>
      <c r="Z803" s="27" t="n">
        <v>0.1860782059316981</v>
      </c>
      <c r="AA803" s="26" t="n">
        <v>257.4756957435983</v>
      </c>
      <c r="AB803" s="27" t="n">
        <v>0.3011949844350801</v>
      </c>
    </row>
    <row r="804">
      <c r="A804" s="26" t="n">
        <v>267.6136447138119</v>
      </c>
      <c r="B804" s="27" t="n">
        <v>0.2770770740382878</v>
      </c>
      <c r="C804" s="26" t="n">
        <v>262.4786983775538</v>
      </c>
      <c r="D804" s="27" t="n">
        <v>0.2801994573524295</v>
      </c>
      <c r="E804" s="26" t="n">
        <v>283.0728872623112</v>
      </c>
      <c r="F804" s="27" t="n">
        <v>0.2444142022942869</v>
      </c>
      <c r="G804" s="26" t="n">
        <v>293.6946285045501</v>
      </c>
      <c r="H804" s="27" t="n">
        <v>0.2049256899002534</v>
      </c>
      <c r="I804" s="26" t="n">
        <v>296.0869589451526</v>
      </c>
      <c r="J804" s="27" t="n">
        <v>0.205383729751232</v>
      </c>
      <c r="K804" s="26" t="n">
        <v>285.8217266086277</v>
      </c>
      <c r="L804" s="27" t="n">
        <v>0.2194832159981376</v>
      </c>
      <c r="M804" s="26" t="n">
        <v>276.9141262822087</v>
      </c>
      <c r="N804" s="27" t="n">
        <v>0.2514379426305207</v>
      </c>
      <c r="O804" s="26" t="n">
        <v>245.4729646836338</v>
      </c>
      <c r="P804" s="27" t="n">
        <v>0.252911734689097</v>
      </c>
      <c r="Q804" s="26" t="n">
        <v>262.7113467238249</v>
      </c>
      <c r="R804" s="27" t="n">
        <v>0.2949607640327033</v>
      </c>
      <c r="S804" s="26" t="n">
        <v>253.8103303451092</v>
      </c>
      <c r="T804" s="27" t="n">
        <v>0.3149094970142983</v>
      </c>
      <c r="U804" s="26" t="n">
        <v>264.7902193050202</v>
      </c>
      <c r="V804" s="27" t="n">
        <v>0.2831707213506338</v>
      </c>
      <c r="W804" s="26" t="n">
        <v>266.3169084838554</v>
      </c>
      <c r="X804" s="27" t="n">
        <v>0.2593815451729454</v>
      </c>
      <c r="Y804" s="26" t="n">
        <v>253.6422106209304</v>
      </c>
      <c r="Z804" s="27" t="n">
        <v>0.1868936345537453</v>
      </c>
      <c r="AA804" s="26" t="n">
        <v>257.5558834053048</v>
      </c>
      <c r="AB804" s="27" t="n">
        <v>0.3018435245722988</v>
      </c>
    </row>
    <row r="805">
      <c r="A805" s="26" t="n">
        <v>267.7794063770173</v>
      </c>
      <c r="B805" s="27" t="n">
        <v>0.2776989529166588</v>
      </c>
      <c r="C805" s="26" t="n">
        <v>262.6187478913686</v>
      </c>
      <c r="D805" s="27" t="n">
        <v>0.2808716007037591</v>
      </c>
      <c r="E805" s="26" t="n">
        <v>283.1859449166678</v>
      </c>
      <c r="F805" s="27" t="n">
        <v>0.2451494611792378</v>
      </c>
      <c r="G805" s="26" t="n">
        <v>293.7813509351556</v>
      </c>
      <c r="H805" s="27" t="n">
        <v>0.2057349975168676</v>
      </c>
      <c r="I805" s="26" t="n">
        <v>296.1673433736524</v>
      </c>
      <c r="J805" s="27" t="n">
        <v>0.2061895648166617</v>
      </c>
      <c r="K805" s="26" t="n">
        <v>285.8979691029841</v>
      </c>
      <c r="L805" s="27" t="n">
        <v>0.2203099468881064</v>
      </c>
      <c r="M805" s="26" t="n">
        <v>277.0054319842945</v>
      </c>
      <c r="N805" s="27" t="n">
        <v>0.2522003153654156</v>
      </c>
      <c r="O805" s="26" t="n">
        <v>245.5973693777224</v>
      </c>
      <c r="P805" s="27" t="n">
        <v>0.2538175344510299</v>
      </c>
      <c r="Q805" s="26" t="n">
        <v>262.8054334994578</v>
      </c>
      <c r="R805" s="27" t="n">
        <v>0.2955866555696982</v>
      </c>
      <c r="S805" s="26" t="n">
        <v>253.9167539531406</v>
      </c>
      <c r="T805" s="27" t="n">
        <v>0.3154675787460909</v>
      </c>
      <c r="U805" s="26" t="n">
        <v>264.8752645994725</v>
      </c>
      <c r="V805" s="27" t="n">
        <v>0.2838644090352317</v>
      </c>
      <c r="W805" s="26" t="n">
        <v>266.3950939759081</v>
      </c>
      <c r="X805" s="27" t="n">
        <v>0.26019240928294</v>
      </c>
      <c r="Y805" s="26" t="n">
        <v>253.7476517875373</v>
      </c>
      <c r="Z805" s="27" t="n">
        <v>0.1877124033722239</v>
      </c>
      <c r="AA805" s="26" t="n">
        <v>257.6360710670114</v>
      </c>
      <c r="AB805" s="27" t="n">
        <v>0.3024893083826017</v>
      </c>
    </row>
    <row r="806">
      <c r="A806" s="26" t="n">
        <v>267.9451680402226</v>
      </c>
      <c r="B806" s="27" t="n">
        <v>0.2783182871489018</v>
      </c>
      <c r="C806" s="26" t="n">
        <v>262.7587974051834</v>
      </c>
      <c r="D806" s="27" t="n">
        <v>0.281541327121185</v>
      </c>
      <c r="E806" s="26" t="n">
        <v>283.2990025710246</v>
      </c>
      <c r="F806" s="27" t="n">
        <v>0.2458834270984918</v>
      </c>
      <c r="G806" s="26" t="n">
        <v>293.8680733657612</v>
      </c>
      <c r="H806" s="27" t="n">
        <v>0.2065452832121101</v>
      </c>
      <c r="I806" s="26" t="n">
        <v>296.2477278021524</v>
      </c>
      <c r="J806" s="27" t="n">
        <v>0.2069962570961218</v>
      </c>
      <c r="K806" s="26" t="n">
        <v>285.9742115973405</v>
      </c>
      <c r="L806" s="27" t="n">
        <v>0.2211370959364649</v>
      </c>
      <c r="M806" s="26" t="n">
        <v>277.0967376863803</v>
      </c>
      <c r="N806" s="27" t="n">
        <v>0.2529613648078808</v>
      </c>
      <c r="O806" s="26" t="n">
        <v>245.7217740718109</v>
      </c>
      <c r="P806" s="27" t="n">
        <v>0.2547236050234721</v>
      </c>
      <c r="Q806" s="26" t="n">
        <v>262.8995202750908</v>
      </c>
      <c r="R806" s="27" t="n">
        <v>0.2962097952020326</v>
      </c>
      <c r="S806" s="26" t="n">
        <v>254.023177561172</v>
      </c>
      <c r="T806" s="27" t="n">
        <v>0.3160225700640982</v>
      </c>
      <c r="U806" s="26" t="n">
        <v>264.9603098939248</v>
      </c>
      <c r="V806" s="27" t="n">
        <v>0.2845557174767913</v>
      </c>
      <c r="W806" s="26" t="n">
        <v>266.473279467961</v>
      </c>
      <c r="X806" s="27" t="n">
        <v>0.2610020736463478</v>
      </c>
      <c r="Y806" s="26" t="n">
        <v>253.8530929541442</v>
      </c>
      <c r="Z806" s="27" t="n">
        <v>0.1885345182969992</v>
      </c>
      <c r="AA806" s="26" t="n">
        <v>257.716258728718</v>
      </c>
      <c r="AB806" s="27" t="n">
        <v>0.3031323103623823</v>
      </c>
    </row>
    <row r="807">
      <c r="A807" s="26" t="n">
        <v>268.1109297034279</v>
      </c>
      <c r="B807" s="27" t="n">
        <v>0.278935045597429</v>
      </c>
      <c r="C807" s="26" t="n">
        <v>262.8988469189982</v>
      </c>
      <c r="D807" s="27" t="n">
        <v>0.2822086025734989</v>
      </c>
      <c r="E807" s="26" t="n">
        <v>283.4120602253813</v>
      </c>
      <c r="F807" s="27" t="n">
        <v>0.2466160602126607</v>
      </c>
      <c r="G807" s="26" t="n">
        <v>293.9547957963667</v>
      </c>
      <c r="H807" s="27" t="n">
        <v>0.2073565121391442</v>
      </c>
      <c r="I807" s="26" t="n">
        <v>296.3281122306523</v>
      </c>
      <c r="J807" s="27" t="n">
        <v>0.2078037709024258</v>
      </c>
      <c r="K807" s="26" t="n">
        <v>286.0504540916968</v>
      </c>
      <c r="L807" s="27" t="n">
        <v>0.2219646233262453</v>
      </c>
      <c r="M807" s="26" t="n">
        <v>277.1880433884662</v>
      </c>
      <c r="N807" s="27" t="n">
        <v>0.2537210503473874</v>
      </c>
      <c r="O807" s="26" t="n">
        <v>245.8461787658995</v>
      </c>
      <c r="P807" s="27" t="n">
        <v>0.2556299011540821</v>
      </c>
      <c r="Q807" s="26" t="n">
        <v>262.9936070507237</v>
      </c>
      <c r="R807" s="27" t="n">
        <v>0.296830157812556</v>
      </c>
      <c r="S807" s="26" t="n">
        <v>254.1296011692033</v>
      </c>
      <c r="T807" s="27" t="n">
        <v>0.3165744531133837</v>
      </c>
      <c r="U807" s="26" t="n">
        <v>265.0453551883771</v>
      </c>
      <c r="V807" s="27" t="n">
        <v>0.2852446145880182</v>
      </c>
      <c r="W807" s="26" t="n">
        <v>266.5514649600137</v>
      </c>
      <c r="X807" s="27" t="n">
        <v>0.2618104952147812</v>
      </c>
      <c r="Y807" s="26" t="n">
        <v>253.9585341207511</v>
      </c>
      <c r="Z807" s="27" t="n">
        <v>0.1893599849985849</v>
      </c>
      <c r="AA807" s="26" t="n">
        <v>257.7964463904246</v>
      </c>
      <c r="AB807" s="27" t="n">
        <v>0.3037725051867207</v>
      </c>
    </row>
    <row r="808">
      <c r="A808" s="26" t="n">
        <v>268.2766913666331</v>
      </c>
      <c r="B808" s="27" t="n">
        <v>0.279549197228377</v>
      </c>
      <c r="C808" s="26" t="n">
        <v>263.0388964328129</v>
      </c>
      <c r="D808" s="27" t="n">
        <v>0.2828733931027878</v>
      </c>
      <c r="E808" s="26" t="n">
        <v>283.525117879738</v>
      </c>
      <c r="F808" s="27" t="n">
        <v>0.247347320536683</v>
      </c>
      <c r="G808" s="26" t="n">
        <v>294.0415182269724</v>
      </c>
      <c r="H808" s="27" t="n">
        <v>0.2081686488931343</v>
      </c>
      <c r="I808" s="26" t="n">
        <v>296.4084966591523</v>
      </c>
      <c r="J808" s="27" t="n">
        <v>0.208612070009927</v>
      </c>
      <c r="K808" s="26" t="n">
        <v>286.1266965860532</v>
      </c>
      <c r="L808" s="27" t="n">
        <v>0.2227924887544525</v>
      </c>
      <c r="M808" s="26" t="n">
        <v>277.279349090552</v>
      </c>
      <c r="N808" s="27" t="n">
        <v>0.2544793312363586</v>
      </c>
      <c r="O808" s="26" t="n">
        <v>245.970583459988</v>
      </c>
      <c r="P808" s="27" t="n">
        <v>0.2565363770377589</v>
      </c>
      <c r="Q808" s="26" t="n">
        <v>263.0876938263567</v>
      </c>
      <c r="R808" s="27" t="n">
        <v>0.29744771846206</v>
      </c>
      <c r="S808" s="26" t="n">
        <v>254.2360247772347</v>
      </c>
      <c r="T808" s="27" t="n">
        <v>0.3171232102642794</v>
      </c>
      <c r="U808" s="26" t="n">
        <v>265.1304004828294</v>
      </c>
      <c r="V808" s="27" t="n">
        <v>0.2859310683829002</v>
      </c>
      <c r="W808" s="26" t="n">
        <v>266.6296504520666</v>
      </c>
      <c r="X808" s="27" t="n">
        <v>0.2626176307615389</v>
      </c>
      <c r="Y808" s="26" t="n">
        <v>254.063975287358</v>
      </c>
      <c r="Z808" s="27" t="n">
        <v>0.1901888088994776</v>
      </c>
      <c r="AA808" s="26" t="n">
        <v>257.8766340521312</v>
      </c>
      <c r="AB808" s="27" t="n">
        <v>0.3044098677135219</v>
      </c>
    </row>
    <row r="809">
      <c r="A809" s="26" t="n">
        <v>268.4424530298385</v>
      </c>
      <c r="B809" s="27" t="n">
        <v>0.2801607111169021</v>
      </c>
      <c r="C809" s="26" t="n">
        <v>263.1789459466277</v>
      </c>
      <c r="D809" s="27" t="n">
        <v>0.2835356648300952</v>
      </c>
      <c r="E809" s="26" t="n">
        <v>283.6381755340948</v>
      </c>
      <c r="F809" s="27" t="n">
        <v>0.2480771679450778</v>
      </c>
      <c r="G809" s="26" t="n">
        <v>294.1282406575779</v>
      </c>
      <c r="H809" s="27" t="n">
        <v>0.20898165750848</v>
      </c>
      <c r="I809" s="26" t="n">
        <v>296.4888810876522</v>
      </c>
      <c r="J809" s="27" t="n">
        <v>0.2094211176524937</v>
      </c>
      <c r="K809" s="26" t="n">
        <v>286.2029390804095</v>
      </c>
      <c r="L809" s="27" t="n">
        <v>0.2236206514323007</v>
      </c>
      <c r="M809" s="26" t="n">
        <v>277.3706547926378</v>
      </c>
      <c r="N809" s="27" t="n">
        <v>0.2552361665956369</v>
      </c>
      <c r="O809" s="26" t="n">
        <v>246.0949881540765</v>
      </c>
      <c r="P809" s="27" t="n">
        <v>0.2574429863166439</v>
      </c>
      <c r="Q809" s="26" t="n">
        <v>263.1817806019897</v>
      </c>
      <c r="R809" s="27" t="n">
        <v>0.2980624523934203</v>
      </c>
      <c r="S809" s="26" t="n">
        <v>254.3424483852661</v>
      </c>
      <c r="T809" s="27" t="n">
        <v>0.3176688241151489</v>
      </c>
      <c r="U809" s="26" t="n">
        <v>265.2154457772817</v>
      </c>
      <c r="V809" s="27" t="n">
        <v>0.2866150469820061</v>
      </c>
      <c r="W809" s="26" t="n">
        <v>266.7078359441194</v>
      </c>
      <c r="X809" s="27" t="n">
        <v>0.263423436887097</v>
      </c>
      <c r="Y809" s="26" t="n">
        <v>254.1694164539649</v>
      </c>
      <c r="Z809" s="27" t="n">
        <v>0.1910209951652433</v>
      </c>
      <c r="AA809" s="26" t="n">
        <v>257.9568217138378</v>
      </c>
      <c r="AB809" s="27" t="n">
        <v>0.3050443729876526</v>
      </c>
    </row>
    <row r="810">
      <c r="A810" s="26" t="n">
        <v>268.6082146930438</v>
      </c>
      <c r="B810" s="27" t="n">
        <v>0.2807695564525122</v>
      </c>
      <c r="C810" s="26" t="n">
        <v>263.3189954604425</v>
      </c>
      <c r="D810" s="27" t="n">
        <v>0.284195383961129</v>
      </c>
      <c r="E810" s="26" t="n">
        <v>283.7512331884515</v>
      </c>
      <c r="F810" s="27" t="n">
        <v>0.2488055621773135</v>
      </c>
      <c r="G810" s="26" t="n">
        <v>294.2149630881835</v>
      </c>
      <c r="H810" s="27" t="n">
        <v>0.2097955014561653</v>
      </c>
      <c r="I810" s="26" t="n">
        <v>296.5692655161522</v>
      </c>
      <c r="J810" s="27" t="n">
        <v>0.2102308765216087</v>
      </c>
      <c r="K810" s="26" t="n">
        <v>286.2791815747659</v>
      </c>
      <c r="L810" s="27" t="n">
        <v>0.2244490700856012</v>
      </c>
      <c r="M810" s="26" t="n">
        <v>277.4619604947237</v>
      </c>
      <c r="N810" s="27" t="n">
        <v>0.2559915154200615</v>
      </c>
      <c r="O810" s="26" t="n">
        <v>246.2193928481651</v>
      </c>
      <c r="P810" s="27" t="n">
        <v>0.2583496820802872</v>
      </c>
      <c r="Q810" s="26" t="n">
        <v>263.2758673776226</v>
      </c>
      <c r="R810" s="27" t="n">
        <v>0.2986743350357316</v>
      </c>
      <c r="S810" s="26" t="n">
        <v>254.4488719932975</v>
      </c>
      <c r="T810" s="27" t="n">
        <v>0.3182112774951238</v>
      </c>
      <c r="U810" s="26" t="n">
        <v>265.300491071734</v>
      </c>
      <c r="V810" s="27" t="n">
        <v>0.2872965186178139</v>
      </c>
      <c r="W810" s="26" t="n">
        <v>266.7860214361722</v>
      </c>
      <c r="X810" s="27" t="n">
        <v>0.2642278700247314</v>
      </c>
      <c r="Y810" s="26" t="n">
        <v>254.2748576205719</v>
      </c>
      <c r="Z810" s="27" t="n">
        <v>0.1918565486953525</v>
      </c>
      <c r="AA810" s="26" t="n">
        <v>258.0370093755445</v>
      </c>
      <c r="AB810" s="27" t="n">
        <v>0.305675996245071</v>
      </c>
    </row>
    <row r="811">
      <c r="A811" s="26" t="n">
        <v>268.7739763562491</v>
      </c>
      <c r="B811" s="27" t="n">
        <v>0.2813757025444256</v>
      </c>
      <c r="C811" s="26" t="n">
        <v>263.4590449742573</v>
      </c>
      <c r="D811" s="27" t="n">
        <v>0.2848525167919997</v>
      </c>
      <c r="E811" s="26" t="n">
        <v>283.8642908428081</v>
      </c>
      <c r="F811" s="27" t="n">
        <v>0.2495324628432914</v>
      </c>
      <c r="G811" s="26" t="n">
        <v>294.301685518789</v>
      </c>
      <c r="H811" s="27" t="n">
        <v>0.2106101436412277</v>
      </c>
      <c r="I811" s="26" t="n">
        <v>296.6496499446521</v>
      </c>
      <c r="J811" s="27" t="n">
        <v>0.2110413087645985</v>
      </c>
      <c r="K811" s="26" t="n">
        <v>286.3554240691223</v>
      </c>
      <c r="L811" s="27" t="n">
        <v>0.225277702955304</v>
      </c>
      <c r="M811" s="26" t="n">
        <v>277.5532661968095</v>
      </c>
      <c r="N811" s="27" t="n">
        <v>0.2567453365841585</v>
      </c>
      <c r="O811" s="26" t="n">
        <v>246.3437975422536</v>
      </c>
      <c r="P811" s="27" t="n">
        <v>0.2592564168659935</v>
      </c>
      <c r="Q811" s="26" t="n">
        <v>263.3699541532555</v>
      </c>
      <c r="R811" s="27" t="n">
        <v>0.2992833420084379</v>
      </c>
      <c r="S811" s="26" t="n">
        <v>254.5552956013289</v>
      </c>
      <c r="T811" s="27" t="n">
        <v>0.3187505534668174</v>
      </c>
      <c r="U811" s="26" t="n">
        <v>265.3855363661863</v>
      </c>
      <c r="V811" s="27" t="n">
        <v>0.2879754516400671</v>
      </c>
      <c r="W811" s="26" t="n">
        <v>266.864206928225</v>
      </c>
      <c r="X811" s="27" t="n">
        <v>0.2650308864462607</v>
      </c>
      <c r="Y811" s="26" t="n">
        <v>254.3802987871788</v>
      </c>
      <c r="Z811" s="27" t="n">
        <v>0.1926954741137561</v>
      </c>
      <c r="AA811" s="26" t="n">
        <v>258.117197037251</v>
      </c>
      <c r="AB811" s="27" t="n">
        <v>0.306304712916949</v>
      </c>
    </row>
    <row r="812">
      <c r="A812" s="26" t="n">
        <v>268.9397380194545</v>
      </c>
      <c r="B812" s="27" t="n">
        <v>0.281979118826958</v>
      </c>
      <c r="C812" s="26" t="n">
        <v>263.5990944880721</v>
      </c>
      <c r="D812" s="27" t="n">
        <v>0.2855070297150123</v>
      </c>
      <c r="E812" s="26" t="n">
        <v>283.9773484971649</v>
      </c>
      <c r="F812" s="27" t="n">
        <v>0.2502578294289374</v>
      </c>
      <c r="G812" s="26" t="n">
        <v>294.3884079493946</v>
      </c>
      <c r="H812" s="27" t="n">
        <v>0.2114255464003504</v>
      </c>
      <c r="I812" s="26" t="n">
        <v>296.7300343731521</v>
      </c>
      <c r="J812" s="27" t="n">
        <v>0.2118523759829974</v>
      </c>
      <c r="K812" s="26" t="n">
        <v>286.4316665634785</v>
      </c>
      <c r="L812" s="27" t="n">
        <v>0.226106507798204</v>
      </c>
      <c r="M812" s="26" t="n">
        <v>277.6445718988953</v>
      </c>
      <c r="N812" s="27" t="n">
        <v>0.2574975888479406</v>
      </c>
      <c r="O812" s="26" t="n">
        <v>246.4682022363422</v>
      </c>
      <c r="P812" s="27" t="n">
        <v>0.2601631426593432</v>
      </c>
      <c r="Q812" s="26" t="n">
        <v>263.4640409288885</v>
      </c>
      <c r="R812" s="27" t="n">
        <v>0.2998894491254557</v>
      </c>
      <c r="S812" s="26" t="n">
        <v>254.6617192093602</v>
      </c>
      <c r="T812" s="27" t="n">
        <v>0.3192866353290085</v>
      </c>
      <c r="U812" s="26" t="n">
        <v>265.4705816606386</v>
      </c>
      <c r="V812" s="27" t="n">
        <v>0.2886518145211552</v>
      </c>
      <c r="W812" s="26" t="n">
        <v>266.9423924202778</v>
      </c>
      <c r="X812" s="27" t="n">
        <v>0.265832442267918</v>
      </c>
      <c r="Y812" s="26" t="n">
        <v>254.4857399537857</v>
      </c>
      <c r="Z812" s="27" t="n">
        <v>0.1935377757591963</v>
      </c>
      <c r="AA812" s="26" t="n">
        <v>258.1973846989576</v>
      </c>
      <c r="AB812" s="27" t="n">
        <v>0.3069304986337835</v>
      </c>
    </row>
    <row r="813">
      <c r="A813" s="26" t="n">
        <v>269.1054996826597</v>
      </c>
      <c r="B813" s="27" t="n">
        <v>0.2825797748649399</v>
      </c>
      <c r="C813" s="26" t="n">
        <v>263.7391440018868</v>
      </c>
      <c r="D813" s="27" t="n">
        <v>0.2861588892244912</v>
      </c>
      <c r="E813" s="26" t="n">
        <v>284.0904061515216</v>
      </c>
      <c r="F813" s="27" t="n">
        <v>0.2509816213019121</v>
      </c>
      <c r="G813" s="26" t="n">
        <v>294.4751303800002</v>
      </c>
      <c r="H813" s="27" t="n">
        <v>0.2122416714995874</v>
      </c>
      <c r="I813" s="26" t="n">
        <v>296.810418801652</v>
      </c>
      <c r="J813" s="27" t="n">
        <v>0.2126640392310486</v>
      </c>
      <c r="K813" s="26" t="n">
        <v>286.5079090578349</v>
      </c>
      <c r="L813" s="27" t="n">
        <v>0.2269354418878062</v>
      </c>
      <c r="M813" s="26" t="n">
        <v>277.7358776009812</v>
      </c>
      <c r="N813" s="27" t="n">
        <v>0.2582482308628176</v>
      </c>
      <c r="O813" s="26" t="n">
        <v>246.5926069304307</v>
      </c>
      <c r="P813" s="27" t="n">
        <v>0.2610698108948958</v>
      </c>
      <c r="Q813" s="26" t="n">
        <v>263.5581277045214</v>
      </c>
      <c r="R813" s="27" t="n">
        <v>0.3004926323992891</v>
      </c>
      <c r="S813" s="26" t="n">
        <v>254.7681428173916</v>
      </c>
      <c r="T813" s="27" t="n">
        <v>0.3198195066193003</v>
      </c>
      <c r="U813" s="26" t="n">
        <v>265.5556269550909</v>
      </c>
      <c r="V813" s="27" t="n">
        <v>0.2893255758615205</v>
      </c>
      <c r="W813" s="26" t="n">
        <v>267.0205779123306</v>
      </c>
      <c r="X813" s="27" t="n">
        <v>0.2666324934563465</v>
      </c>
      <c r="Y813" s="26" t="n">
        <v>254.5911811203926</v>
      </c>
      <c r="Z813" s="27" t="n">
        <v>0.1943834576752471</v>
      </c>
      <c r="AA813" s="26" t="n">
        <v>258.2775723606642</v>
      </c>
      <c r="AB813" s="27" t="n">
        <v>0.3075533292295004</v>
      </c>
    </row>
    <row r="814">
      <c r="A814" s="26" t="n">
        <v>269.271261345865</v>
      </c>
      <c r="B814" s="27" t="n">
        <v>0.2831776403591586</v>
      </c>
      <c r="C814" s="26" t="n">
        <v>263.8791935157016</v>
      </c>
      <c r="D814" s="27" t="n">
        <v>0.2868080619226467</v>
      </c>
      <c r="E814" s="26" t="n">
        <v>284.2034638058784</v>
      </c>
      <c r="F814" s="27" t="n">
        <v>0.2517037977174306</v>
      </c>
      <c r="G814" s="26" t="n">
        <v>294.5618528106057</v>
      </c>
      <c r="H814" s="27" t="n">
        <v>0.2130584801322193</v>
      </c>
      <c r="I814" s="26" t="n">
        <v>296.890803230152</v>
      </c>
      <c r="J814" s="27" t="n">
        <v>0.2134762590143494</v>
      </c>
      <c r="K814" s="26" t="n">
        <v>286.5841515521913</v>
      </c>
      <c r="L814" s="27" t="n">
        <v>0.2277644620153567</v>
      </c>
      <c r="M814" s="26" t="n">
        <v>277.827183303067</v>
      </c>
      <c r="N814" s="27" t="n">
        <v>0.258997221177619</v>
      </c>
      <c r="O814" s="26" t="n">
        <v>246.7170116245193</v>
      </c>
      <c r="P814" s="27" t="n">
        <v>0.2619763724570821</v>
      </c>
      <c r="Q814" s="26" t="n">
        <v>263.6522144801544</v>
      </c>
      <c r="R814" s="27" t="n">
        <v>0.301092868045135</v>
      </c>
      <c r="S814" s="26" t="n">
        <v>254.874566425423</v>
      </c>
      <c r="T814" s="27" t="n">
        <v>0.320349151116749</v>
      </c>
      <c r="U814" s="26" t="n">
        <v>265.6406722495432</v>
      </c>
      <c r="V814" s="27" t="n">
        <v>0.289996704395082</v>
      </c>
      <c r="W814" s="26" t="n">
        <v>267.0987634043834</v>
      </c>
      <c r="X814" s="27" t="n">
        <v>0.2674309958347233</v>
      </c>
      <c r="Y814" s="26" t="n">
        <v>254.6966222869995</v>
      </c>
      <c r="Z814" s="27" t="n">
        <v>0.1952325236000734</v>
      </c>
      <c r="AA814" s="26" t="n">
        <v>258.3577600223708</v>
      </c>
      <c r="AB814" s="27" t="n">
        <v>0.3081731807455494</v>
      </c>
    </row>
    <row r="815">
      <c r="A815" s="26" t="n">
        <v>269.4370230090703</v>
      </c>
      <c r="B815" s="27" t="n">
        <v>0.2837726851518194</v>
      </c>
      <c r="C815" s="26" t="n">
        <v>264.0192430295164</v>
      </c>
      <c r="D815" s="27" t="n">
        <v>0.287454514525478</v>
      </c>
      <c r="E815" s="26" t="n">
        <v>284.3165214602351</v>
      </c>
      <c r="F815" s="27" t="n">
        <v>0.2524243178241968</v>
      </c>
      <c r="G815" s="26" t="n">
        <v>294.6485752412113</v>
      </c>
      <c r="H815" s="27" t="n">
        <v>0.2138759329167495</v>
      </c>
      <c r="I815" s="26" t="n">
        <v>296.9711876586518</v>
      </c>
      <c r="J815" s="27" t="n">
        <v>0.2142889952886437</v>
      </c>
      <c r="K815" s="26" t="n">
        <v>286.6603940465476</v>
      </c>
      <c r="L815" s="27" t="n">
        <v>0.2285935244910505</v>
      </c>
      <c r="M815" s="26" t="n">
        <v>277.9184890051528</v>
      </c>
      <c r="N815" s="27" t="n">
        <v>0.2597445182447278</v>
      </c>
      <c r="O815" s="26" t="n">
        <v>246.8414163186078</v>
      </c>
      <c r="P815" s="27" t="n">
        <v>0.2628827776812894</v>
      </c>
      <c r="Q815" s="26" t="n">
        <v>263.7463012557873</v>
      </c>
      <c r="R815" s="27" t="n">
        <v>0.3016901324849801</v>
      </c>
      <c r="S815" s="26" t="n">
        <v>254.9809900334543</v>
      </c>
      <c r="T815" s="27" t="n">
        <v>0.3208755528444661</v>
      </c>
      <c r="U815" s="26" t="n">
        <v>265.7257175439955</v>
      </c>
      <c r="V815" s="27" t="n">
        <v>0.290665168994691</v>
      </c>
      <c r="W815" s="26" t="n">
        <v>267.1769488964362</v>
      </c>
      <c r="X815" s="27" t="n">
        <v>0.2682279050890088</v>
      </c>
      <c r="Y815" s="26" t="n">
        <v>254.8020634536064</v>
      </c>
      <c r="Z815" s="27" t="n">
        <v>0.1960849769559082</v>
      </c>
      <c r="AA815" s="26" t="n">
        <v>258.4379476840774</v>
      </c>
      <c r="AB815" s="27" t="n">
        <v>0.3087900294349853</v>
      </c>
    </row>
    <row r="816">
      <c r="A816" s="26" t="n">
        <v>269.6027846722757</v>
      </c>
      <c r="B816" s="27" t="n">
        <v>0.2843648792320425</v>
      </c>
      <c r="C816" s="26" t="n">
        <v>264.1592925433312</v>
      </c>
      <c r="D816" s="27" t="n">
        <v>0.2880982138687102</v>
      </c>
      <c r="E816" s="26" t="n">
        <v>284.4295791145918</v>
      </c>
      <c r="F816" s="27" t="n">
        <v>0.2531431406704527</v>
      </c>
      <c r="G816" s="26" t="n">
        <v>294.7352976718169</v>
      </c>
      <c r="H816" s="27" t="n">
        <v>0.2146939898950444</v>
      </c>
      <c r="I816" s="26" t="n">
        <v>297.0515720871518</v>
      </c>
      <c r="J816" s="27" t="n">
        <v>0.2151022074587671</v>
      </c>
      <c r="K816" s="26" t="n">
        <v>286.736636540904</v>
      </c>
      <c r="L816" s="27" t="n">
        <v>0.2294225851454096</v>
      </c>
      <c r="M816" s="26" t="n">
        <v>278.0097947072387</v>
      </c>
      <c r="N816" s="27" t="n">
        <v>0.2604900804263228</v>
      </c>
      <c r="O816" s="26" t="n">
        <v>246.9658210126964</v>
      </c>
      <c r="P816" s="27" t="n">
        <v>0.2637889763551398</v>
      </c>
      <c r="Q816" s="26" t="n">
        <v>263.8403880314203</v>
      </c>
      <c r="R816" s="27" t="n">
        <v>0.3022844023516832</v>
      </c>
      <c r="S816" s="26" t="n">
        <v>255.0874136414857</v>
      </c>
      <c r="T816" s="27" t="n">
        <v>0.3213986960721893</v>
      </c>
      <c r="U816" s="26" t="n">
        <v>265.8107628384479</v>
      </c>
      <c r="V816" s="27" t="n">
        <v>0.2913309386775959</v>
      </c>
      <c r="W816" s="26" t="n">
        <v>267.2551343884891</v>
      </c>
      <c r="X816" s="27" t="n">
        <v>0.2690231767743222</v>
      </c>
      <c r="Y816" s="26" t="n">
        <v>254.9075046202133</v>
      </c>
      <c r="Z816" s="27" t="n">
        <v>0.1969408208382352</v>
      </c>
      <c r="AA816" s="26" t="n">
        <v>258.518135345784</v>
      </c>
      <c r="AB816" s="27" t="n">
        <v>0.3094038517665324</v>
      </c>
    </row>
    <row r="817">
      <c r="A817" s="26" t="n">
        <v>269.768546335481</v>
      </c>
      <c r="B817" s="27" t="n">
        <v>0.2849541927413688</v>
      </c>
      <c r="C817" s="26" t="n">
        <v>264.2993420571459</v>
      </c>
      <c r="D817" s="27" t="n">
        <v>0.2887391269137768</v>
      </c>
      <c r="E817" s="26" t="n">
        <v>284.5426367689486</v>
      </c>
      <c r="F817" s="27" t="n">
        <v>0.2538602252101372</v>
      </c>
      <c r="G817" s="26" t="n">
        <v>294.8220201024225</v>
      </c>
      <c r="H817" s="27" t="n">
        <v>0.2155126105306212</v>
      </c>
      <c r="I817" s="26" t="n">
        <v>297.1319565156517</v>
      </c>
      <c r="J817" s="27" t="n">
        <v>0.2159158543777491</v>
      </c>
      <c r="K817" s="26" t="n">
        <v>286.8128790352603</v>
      </c>
      <c r="L817" s="27" t="n">
        <v>0.2302515993308419</v>
      </c>
      <c r="M817" s="26" t="n">
        <v>278.1011004093245</v>
      </c>
      <c r="N817" s="27" t="n">
        <v>0.2612338660007351</v>
      </c>
      <c r="O817" s="26" t="n">
        <v>247.0902257067849</v>
      </c>
      <c r="P817" s="27" t="n">
        <v>0.2646949177199734</v>
      </c>
      <c r="Q817" s="26" t="n">
        <v>263.9344748070532</v>
      </c>
      <c r="R817" s="27" t="n">
        <v>0.3028756544930501</v>
      </c>
      <c r="S817" s="26" t="n">
        <v>255.1938372495171</v>
      </c>
      <c r="T817" s="27" t="n">
        <v>0.3219185653188215</v>
      </c>
      <c r="U817" s="26" t="n">
        <v>265.8958081329001</v>
      </c>
      <c r="V817" s="27" t="n">
        <v>0.2919939826109355</v>
      </c>
      <c r="W817" s="26" t="n">
        <v>267.3333198805418</v>
      </c>
      <c r="X817" s="27" t="n">
        <v>0.2698167663214465</v>
      </c>
      <c r="Y817" s="26" t="n">
        <v>255.0129457868202</v>
      </c>
      <c r="Z817" s="27" t="n">
        <v>0.1978000580046727</v>
      </c>
      <c r="AA817" s="26" t="n">
        <v>258.5983230074906</v>
      </c>
      <c r="AB817" s="27" t="n">
        <v>0.3100146244286421</v>
      </c>
    </row>
    <row r="818">
      <c r="A818" s="26" t="n">
        <v>269.9343079986863</v>
      </c>
      <c r="B818" s="27" t="n">
        <v>0.2855405959792966</v>
      </c>
      <c r="C818" s="26" t="n">
        <v>264.4393915709607</v>
      </c>
      <c r="D818" s="27" t="n">
        <v>0.2893772207538209</v>
      </c>
      <c r="E818" s="26" t="n">
        <v>284.6556944233052</v>
      </c>
      <c r="F818" s="27" t="n">
        <v>0.2545755303091611</v>
      </c>
      <c r="G818" s="26" t="n">
        <v>294.9087425330281</v>
      </c>
      <c r="H818" s="27" t="n">
        <v>0.2163317537070936</v>
      </c>
      <c r="I818" s="26" t="n">
        <v>297.2123409441517</v>
      </c>
      <c r="J818" s="27" t="n">
        <v>0.2167298943460782</v>
      </c>
      <c r="K818" s="26" t="n">
        <v>286.8891215296167</v>
      </c>
      <c r="L818" s="27" t="n">
        <v>0.2310805219233796</v>
      </c>
      <c r="M818" s="26" t="n">
        <v>278.1924061114104</v>
      </c>
      <c r="N818" s="27" t="n">
        <v>0.2619758331689114</v>
      </c>
      <c r="O818" s="26" t="n">
        <v>247.2146304008734</v>
      </c>
      <c r="P818" s="27" t="n">
        <v>0.2656005504725372</v>
      </c>
      <c r="Q818" s="26" t="n">
        <v>264.0285615826862</v>
      </c>
      <c r="R818" s="27" t="n">
        <v>0.3034638659758893</v>
      </c>
      <c r="S818" s="26" t="n">
        <v>255.3002608575484</v>
      </c>
      <c r="T818" s="27" t="n">
        <v>0.3224351453549416</v>
      </c>
      <c r="U818" s="26" t="n">
        <v>265.9808534273525</v>
      </c>
      <c r="V818" s="27" t="n">
        <v>0.2926542701172444</v>
      </c>
      <c r="W818" s="26" t="n">
        <v>267.4115053725947</v>
      </c>
      <c r="X818" s="27" t="n">
        <v>0.2706086290434576</v>
      </c>
      <c r="Y818" s="26" t="n">
        <v>255.1183869534271</v>
      </c>
      <c r="Z818" s="27" t="n">
        <v>0.1986626908635516</v>
      </c>
      <c r="AA818" s="26" t="n">
        <v>258.6785106691972</v>
      </c>
      <c r="AB818" s="27" t="n">
        <v>0.3106223243335326</v>
      </c>
    </row>
    <row r="819">
      <c r="A819" s="26" t="n">
        <v>270.1000696618916</v>
      </c>
      <c r="B819" s="27" t="n">
        <v>0.2861240594088336</v>
      </c>
      <c r="C819" s="26" t="n">
        <v>264.5794410847755</v>
      </c>
      <c r="D819" s="27" t="n">
        <v>0.2900124626197408</v>
      </c>
      <c r="E819" s="26" t="n">
        <v>284.768752077662</v>
      </c>
      <c r="F819" s="27" t="n">
        <v>0.2552890147517956</v>
      </c>
      <c r="G819" s="26" t="n">
        <v>294.9954649636336</v>
      </c>
      <c r="H819" s="27" t="n">
        <v>0.2171513777267726</v>
      </c>
      <c r="I819" s="26" t="n">
        <v>297.2927253726516</v>
      </c>
      <c r="J819" s="27" t="n">
        <v>0.217544285111132</v>
      </c>
      <c r="K819" s="26" t="n">
        <v>286.9653640239731</v>
      </c>
      <c r="L819" s="27" t="n">
        <v>0.2319093073246115</v>
      </c>
      <c r="M819" s="26" t="n">
        <v>278.2837118134962</v>
      </c>
      <c r="N819" s="27" t="n">
        <v>0.262715940060989</v>
      </c>
      <c r="O819" s="26" t="n">
        <v>247.339035094962</v>
      </c>
      <c r="P819" s="27" t="n">
        <v>0.2665058227668807</v>
      </c>
      <c r="Q819" s="26" t="n">
        <v>264.1226483583191</v>
      </c>
      <c r="R819" s="27" t="n">
        <v>0.3040490140900566</v>
      </c>
      <c r="S819" s="26" t="n">
        <v>255.4066844655798</v>
      </c>
      <c r="T819" s="27" t="n">
        <v>0.3229484212052824</v>
      </c>
      <c r="U819" s="26" t="n">
        <v>266.0658987218047</v>
      </c>
      <c r="V819" s="27" t="n">
        <v>0.2933117706799774</v>
      </c>
      <c r="W819" s="26" t="n">
        <v>267.4896908646474</v>
      </c>
      <c r="X819" s="27" t="n">
        <v>0.2713987201424807</v>
      </c>
      <c r="Y819" s="26" t="n">
        <v>255.223828120034</v>
      </c>
      <c r="Z819" s="27" t="n">
        <v>0.1995287214621783</v>
      </c>
      <c r="AA819" s="26" t="n">
        <v>258.7586983309038</v>
      </c>
      <c r="AB819" s="27" t="n">
        <v>0.3112269286212093</v>
      </c>
    </row>
    <row r="820">
      <c r="A820" s="26" t="n">
        <v>270.2658313250969</v>
      </c>
      <c r="B820" s="27" t="n">
        <v>0.2867045536620677</v>
      </c>
      <c r="C820" s="26" t="n">
        <v>264.7194905985903</v>
      </c>
      <c r="D820" s="27" t="n">
        <v>0.2906448198862618</v>
      </c>
      <c r="E820" s="26" t="n">
        <v>284.8818097320187</v>
      </c>
      <c r="F820" s="27" t="n">
        <v>0.2560006372471704</v>
      </c>
      <c r="G820" s="26" t="n">
        <v>295.0821873942392</v>
      </c>
      <c r="H820" s="27" t="n">
        <v>0.2179714403094345</v>
      </c>
      <c r="I820" s="26" t="n">
        <v>297.3731098011515</v>
      </c>
      <c r="J820" s="27" t="n">
        <v>0.2183589838667839</v>
      </c>
      <c r="K820" s="26" t="n">
        <v>287.0416065183293</v>
      </c>
      <c r="L820" s="27" t="n">
        <v>0.2327379094637984</v>
      </c>
      <c r="M820" s="26" t="n">
        <v>278.375017515582</v>
      </c>
      <c r="N820" s="27" t="n">
        <v>0.2634541447429828</v>
      </c>
      <c r="O820" s="26" t="n">
        <v>247.4634397890505</v>
      </c>
      <c r="P820" s="27" t="n">
        <v>0.2674106822164727</v>
      </c>
      <c r="Q820" s="26" t="n">
        <v>264.2167351339521</v>
      </c>
      <c r="R820" s="27" t="n">
        <v>0.3046310763524818</v>
      </c>
      <c r="S820" s="26" t="n">
        <v>255.5131080736112</v>
      </c>
      <c r="T820" s="27" t="n">
        <v>0.323458378151173</v>
      </c>
      <c r="U820" s="26" t="n">
        <v>266.1509440162571</v>
      </c>
      <c r="V820" s="27" t="n">
        <v>0.2939664539490494</v>
      </c>
      <c r="W820" s="26" t="n">
        <v>267.5678763567003</v>
      </c>
      <c r="X820" s="27" t="n">
        <v>0.2721869947165752</v>
      </c>
      <c r="Y820" s="26" t="n">
        <v>255.3292692866409</v>
      </c>
      <c r="Z820" s="27" t="n">
        <v>0.2003981514747774</v>
      </c>
      <c r="AA820" s="26" t="n">
        <v>258.8388859926104</v>
      </c>
      <c r="AB820" s="27" t="n">
        <v>0.3118284146634699</v>
      </c>
    </row>
    <row r="821">
      <c r="A821" s="26" t="n">
        <v>270.4315929883022</v>
      </c>
      <c r="B821" s="27" t="n">
        <v>0.2872820495457556</v>
      </c>
      <c r="C821" s="26" t="n">
        <v>264.8595401124051</v>
      </c>
      <c r="D821" s="27" t="n">
        <v>0.2912742600780407</v>
      </c>
      <c r="E821" s="26" t="n">
        <v>284.9948673863754</v>
      </c>
      <c r="F821" s="27" t="n">
        <v>0.2567103564358895</v>
      </c>
      <c r="G821" s="26" t="n">
        <v>295.1689098248448</v>
      </c>
      <c r="H821" s="27" t="n">
        <v>0.2187918985912588</v>
      </c>
      <c r="I821" s="26" t="n">
        <v>297.4534942296515</v>
      </c>
      <c r="J821" s="27" t="n">
        <v>0.2191739472531779</v>
      </c>
      <c r="K821" s="26" t="n">
        <v>287.1178490126857</v>
      </c>
      <c r="L821" s="27" t="n">
        <v>0.2335662818001884</v>
      </c>
      <c r="M821" s="26" t="n">
        <v>278.4663232176679</v>
      </c>
      <c r="N821" s="27" t="n">
        <v>0.2641904052235776</v>
      </c>
      <c r="O821" s="26" t="n">
        <v>247.5878444831391</v>
      </c>
      <c r="P821" s="27" t="n">
        <v>0.268315075896536</v>
      </c>
      <c r="Q821" s="26" t="n">
        <v>264.310821909585</v>
      </c>
      <c r="R821" s="27" t="n">
        <v>0.3052100305111804</v>
      </c>
      <c r="S821" s="26" t="n">
        <v>255.6195316816426</v>
      </c>
      <c r="T821" s="27" t="n">
        <v>0.3239650017329505</v>
      </c>
      <c r="U821" s="26" t="n">
        <v>266.2359893107093</v>
      </c>
      <c r="V821" s="27" t="n">
        <v>0.2946182897463875</v>
      </c>
      <c r="W821" s="26" t="n">
        <v>267.646061848753</v>
      </c>
      <c r="X821" s="27" t="n">
        <v>0.2729734077667439</v>
      </c>
      <c r="Y821" s="26" t="n">
        <v>255.4347104532478</v>
      </c>
      <c r="Z821" s="27" t="n">
        <v>0.2012709821901041</v>
      </c>
      <c r="AA821" s="26" t="n">
        <v>258.919073654317</v>
      </c>
      <c r="AB821" s="27" t="n">
        <v>0.3124267600678915</v>
      </c>
    </row>
    <row r="822">
      <c r="A822" s="26" t="n">
        <v>270.5973546515075</v>
      </c>
      <c r="B822" s="27" t="n">
        <v>0.2878565180469256</v>
      </c>
      <c r="C822" s="26" t="n">
        <v>264.9995896262197</v>
      </c>
      <c r="D822" s="27" t="n">
        <v>0.2919007508757936</v>
      </c>
      <c r="E822" s="26" t="n">
        <v>285.1079250407322</v>
      </c>
      <c r="F822" s="27" t="n">
        <v>0.2574181308967529</v>
      </c>
      <c r="G822" s="26" t="n">
        <v>295.2556322554503</v>
      </c>
      <c r="H822" s="27" t="n">
        <v>0.219612709123938</v>
      </c>
      <c r="I822" s="26" t="n">
        <v>297.5338786581514</v>
      </c>
      <c r="J822" s="27" t="n">
        <v>0.2199891313566986</v>
      </c>
      <c r="K822" s="26" t="n">
        <v>287.1940915070421</v>
      </c>
      <c r="L822" s="27" t="n">
        <v>0.2343943773255263</v>
      </c>
      <c r="M822" s="26" t="n">
        <v>278.5576289197537</v>
      </c>
      <c r="N822" s="27" t="n">
        <v>0.264924679461032</v>
      </c>
      <c r="O822" s="26" t="n">
        <v>247.7122491772276</v>
      </c>
      <c r="P822" s="27" t="n">
        <v>0.2692189503466044</v>
      </c>
      <c r="Q822" s="26" t="n">
        <v>264.4049086852179</v>
      </c>
      <c r="R822" s="27" t="n">
        <v>0.3057858545492452</v>
      </c>
      <c r="S822" s="26" t="n">
        <v>255.7259552896739</v>
      </c>
      <c r="T822" s="27" t="n">
        <v>0.3244682777523375</v>
      </c>
      <c r="U822" s="26" t="n">
        <v>266.3210346051617</v>
      </c>
      <c r="V822" s="27" t="n">
        <v>0.2952672480714966</v>
      </c>
      <c r="W822" s="26" t="n">
        <v>267.7242473408058</v>
      </c>
      <c r="X822" s="27" t="n">
        <v>0.2737579142040698</v>
      </c>
      <c r="Y822" s="26" t="n">
        <v>255.5401516198548</v>
      </c>
      <c r="Z822" s="27" t="n">
        <v>0.2021472144987216</v>
      </c>
      <c r="AA822" s="26" t="n">
        <v>258.9992613160236</v>
      </c>
      <c r="AB822" s="27" t="n">
        <v>0.3130219426817982</v>
      </c>
    </row>
    <row r="823">
      <c r="A823" s="26" t="n">
        <v>270.7631163147129</v>
      </c>
      <c r="B823" s="27" t="n">
        <v>0.2884279303384954</v>
      </c>
      <c r="C823" s="26" t="n">
        <v>265.1396391400345</v>
      </c>
      <c r="D823" s="27" t="n">
        <v>0.2925242601224572</v>
      </c>
      <c r="E823" s="26" t="n">
        <v>285.2209826950889</v>
      </c>
      <c r="F823" s="27" t="n">
        <v>0.2581239191535965</v>
      </c>
      <c r="G823" s="26" t="n">
        <v>295.3423546860559</v>
      </c>
      <c r="H823" s="27" t="n">
        <v>0.2204338278739789</v>
      </c>
      <c r="I823" s="26" t="n">
        <v>297.6142630866514</v>
      </c>
      <c r="J823" s="27" t="n">
        <v>0.2208044917101138</v>
      </c>
      <c r="K823" s="26" t="n">
        <v>287.2703340013984</v>
      </c>
      <c r="L823" s="27" t="n">
        <v>0.2352221485667714</v>
      </c>
      <c r="M823" s="26" t="n">
        <v>278.6489346218395</v>
      </c>
      <c r="N823" s="27" t="n">
        <v>0.26565692537019</v>
      </c>
      <c r="O823" s="26" t="n">
        <v>247.8366538713162</v>
      </c>
      <c r="P823" s="27" t="n">
        <v>0.2701222515733155</v>
      </c>
      <c r="Q823" s="26" t="n">
        <v>264.4989954608509</v>
      </c>
      <c r="R823" s="27" t="n">
        <v>0.3063585266888171</v>
      </c>
      <c r="S823" s="26" t="n">
        <v>255.8323788977053</v>
      </c>
      <c r="T823" s="27" t="n">
        <v>0.3249681922747813</v>
      </c>
      <c r="U823" s="26" t="n">
        <v>266.4060798996139</v>
      </c>
      <c r="V823" s="27" t="n">
        <v>0.2959132991070348</v>
      </c>
      <c r="W823" s="26" t="n">
        <v>267.8024328328586</v>
      </c>
      <c r="X823" s="27" t="n">
        <v>0.2745404688569799</v>
      </c>
      <c r="Y823" s="26" t="n">
        <v>255.6455927864617</v>
      </c>
      <c r="Z823" s="27" t="n">
        <v>0.2030268488799324</v>
      </c>
      <c r="AA823" s="26" t="n">
        <v>259.0794489777302</v>
      </c>
      <c r="AB823" s="27" t="n">
        <v>0.3136139405962025</v>
      </c>
    </row>
    <row r="824">
      <c r="A824" s="26" t="n">
        <v>270.9288779779181</v>
      </c>
      <c r="B824" s="27" t="n">
        <v>0.2889962577849031</v>
      </c>
      <c r="C824" s="26" t="n">
        <v>265.2796886538493</v>
      </c>
      <c r="D824" s="27" t="n">
        <v>0.2931447558293697</v>
      </c>
      <c r="E824" s="26" t="n">
        <v>285.3340403494457</v>
      </c>
      <c r="F824" s="27" t="n">
        <v>0.2588276796822395</v>
      </c>
      <c r="G824" s="26" t="n">
        <v>295.4290771166615</v>
      </c>
      <c r="H824" s="27" t="n">
        <v>0.2212552102221742</v>
      </c>
      <c r="I824" s="26" t="n">
        <v>297.6946475151513</v>
      </c>
      <c r="J824" s="27" t="n">
        <v>0.2216199832929246</v>
      </c>
      <c r="K824" s="26" t="n">
        <v>287.3465764957548</v>
      </c>
      <c r="L824" s="27" t="n">
        <v>0.2360495475890183</v>
      </c>
      <c r="M824" s="26" t="n">
        <v>278.7402403239254</v>
      </c>
      <c r="N824" s="27" t="n">
        <v>0.2663871008296009</v>
      </c>
      <c r="O824" s="26" t="n">
        <v>247.9610585654048</v>
      </c>
      <c r="P824" s="27" t="n">
        <v>0.2710249250534336</v>
      </c>
      <c r="Q824" s="26" t="n">
        <v>264.593082236484</v>
      </c>
      <c r="R824" s="27" t="n">
        <v>0.3069280253950394</v>
      </c>
      <c r="S824" s="26" t="n">
        <v>255.9388025057367</v>
      </c>
      <c r="T824" s="27" t="n">
        <v>0.3254647316317615</v>
      </c>
      <c r="U824" s="26" t="n">
        <v>266.4911251940663</v>
      </c>
      <c r="V824" s="27" t="n">
        <v>0.2965564132244018</v>
      </c>
      <c r="W824" s="26" t="n">
        <v>267.8806183249114</v>
      </c>
      <c r="X824" s="27" t="n">
        <v>0.2753210264786333</v>
      </c>
      <c r="Y824" s="26" t="n">
        <v>255.7510339530686</v>
      </c>
      <c r="Z824" s="27" t="n">
        <v>0.2039098853883586</v>
      </c>
      <c r="AA824" s="26" t="n">
        <v>259.1596366394368</v>
      </c>
      <c r="AB824" s="27" t="n">
        <v>0.3142027321497336</v>
      </c>
    </row>
    <row r="825">
      <c r="A825" s="26" t="n">
        <v>271.0946396411234</v>
      </c>
      <c r="B825" s="27" t="n">
        <v>0.2895614719477487</v>
      </c>
      <c r="C825" s="26" t="n">
        <v>265.4197381676641</v>
      </c>
      <c r="D825" s="27" t="n">
        <v>0.2937622061824798</v>
      </c>
      <c r="E825" s="26" t="n">
        <v>285.4470980038024</v>
      </c>
      <c r="F825" s="27" t="n">
        <v>0.259529370917544</v>
      </c>
      <c r="G825" s="26" t="n">
        <v>295.5157995472671</v>
      </c>
      <c r="H825" s="27" t="n">
        <v>0.2220768109632827</v>
      </c>
      <c r="I825" s="26" t="n">
        <v>297.7750319436512</v>
      </c>
      <c r="J825" s="27" t="n">
        <v>0.2224355605318984</v>
      </c>
      <c r="K825" s="26" t="n">
        <v>287.4228189901112</v>
      </c>
      <c r="L825" s="27" t="n">
        <v>0.2368765259986261</v>
      </c>
      <c r="M825" s="26" t="n">
        <v>278.8315460260112</v>
      </c>
      <c r="N825" s="27" t="n">
        <v>0.2671151636887455</v>
      </c>
      <c r="O825" s="26" t="n">
        <v>248.0854632594933</v>
      </c>
      <c r="P825" s="27" t="n">
        <v>0.271926915737112</v>
      </c>
      <c r="Q825" s="26" t="n">
        <v>264.6871690121169</v>
      </c>
      <c r="R825" s="27" t="n">
        <v>0.3074943293799872</v>
      </c>
      <c r="S825" s="26" t="n">
        <v>256.0452261137681</v>
      </c>
      <c r="T825" s="27" t="n">
        <v>0.3259578824230563</v>
      </c>
      <c r="U825" s="26" t="n">
        <v>266.5761704885186</v>
      </c>
      <c r="V825" s="27" t="n">
        <v>0.2971965609893273</v>
      </c>
      <c r="W825" s="26" t="n">
        <v>267.9588038169643</v>
      </c>
      <c r="X825" s="27" t="n">
        <v>0.2760995417544345</v>
      </c>
      <c r="Y825" s="26" t="n">
        <v>255.8564751196755</v>
      </c>
      <c r="Z825" s="27" t="n">
        <v>0.2047963236401602</v>
      </c>
      <c r="AA825" s="26" t="n">
        <v>259.2398243011434</v>
      </c>
      <c r="AB825" s="27" t="n">
        <v>0.314788295932533</v>
      </c>
    </row>
    <row r="826">
      <c r="A826" s="26" t="n">
        <v>271.2604013043288</v>
      </c>
      <c r="B826" s="27" t="n">
        <v>0.2901235445914419</v>
      </c>
      <c r="C826" s="26" t="n">
        <v>265.5597876814789</v>
      </c>
      <c r="D826" s="27" t="n">
        <v>0.2943765795485767</v>
      </c>
      <c r="E826" s="26" t="n">
        <v>285.560155658159</v>
      </c>
      <c r="F826" s="27" t="n">
        <v>0.2602289512605869</v>
      </c>
      <c r="G826" s="26" t="n">
        <v>295.6025219778726</v>
      </c>
      <c r="H826" s="27" t="n">
        <v>0.222898584305897</v>
      </c>
      <c r="I826" s="26" t="n">
        <v>297.8554163721512</v>
      </c>
      <c r="J826" s="27" t="n">
        <v>0.2232511773018195</v>
      </c>
      <c r="K826" s="26" t="n">
        <v>287.4990614844675</v>
      </c>
      <c r="L826" s="27" t="n">
        <v>0.2377030349465695</v>
      </c>
      <c r="M826" s="26" t="n">
        <v>278.922851728097</v>
      </c>
      <c r="N826" s="27" t="n">
        <v>0.2678410717753698</v>
      </c>
      <c r="O826" s="26" t="n">
        <v>248.2098679535818</v>
      </c>
      <c r="P826" s="27" t="n">
        <v>0.2728281680514054</v>
      </c>
      <c r="Q826" s="26" t="n">
        <v>264.7812557877498</v>
      </c>
      <c r="R826" s="27" t="n">
        <v>0.3080574176065717</v>
      </c>
      <c r="S826" s="26" t="n">
        <v>256.1516497217995</v>
      </c>
      <c r="T826" s="27" t="n">
        <v>0.3264476315189758</v>
      </c>
      <c r="U826" s="26" t="n">
        <v>266.6612157829709</v>
      </c>
      <c r="V826" s="27" t="n">
        <v>0.2978337131674762</v>
      </c>
      <c r="W826" s="26" t="n">
        <v>268.036989309017</v>
      </c>
      <c r="X826" s="27" t="n">
        <v>0.2768759693096745</v>
      </c>
      <c r="Y826" s="26" t="n">
        <v>255.9619162862824</v>
      </c>
      <c r="Z826" s="27" t="n">
        <v>0.2056861627988869</v>
      </c>
      <c r="AA826" s="26" t="n">
        <v>259.32001196285</v>
      </c>
      <c r="AB826" s="27" t="n">
        <v>0.3153706107901323</v>
      </c>
    </row>
    <row r="827">
      <c r="A827" s="26" t="n">
        <v>271.4261629675341</v>
      </c>
      <c r="B827" s="27" t="n">
        <v>0.2906824476888651</v>
      </c>
      <c r="C827" s="26" t="n">
        <v>265.6998371952936</v>
      </c>
      <c r="D827" s="27" t="n">
        <v>0.2949878444815375</v>
      </c>
      <c r="E827" s="26" t="n">
        <v>285.6732133125158</v>
      </c>
      <c r="F827" s="27" t="n">
        <v>0.2609263790859372</v>
      </c>
      <c r="G827" s="26" t="n">
        <v>295.6892444084782</v>
      </c>
      <c r="H827" s="27" t="n">
        <v>0.2237204838725186</v>
      </c>
      <c r="I827" s="26" t="n">
        <v>297.9358008006511</v>
      </c>
      <c r="J827" s="27" t="n">
        <v>0.2240667869264338</v>
      </c>
      <c r="K827" s="26" t="n">
        <v>287.5753039788239</v>
      </c>
      <c r="L827" s="27" t="n">
        <v>0.2385290251320016</v>
      </c>
      <c r="M827" s="26" t="n">
        <v>279.0141574301829</v>
      </c>
      <c r="N827" s="27" t="n">
        <v>0.2685647829029242</v>
      </c>
      <c r="O827" s="26" t="n">
        <v>248.3342726476704</v>
      </c>
      <c r="P827" s="27" t="n">
        <v>0.2737286259040236</v>
      </c>
      <c r="Q827" s="26" t="n">
        <v>264.8753425633827</v>
      </c>
      <c r="R827" s="27" t="n">
        <v>0.3086172692924263</v>
      </c>
      <c r="S827" s="26" t="n">
        <v>256.2580733298308</v>
      </c>
      <c r="T827" s="27" t="n">
        <v>0.3269339660625529</v>
      </c>
      <c r="U827" s="26" t="n">
        <v>266.7462610774232</v>
      </c>
      <c r="V827" s="27" t="n">
        <v>0.2984678407300512</v>
      </c>
      <c r="W827" s="26" t="n">
        <v>268.1151748010699</v>
      </c>
      <c r="X827" s="27" t="n">
        <v>0.2776502637172935</v>
      </c>
      <c r="Y827" s="26" t="n">
        <v>256.0673574528893</v>
      </c>
      <c r="Z827" s="27" t="n">
        <v>0.2065794015609514</v>
      </c>
      <c r="AA827" s="26" t="n">
        <v>259.4001996245565</v>
      </c>
      <c r="AB827" s="27" t="n">
        <v>0.315949655827299</v>
      </c>
    </row>
    <row r="828">
      <c r="A828" s="26" t="n">
        <v>271.5919246307394</v>
      </c>
      <c r="B828" s="27" t="n">
        <v>0.2912381534270383</v>
      </c>
      <c r="C828" s="26" t="n">
        <v>265.8398867091084</v>
      </c>
      <c r="D828" s="27" t="n">
        <v>0.2955959697286005</v>
      </c>
      <c r="E828" s="26" t="n">
        <v>285.7862709668725</v>
      </c>
      <c r="F828" s="27" t="n">
        <v>0.2616216127490474</v>
      </c>
      <c r="G828" s="26" t="n">
        <v>295.7759668390838</v>
      </c>
      <c r="H828" s="27" t="n">
        <v>0.2245424626998447</v>
      </c>
      <c r="I828" s="26" t="n">
        <v>298.0161852291511</v>
      </c>
      <c r="J828" s="27" t="n">
        <v>0.2248823421796223</v>
      </c>
      <c r="K828" s="26" t="n">
        <v>287.6515464731802</v>
      </c>
      <c r="L828" s="27" t="n">
        <v>0.2393544468060437</v>
      </c>
      <c r="M828" s="26" t="n">
        <v>279.1054631322687</v>
      </c>
      <c r="N828" s="27" t="n">
        <v>0.2692862548781071</v>
      </c>
      <c r="O828" s="26" t="n">
        <v>248.4586773417589</v>
      </c>
      <c r="P828" s="27" t="n">
        <v>0.2746282326873462</v>
      </c>
      <c r="Q828" s="26" t="n">
        <v>264.9694293390156</v>
      </c>
      <c r="R828" s="27" t="n">
        <v>0.3091738639137609</v>
      </c>
      <c r="S828" s="26" t="n">
        <v>256.3644969378622</v>
      </c>
      <c r="T828" s="27" t="n">
        <v>0.3274168734716996</v>
      </c>
      <c r="U828" s="26" t="n">
        <v>266.8313063718755</v>
      </c>
      <c r="V828" s="27" t="n">
        <v>0.2990989148593999</v>
      </c>
      <c r="W828" s="26" t="n">
        <v>268.1933602931226</v>
      </c>
      <c r="X828" s="27" t="n">
        <v>0.2784223795057682</v>
      </c>
      <c r="Y828" s="26" t="n">
        <v>256.1727986194962</v>
      </c>
      <c r="Z828" s="27" t="n">
        <v>0.2074760381407174</v>
      </c>
      <c r="AA828" s="26" t="n">
        <v>259.4803872862632</v>
      </c>
      <c r="AB828" s="27" t="n">
        <v>0.3165254104118624</v>
      </c>
    </row>
    <row r="829">
      <c r="A829" s="26" t="n">
        <v>271.7576862939446</v>
      </c>
      <c r="B829" s="27" t="n">
        <v>0.2917906342127844</v>
      </c>
      <c r="C829" s="26" t="n">
        <v>265.9799362229232</v>
      </c>
      <c r="D829" s="27" t="n">
        <v>0.2962009242366501</v>
      </c>
      <c r="E829" s="26" t="n">
        <v>285.8993286212292</v>
      </c>
      <c r="F829" s="27" t="n">
        <v>0.2623146105937513</v>
      </c>
      <c r="G829" s="26" t="n">
        <v>295.8626892696893</v>
      </c>
      <c r="H829" s="27" t="n">
        <v>0.2253644732392651</v>
      </c>
      <c r="I829" s="26" t="n">
        <v>298.096569657651</v>
      </c>
      <c r="J829" s="27" t="n">
        <v>0.2256977952867782</v>
      </c>
      <c r="K829" s="26" t="n">
        <v>287.7277889675365</v>
      </c>
      <c r="L829" s="27" t="n">
        <v>0.2401792497757971</v>
      </c>
      <c r="M829" s="26" t="n">
        <v>279.1967688343545</v>
      </c>
      <c r="N829" s="27" t="n">
        <v>0.270005445508514</v>
      </c>
      <c r="O829" s="26" t="n">
        <v>248.5830820358475</v>
      </c>
      <c r="P829" s="27" t="n">
        <v>0.2755269312826927</v>
      </c>
      <c r="Q829" s="26" t="n">
        <v>265.0635161146486</v>
      </c>
      <c r="R829" s="27" t="n">
        <v>0.3097271812091929</v>
      </c>
      <c r="S829" s="26" t="n">
        <v>256.4709205458935</v>
      </c>
      <c r="T829" s="27" t="n">
        <v>0.32789634144132</v>
      </c>
      <c r="U829" s="26" t="n">
        <v>266.9163516663278</v>
      </c>
      <c r="V829" s="27" t="n">
        <v>0.2997269069546262</v>
      </c>
      <c r="W829" s="26" t="n">
        <v>268.2715457851755</v>
      </c>
      <c r="X829" s="27" t="n">
        <v>0.2791922711671229</v>
      </c>
      <c r="Y829" s="26" t="n">
        <v>256.2782397861031</v>
      </c>
      <c r="Z829" s="27" t="n">
        <v>0.2083760702551965</v>
      </c>
      <c r="AA829" s="26" t="n">
        <v>259.5605749479698</v>
      </c>
      <c r="AB829" s="27" t="n">
        <v>0.3170978541785044</v>
      </c>
    </row>
    <row r="830">
      <c r="A830" s="26" t="n">
        <v>271.92344795715</v>
      </c>
      <c r="B830" s="27" t="n">
        <v>0.2923398626784087</v>
      </c>
      <c r="C830" s="26" t="n">
        <v>266.119985736738</v>
      </c>
      <c r="D830" s="27" t="n">
        <v>0.2968026771585185</v>
      </c>
      <c r="E830" s="26" t="n">
        <v>286.012386275586</v>
      </c>
      <c r="F830" s="27" t="n">
        <v>0.263005330959867</v>
      </c>
      <c r="G830" s="26" t="n">
        <v>295.9494117002949</v>
      </c>
      <c r="H830" s="27" t="n">
        <v>0.226186467357588</v>
      </c>
      <c r="I830" s="26" t="n">
        <v>298.1769540861509</v>
      </c>
      <c r="J830" s="27" t="n">
        <v>0.2265130979264255</v>
      </c>
      <c r="K830" s="26" t="n">
        <v>287.8040314618929</v>
      </c>
      <c r="L830" s="27" t="n">
        <v>0.2410033834085924</v>
      </c>
      <c r="M830" s="26" t="n">
        <v>279.2880745364404</v>
      </c>
      <c r="N830" s="27" t="n">
        <v>0.2707223126103862</v>
      </c>
      <c r="O830" s="26" t="n">
        <v>248.707486729936</v>
      </c>
      <c r="P830" s="27" t="n">
        <v>0.2764246640648569</v>
      </c>
      <c r="Q830" s="26" t="n">
        <v>265.1576028902816</v>
      </c>
      <c r="R830" s="27" t="n">
        <v>0.3102772011835488</v>
      </c>
      <c r="S830" s="26" t="n">
        <v>256.5773441539249</v>
      </c>
      <c r="T830" s="27" t="n">
        <v>0.3283723579453839</v>
      </c>
      <c r="U830" s="26" t="n">
        <v>267.0013969607801</v>
      </c>
      <c r="V830" s="27" t="n">
        <v>0.300351788637201</v>
      </c>
      <c r="W830" s="26" t="n">
        <v>268.3497312772282</v>
      </c>
      <c r="X830" s="27" t="n">
        <v>0.2799598931650626</v>
      </c>
      <c r="Y830" s="26" t="n">
        <v>256.3836809527101</v>
      </c>
      <c r="Z830" s="27" t="n">
        <v>0.2092794951083392</v>
      </c>
      <c r="AA830" s="26" t="n">
        <v>259.6407626096764</v>
      </c>
      <c r="AB830" s="27" t="n">
        <v>0.3176669670325239</v>
      </c>
    </row>
    <row r="831">
      <c r="A831" s="26" t="n">
        <v>272.0892096203553</v>
      </c>
      <c r="B831" s="27" t="n">
        <v>0.2928858116873698</v>
      </c>
      <c r="C831" s="26" t="n">
        <v>266.2600352505528</v>
      </c>
      <c r="D831" s="27" t="n">
        <v>0.2974011978593041</v>
      </c>
      <c r="E831" s="26" t="n">
        <v>286.1254439299427</v>
      </c>
      <c r="F831" s="27" t="n">
        <v>0.2636937321909124</v>
      </c>
      <c r="G831" s="26" t="n">
        <v>296.0361341309005</v>
      </c>
      <c r="H831" s="27" t="n">
        <v>0.2270083963379878</v>
      </c>
      <c r="I831" s="26" t="n">
        <v>298.2573385146509</v>
      </c>
      <c r="J831" s="27" t="n">
        <v>0.2273282012320499</v>
      </c>
      <c r="K831" s="26" t="n">
        <v>287.8802739562492</v>
      </c>
      <c r="L831" s="27" t="n">
        <v>0.241826796636467</v>
      </c>
      <c r="M831" s="26" t="n">
        <v>279.3793802385262</v>
      </c>
      <c r="N831" s="27" t="n">
        <v>0.2714368140164676</v>
      </c>
      <c r="O831" s="26" t="n">
        <v>248.8318914240245</v>
      </c>
      <c r="P831" s="27" t="n">
        <v>0.2773213729069108</v>
      </c>
      <c r="Q831" s="26" t="n">
        <v>265.2516896659145</v>
      </c>
      <c r="R831" s="27" t="n">
        <v>0.3108239041116372</v>
      </c>
      <c r="S831" s="26" t="n">
        <v>256.6837677619563</v>
      </c>
      <c r="T831" s="27" t="n">
        <v>0.3288449112389609</v>
      </c>
      <c r="U831" s="26" t="n">
        <v>267.0864422552324</v>
      </c>
      <c r="V831" s="27" t="n">
        <v>0.3009735317565679</v>
      </c>
      <c r="W831" s="26" t="n">
        <v>268.4279167692811</v>
      </c>
      <c r="X831" s="27" t="n">
        <v>0.2807251999432283</v>
      </c>
      <c r="Y831" s="26" t="n">
        <v>256.489122119317</v>
      </c>
      <c r="Z831" s="27" t="n">
        <v>0.2101863093749191</v>
      </c>
      <c r="AA831" s="26" t="n">
        <v>259.720950271383</v>
      </c>
      <c r="AB831" s="27" t="n">
        <v>0.3182327291535723</v>
      </c>
    </row>
    <row r="832">
      <c r="A832" s="26" t="n">
        <v>272.2549712835606</v>
      </c>
      <c r="B832" s="27" t="n">
        <v>0.2934284543399563</v>
      </c>
      <c r="C832" s="26" t="n">
        <v>266.4000847643675</v>
      </c>
      <c r="D832" s="27" t="n">
        <v>0.2979964559226992</v>
      </c>
      <c r="E832" s="26" t="n">
        <v>286.2385015842995</v>
      </c>
      <c r="F832" s="27" t="n">
        <v>0.2643797726419206</v>
      </c>
      <c r="G832" s="26" t="n">
        <v>296.1228565615061</v>
      </c>
      <c r="H832" s="27" t="n">
        <v>0.2278302108811896</v>
      </c>
      <c r="I832" s="26" t="n">
        <v>298.3377229431508</v>
      </c>
      <c r="J832" s="27" t="n">
        <v>0.2281430557941847</v>
      </c>
      <c r="K832" s="26" t="n">
        <v>287.9565164506056</v>
      </c>
      <c r="L832" s="27" t="n">
        <v>0.2426494379608846</v>
      </c>
      <c r="M832" s="26" t="n">
        <v>279.4706859406121</v>
      </c>
      <c r="N832" s="27" t="n">
        <v>0.2721489075839567</v>
      </c>
      <c r="O832" s="26" t="n">
        <v>248.9562961181131</v>
      </c>
      <c r="P832" s="27" t="n">
        <v>0.2782169991852824</v>
      </c>
      <c r="Q832" s="26" t="n">
        <v>265.3457764415475</v>
      </c>
      <c r="R832" s="27" t="n">
        <v>0.311367270541991</v>
      </c>
      <c r="S832" s="26" t="n">
        <v>256.7901913699877</v>
      </c>
      <c r="T832" s="27" t="n">
        <v>0.3293139898602099</v>
      </c>
      <c r="U832" s="26" t="n">
        <v>267.1714875496847</v>
      </c>
      <c r="V832" s="27" t="n">
        <v>0.3015921083957502</v>
      </c>
      <c r="W832" s="26" t="n">
        <v>268.5061022613339</v>
      </c>
      <c r="X832" s="27" t="n">
        <v>0.2814881459335705</v>
      </c>
      <c r="Y832" s="26" t="n">
        <v>256.5945632859239</v>
      </c>
      <c r="Z832" s="27" t="n">
        <v>0.2110965091839931</v>
      </c>
      <c r="AA832" s="26" t="n">
        <v>259.8011379330895</v>
      </c>
      <c r="AB832" s="27" t="n">
        <v>0.3187951209993521</v>
      </c>
    </row>
    <row r="833">
      <c r="A833" s="26" t="n">
        <v>272.420732946766</v>
      </c>
      <c r="B833" s="27" t="n">
        <v>0.2939677639789574</v>
      </c>
      <c r="C833" s="26" t="n">
        <v>266.5401342781823</v>
      </c>
      <c r="D833" s="27" t="n">
        <v>0.2985884211573285</v>
      </c>
      <c r="E833" s="26" t="n">
        <v>286.3515592386561</v>
      </c>
      <c r="F833" s="27" t="n">
        <v>0.2650634106873633</v>
      </c>
      <c r="G833" s="26" t="n">
        <v>296.2095789921116</v>
      </c>
      <c r="H833" s="27" t="n">
        <v>0.2286518611068928</v>
      </c>
      <c r="I833" s="26" t="n">
        <v>298.4181073716508</v>
      </c>
      <c r="J833" s="27" t="n">
        <v>0.2289576116627191</v>
      </c>
      <c r="K833" s="26" t="n">
        <v>288.032758944962</v>
      </c>
      <c r="L833" s="27" t="n">
        <v>0.2434712554576929</v>
      </c>
      <c r="M833" s="26" t="n">
        <v>279.5619916426979</v>
      </c>
      <c r="N833" s="27" t="n">
        <v>0.2728585512025604</v>
      </c>
      <c r="O833" s="26" t="n">
        <v>249.0807008122017</v>
      </c>
      <c r="P833" s="27" t="n">
        <v>0.2791114837851103</v>
      </c>
      <c r="Q833" s="26" t="n">
        <v>265.4398632171805</v>
      </c>
      <c r="R833" s="27" t="n">
        <v>0.3119072813005772</v>
      </c>
      <c r="S833" s="26" t="n">
        <v>256.896614978019</v>
      </c>
      <c r="T833" s="27" t="n">
        <v>0.3297795826323281</v>
      </c>
      <c r="U833" s="26" t="n">
        <v>267.256532844137</v>
      </c>
      <c r="V833" s="27" t="n">
        <v>0.3022074908769508</v>
      </c>
      <c r="W833" s="26" t="n">
        <v>268.5842877533867</v>
      </c>
      <c r="X833" s="27" t="n">
        <v>0.2822486855648478</v>
      </c>
      <c r="Y833" s="26" t="n">
        <v>256.7000044525308</v>
      </c>
      <c r="Z833" s="27" t="n">
        <v>0.212010090101941</v>
      </c>
      <c r="AA833" s="26" t="n">
        <v>259.8813255947962</v>
      </c>
      <c r="AB833" s="27" t="n">
        <v>0.319354123309287</v>
      </c>
    </row>
    <row r="834">
      <c r="A834" s="26" t="n">
        <v>272.5864946099713</v>
      </c>
      <c r="B834" s="27" t="n">
        <v>0.2945037141953333</v>
      </c>
      <c r="C834" s="26" t="n">
        <v>266.6801837919971</v>
      </c>
      <c r="D834" s="27" t="n">
        <v>0.2991770636030968</v>
      </c>
      <c r="E834" s="26" t="n">
        <v>286.4646168930128</v>
      </c>
      <c r="F834" s="27" t="n">
        <v>0.2657446047291782</v>
      </c>
      <c r="G834" s="26" t="n">
        <v>296.2963014227172</v>
      </c>
      <c r="H834" s="27" t="n">
        <v>0.2294732965554403</v>
      </c>
      <c r="I834" s="26" t="n">
        <v>298.4984918001507</v>
      </c>
      <c r="J834" s="27" t="n">
        <v>0.2297718183494722</v>
      </c>
      <c r="K834" s="26" t="n">
        <v>288.1090014393183</v>
      </c>
      <c r="L834" s="27" t="n">
        <v>0.2442921967823346</v>
      </c>
      <c r="M834" s="26" t="n">
        <v>279.6532973447838</v>
      </c>
      <c r="N834" s="27" t="n">
        <v>0.2735657028026509</v>
      </c>
      <c r="O834" s="26" t="n">
        <v>249.2051055062902</v>
      </c>
      <c r="P834" s="27" t="n">
        <v>0.2800047671058818</v>
      </c>
      <c r="Q834" s="26" t="n">
        <v>265.5339499928133</v>
      </c>
      <c r="R834" s="27" t="n">
        <v>0.3124439174944741</v>
      </c>
      <c r="S834" s="26" t="n">
        <v>257.0030385860504</v>
      </c>
      <c r="T834" s="27" t="n">
        <v>0.3302416786654562</v>
      </c>
      <c r="U834" s="26" t="n">
        <v>267.3415781385893</v>
      </c>
      <c r="V834" s="27" t="n">
        <v>0.3028196517671461</v>
      </c>
      <c r="W834" s="26" t="n">
        <v>268.6624732454395</v>
      </c>
      <c r="X834" s="27" t="n">
        <v>0.2830067732712389</v>
      </c>
      <c r="Y834" s="26" t="n">
        <v>256.8054456191377</v>
      </c>
      <c r="Z834" s="27" t="n">
        <v>0.2129270471150573</v>
      </c>
      <c r="AA834" s="26" t="n">
        <v>259.9615132565027</v>
      </c>
      <c r="AB834" s="27" t="n">
        <v>0.3199097171081545</v>
      </c>
    </row>
    <row r="835">
      <c r="A835" s="26" t="n">
        <v>272.7522562731766</v>
      </c>
      <c r="B835" s="27" t="n">
        <v>0.2950362788338795</v>
      </c>
      <c r="C835" s="26" t="n">
        <v>266.8202333058119</v>
      </c>
      <c r="D835" s="27" t="n">
        <v>0.2997623535375443</v>
      </c>
      <c r="E835" s="26" t="n">
        <v>286.5776745473696</v>
      </c>
      <c r="F835" s="27" t="n">
        <v>0.2664233132048959</v>
      </c>
      <c r="G835" s="26" t="n">
        <v>296.3830238533228</v>
      </c>
      <c r="H835" s="27" t="n">
        <v>0.2302944661897427</v>
      </c>
      <c r="I835" s="26" t="n">
        <v>298.5788762286506</v>
      </c>
      <c r="J835" s="27" t="n">
        <v>0.2305856248310011</v>
      </c>
      <c r="K835" s="26" t="n">
        <v>288.1852439336747</v>
      </c>
      <c r="L835" s="27" t="n">
        <v>0.2451122091753018</v>
      </c>
      <c r="M835" s="26" t="n">
        <v>279.7446030468696</v>
      </c>
      <c r="N835" s="27" t="n">
        <v>0.2742703203635067</v>
      </c>
      <c r="O835" s="26" t="n">
        <v>249.3295102003787</v>
      </c>
      <c r="P835" s="27" t="n">
        <v>0.2808967890673612</v>
      </c>
      <c r="Q835" s="26" t="n">
        <v>265.6280367684463</v>
      </c>
      <c r="R835" s="27" t="n">
        <v>0.3129771605155164</v>
      </c>
      <c r="S835" s="26" t="n">
        <v>257.1094621940818</v>
      </c>
      <c r="T835" s="27" t="n">
        <v>0.3307002673585384</v>
      </c>
      <c r="U835" s="26" t="n">
        <v>267.4266234330416</v>
      </c>
      <c r="V835" s="27" t="n">
        <v>0.3034285638836702</v>
      </c>
      <c r="W835" s="26" t="n">
        <v>268.7406587374923</v>
      </c>
      <c r="X835" s="27" t="n">
        <v>0.2837623635010746</v>
      </c>
      <c r="Y835" s="26" t="n">
        <v>256.9108867857446</v>
      </c>
      <c r="Z835" s="27" t="n">
        <v>0.2138473746117092</v>
      </c>
      <c r="AA835" s="26" t="n">
        <v>260.0417009182094</v>
      </c>
      <c r="AB835" s="27" t="n">
        <v>0.3204618837096846</v>
      </c>
    </row>
    <row r="836">
      <c r="A836" s="26" t="n">
        <v>272.9180179363818</v>
      </c>
      <c r="B836" s="27" t="n">
        <v>0.2955654319988828</v>
      </c>
      <c r="C836" s="26" t="n">
        <v>266.9602828196266</v>
      </c>
      <c r="D836" s="27" t="n">
        <v>0.3003442614822029</v>
      </c>
      <c r="E836" s="26" t="n">
        <v>286.6907322017263</v>
      </c>
      <c r="F836" s="27" t="n">
        <v>0.2670994945958718</v>
      </c>
      <c r="G836" s="26" t="n">
        <v>296.4697462839284</v>
      </c>
      <c r="H836" s="27" t="n">
        <v>0.2311153183974593</v>
      </c>
      <c r="I836" s="26" t="n">
        <v>298.6592606571506</v>
      </c>
      <c r="J836" s="27" t="n">
        <v>0.2313989795516865</v>
      </c>
      <c r="K836" s="26" t="n">
        <v>288.261486428031</v>
      </c>
      <c r="L836" s="27" t="n">
        <v>0.2459312394678448</v>
      </c>
      <c r="M836" s="26" t="n">
        <v>279.8359087489554</v>
      </c>
      <c r="N836" s="27" t="n">
        <v>0.2749723619216662</v>
      </c>
      <c r="O836" s="26" t="n">
        <v>249.4539148944673</v>
      </c>
      <c r="P836" s="27" t="n">
        <v>0.2817874891158067</v>
      </c>
      <c r="Q836" s="26" t="n">
        <v>265.7221235440793</v>
      </c>
      <c r="R836" s="27" t="n">
        <v>0.313506992043899</v>
      </c>
      <c r="S836" s="26" t="n">
        <v>257.2158858021132</v>
      </c>
      <c r="T836" s="27" t="n">
        <v>0.3311553384011388</v>
      </c>
      <c r="U836" s="26" t="n">
        <v>267.5116687274939</v>
      </c>
      <c r="V836" s="27" t="n">
        <v>0.3040342002997909</v>
      </c>
      <c r="W836" s="26" t="n">
        <v>268.8188442295451</v>
      </c>
      <c r="X836" s="27" t="n">
        <v>0.2845154107256863</v>
      </c>
      <c r="Y836" s="26" t="n">
        <v>257.0163279523515</v>
      </c>
      <c r="Z836" s="27" t="n">
        <v>0.2147710663640286</v>
      </c>
      <c r="AA836" s="26" t="n">
        <v>260.1218885799159</v>
      </c>
      <c r="AB836" s="27" t="n">
        <v>0.3210106047201209</v>
      </c>
    </row>
    <row r="837">
      <c r="A837" s="26" t="n">
        <v>273.0837795995872</v>
      </c>
      <c r="B837" s="27" t="n">
        <v>0.2960911480597668</v>
      </c>
      <c r="C837" s="26" t="n">
        <v>267.1003323334414</v>
      </c>
      <c r="D837" s="27" t="n">
        <v>0.3009227582089627</v>
      </c>
      <c r="E837" s="26" t="n">
        <v>286.8037898560831</v>
      </c>
      <c r="F837" s="27" t="n">
        <v>0.2677731074356153</v>
      </c>
      <c r="G837" s="26" t="n">
        <v>296.5564687145339</v>
      </c>
      <c r="H837" s="27" t="n">
        <v>0.2319358009934436</v>
      </c>
      <c r="I837" s="26" t="n">
        <v>298.7396450856505</v>
      </c>
      <c r="J837" s="27" t="n">
        <v>0.2322118304270631</v>
      </c>
      <c r="K837" s="26" t="n">
        <v>288.3377289223873</v>
      </c>
      <c r="L837" s="27" t="n">
        <v>0.2467492340879436</v>
      </c>
      <c r="M837" s="26" t="n">
        <v>279.9272144510413</v>
      </c>
      <c r="N837" s="27" t="n">
        <v>0.2756717855793677</v>
      </c>
      <c r="O837" s="26" t="n">
        <v>249.5783195885558</v>
      </c>
      <c r="P837" s="27" t="n">
        <v>0.2826768062304875</v>
      </c>
      <c r="Q837" s="26" t="n">
        <v>265.8162103197122</v>
      </c>
      <c r="R837" s="27" t="n">
        <v>0.3140333940517513</v>
      </c>
      <c r="S837" s="26" t="n">
        <v>257.3223094101446</v>
      </c>
      <c r="T837" s="27" t="n">
        <v>0.331606881775213</v>
      </c>
      <c r="U837" s="26" t="n">
        <v>267.5967140219462</v>
      </c>
      <c r="V837" s="27" t="n">
        <v>0.3046365343502741</v>
      </c>
      <c r="W837" s="26" t="n">
        <v>268.8970297215978</v>
      </c>
      <c r="X837" s="27" t="n">
        <v>0.2852658694483685</v>
      </c>
      <c r="Y837" s="26" t="n">
        <v>257.1217691189584</v>
      </c>
      <c r="Z837" s="27" t="n">
        <v>0.2156981155091509</v>
      </c>
      <c r="AA837" s="26" t="n">
        <v>260.2020762416225</v>
      </c>
      <c r="AB837" s="27" t="n">
        <v>0.3215558620417412</v>
      </c>
    </row>
    <row r="838">
      <c r="A838" s="26" t="n">
        <v>273.2495412627925</v>
      </c>
      <c r="B838" s="27" t="n">
        <v>0.2966134016567305</v>
      </c>
      <c r="C838" s="26" t="n">
        <v>267.2403818472562</v>
      </c>
      <c r="D838" s="27" t="n">
        <v>0.3014978147464281</v>
      </c>
      <c r="E838" s="26" t="n">
        <v>286.9168475104398</v>
      </c>
      <c r="F838" s="27" t="n">
        <v>0.2684441103182182</v>
      </c>
      <c r="G838" s="26" t="n">
        <v>296.6431911451394</v>
      </c>
      <c r="H838" s="27" t="n">
        <v>0.2327558612224624</v>
      </c>
      <c r="I838" s="26" t="n">
        <v>298.8200295141505</v>
      </c>
      <c r="J838" s="27" t="n">
        <v>0.233024124847439</v>
      </c>
      <c r="K838" s="26" t="n">
        <v>288.4139714167437</v>
      </c>
      <c r="L838" s="27" t="n">
        <v>0.2475661390665343</v>
      </c>
      <c r="M838" s="26" t="n">
        <v>280.0185201531271</v>
      </c>
      <c r="N838" s="27" t="n">
        <v>0.2763685495130797</v>
      </c>
      <c r="O838" s="26" t="n">
        <v>249.7027242826443</v>
      </c>
      <c r="P838" s="27" t="n">
        <v>0.2835646789305026</v>
      </c>
      <c r="Q838" s="26" t="n">
        <v>265.9102970953451</v>
      </c>
      <c r="R838" s="27" t="n">
        <v>0.3145563488066671</v>
      </c>
      <c r="S838" s="26" t="n">
        <v>257.4287330181759</v>
      </c>
      <c r="T838" s="27" t="n">
        <v>0.3320548877568317</v>
      </c>
      <c r="U838" s="26" t="n">
        <v>267.6817593163985</v>
      </c>
      <c r="V838" s="27" t="n">
        <v>0.3052355396369287</v>
      </c>
      <c r="W838" s="26" t="n">
        <v>268.9752152136507</v>
      </c>
      <c r="X838" s="27" t="n">
        <v>0.2860136942134569</v>
      </c>
      <c r="Y838" s="26" t="n">
        <v>257.2272102855653</v>
      </c>
      <c r="Z838" s="27" t="n">
        <v>0.216628514529971</v>
      </c>
      <c r="AA838" s="26" t="n">
        <v>260.2822639033292</v>
      </c>
      <c r="AB838" s="27" t="n">
        <v>0.3220976378763438</v>
      </c>
    </row>
    <row r="839">
      <c r="A839" s="26" t="n">
        <v>273.4153029259978</v>
      </c>
      <c r="B839" s="27" t="n">
        <v>0.2971321677063731</v>
      </c>
      <c r="C839" s="26" t="n">
        <v>267.380431361071</v>
      </c>
      <c r="D839" s="27" t="n">
        <v>0.3020694023862833</v>
      </c>
      <c r="E839" s="26" t="n">
        <v>287.0299051647964</v>
      </c>
      <c r="F839" s="27" t="n">
        <v>0.2691124619068835</v>
      </c>
      <c r="G839" s="26" t="n">
        <v>296.7299135757451</v>
      </c>
      <c r="H839" s="27" t="n">
        <v>0.2335754457621919</v>
      </c>
      <c r="I839" s="26" t="n">
        <v>298.9004139426504</v>
      </c>
      <c r="J839" s="27" t="n">
        <v>0.2338358096817712</v>
      </c>
      <c r="K839" s="26" t="n">
        <v>288.4902139111001</v>
      </c>
      <c r="L839" s="27" t="n">
        <v>0.2483819000440044</v>
      </c>
      <c r="M839" s="26" t="n">
        <v>280.1098258552129</v>
      </c>
      <c r="N839" s="27" t="n">
        <v>0.2770626119821225</v>
      </c>
      <c r="O839" s="26" t="n">
        <v>249.8271289767329</v>
      </c>
      <c r="P839" s="27" t="n">
        <v>0.2844510452819031</v>
      </c>
      <c r="Q839" s="26" t="n">
        <v>266.0043838709781</v>
      </c>
      <c r="R839" s="27" t="n">
        <v>0.3150758388751995</v>
      </c>
      <c r="S839" s="26" t="n">
        <v>257.5351566262073</v>
      </c>
      <c r="T839" s="27" t="n">
        <v>0.3324993469178584</v>
      </c>
      <c r="U839" s="26" t="n">
        <v>267.7668046108508</v>
      </c>
      <c r="V839" s="27" t="n">
        <v>0.3058311900341477</v>
      </c>
      <c r="W839" s="26" t="n">
        <v>269.0534007057035</v>
      </c>
      <c r="X839" s="27" t="n">
        <v>0.286758839615514</v>
      </c>
      <c r="Y839" s="26" t="n">
        <v>257.3326514521722</v>
      </c>
      <c r="Z839" s="27" t="n">
        <v>0.2175622552354284</v>
      </c>
      <c r="AA839" s="26" t="n">
        <v>260.3624515650357</v>
      </c>
      <c r="AB839" s="27" t="n">
        <v>0.322635914728689</v>
      </c>
    </row>
    <row r="840">
      <c r="A840" s="26" t="n">
        <v>273.5810645892031</v>
      </c>
      <c r="B840" s="27" t="n">
        <v>0.2976474214073012</v>
      </c>
      <c r="C840" s="26" t="n">
        <v>267.5204808748858</v>
      </c>
      <c r="D840" s="27" t="n">
        <v>0.3026374926896493</v>
      </c>
      <c r="E840" s="26" t="n">
        <v>287.1429628191532</v>
      </c>
      <c r="F840" s="27" t="n">
        <v>0.2697781209425411</v>
      </c>
      <c r="G840" s="26" t="n">
        <v>296.8166360063506</v>
      </c>
      <c r="H840" s="27" t="n">
        <v>0.2343945007264984</v>
      </c>
      <c r="I840" s="26" t="n">
        <v>298.9807983711503</v>
      </c>
      <c r="J840" s="27" t="n">
        <v>0.234646831281842</v>
      </c>
      <c r="K840" s="26" t="n">
        <v>288.5664564054564</v>
      </c>
      <c r="L840" s="27" t="n">
        <v>0.2491964622769524</v>
      </c>
      <c r="M840" s="26" t="n">
        <v>280.2011315572988</v>
      </c>
      <c r="N840" s="27" t="n">
        <v>0.2777539313373908</v>
      </c>
      <c r="O840" s="26" t="n">
        <v>249.9515336708214</v>
      </c>
      <c r="P840" s="27" t="n">
        <v>0.2853358429051308</v>
      </c>
      <c r="Q840" s="26" t="n">
        <v>266.098470646611</v>
      </c>
      <c r="R840" s="27" t="n">
        <v>0.315591847126312</v>
      </c>
      <c r="S840" s="26" t="n">
        <v>257.6415802342387</v>
      </c>
      <c r="T840" s="27" t="n">
        <v>0.3329402501275805</v>
      </c>
      <c r="U840" s="26" t="n">
        <v>267.8518499053032</v>
      </c>
      <c r="V840" s="27" t="n">
        <v>0.3064234596944184</v>
      </c>
      <c r="W840" s="26" t="n">
        <v>269.1315861977563</v>
      </c>
      <c r="X840" s="27" t="n">
        <v>0.2875012603086365</v>
      </c>
      <c r="Y840" s="26" t="n">
        <v>257.4380926187791</v>
      </c>
      <c r="Z840" s="27" t="n">
        <v>0.2184993287402898</v>
      </c>
      <c r="AA840" s="26" t="n">
        <v>260.4426392267424</v>
      </c>
      <c r="AB840" s="27" t="n">
        <v>0.3231706754098996</v>
      </c>
    </row>
    <row r="841">
      <c r="A841" s="26" t="n">
        <v>273.7468262524084</v>
      </c>
      <c r="B841" s="27" t="n">
        <v>0.2981591382457215</v>
      </c>
      <c r="C841" s="26" t="n">
        <v>267.6605303887005</v>
      </c>
      <c r="D841" s="27" t="n">
        <v>0.3032020574934371</v>
      </c>
      <c r="E841" s="26" t="n">
        <v>287.2560204735099</v>
      </c>
      <c r="F841" s="27" t="n">
        <v>0.270441046252567</v>
      </c>
      <c r="G841" s="26" t="n">
        <v>296.9033584369562</v>
      </c>
      <c r="H841" s="27" t="n">
        <v>0.2352129716690076</v>
      </c>
      <c r="I841" s="26" t="n">
        <v>299.0611827996503</v>
      </c>
      <c r="J841" s="27" t="n">
        <v>0.2354571354867023</v>
      </c>
      <c r="K841" s="26" t="n">
        <v>288.6426988998128</v>
      </c>
      <c r="L841" s="27" t="n">
        <v>0.2500097706452254</v>
      </c>
      <c r="M841" s="26" t="n">
        <v>280.2924372593846</v>
      </c>
      <c r="N841" s="27" t="n">
        <v>0.2784424660301447</v>
      </c>
      <c r="O841" s="26" t="n">
        <v>250.07593836491</v>
      </c>
      <c r="P841" s="27" t="n">
        <v>0.2862190089827667</v>
      </c>
      <c r="Q841" s="26" t="n">
        <v>266.192557422244</v>
      </c>
      <c r="R841" s="27" t="n">
        <v>0.3161043567347907</v>
      </c>
      <c r="S841" s="26" t="n">
        <v>257.74800384227</v>
      </c>
      <c r="T841" s="27" t="n">
        <v>0.3333775885542909</v>
      </c>
      <c r="U841" s="26" t="n">
        <v>267.9368951997554</v>
      </c>
      <c r="V841" s="27" t="n">
        <v>0.3070123230538239</v>
      </c>
      <c r="W841" s="26" t="n">
        <v>269.2097716898091</v>
      </c>
      <c r="X841" s="27" t="n">
        <v>0.288240911015853</v>
      </c>
      <c r="Y841" s="26" t="n">
        <v>257.5435337853861</v>
      </c>
      <c r="Z841" s="27" t="n">
        <v>0.2194397254444457</v>
      </c>
      <c r="AA841" s="26" t="n">
        <v>260.5228268884489</v>
      </c>
      <c r="AB841" s="27" t="n">
        <v>0.3237019030408178</v>
      </c>
    </row>
    <row r="842">
      <c r="A842" s="26" t="n">
        <v>273.9125879156137</v>
      </c>
      <c r="B842" s="27" t="n">
        <v>0.2986672940010171</v>
      </c>
      <c r="C842" s="26" t="n">
        <v>267.8005799025153</v>
      </c>
      <c r="D842" s="27" t="n">
        <v>0.3037630689166926</v>
      </c>
      <c r="E842" s="26" t="n">
        <v>287.3690781278667</v>
      </c>
      <c r="F842" s="27" t="n">
        <v>0.2711011967595905</v>
      </c>
      <c r="G842" s="26" t="n">
        <v>296.9900808675617</v>
      </c>
      <c r="H842" s="27" t="n">
        <v>0.2360308035869766</v>
      </c>
      <c r="I842" s="26" t="n">
        <v>299.1415672281502</v>
      </c>
      <c r="J842" s="27" t="n">
        <v>0.2362666676274268</v>
      </c>
      <c r="K842" s="26" t="n">
        <v>288.7189413941691</v>
      </c>
      <c r="L842" s="27" t="n">
        <v>0.2508217696592261</v>
      </c>
      <c r="M842" s="26" t="n">
        <v>280.3837429614704</v>
      </c>
      <c r="N842" s="27" t="n">
        <v>0.2791281746209085</v>
      </c>
      <c r="O842" s="26" t="n">
        <v>250.2003430589986</v>
      </c>
      <c r="P842" s="27" t="n">
        <v>0.287100480267602</v>
      </c>
      <c r="Q842" s="26" t="n">
        <v>266.2866441978769</v>
      </c>
      <c r="R842" s="27" t="n">
        <v>0.3166133511846103</v>
      </c>
      <c r="S842" s="26" t="n">
        <v>257.8544274503014</v>
      </c>
      <c r="T842" s="27" t="n">
        <v>0.3338113536668212</v>
      </c>
      <c r="U842" s="26" t="n">
        <v>268.0219404942078</v>
      </c>
      <c r="V842" s="27" t="n">
        <v>0.3075977548375186</v>
      </c>
      <c r="W842" s="26" t="n">
        <v>269.2879571818619</v>
      </c>
      <c r="X842" s="27" t="n">
        <v>0.2889777465386518</v>
      </c>
      <c r="Y842" s="26" t="n">
        <v>257.648974951993</v>
      </c>
      <c r="Z842" s="27" t="n">
        <v>0.220383435011684</v>
      </c>
      <c r="AA842" s="26" t="n">
        <v>260.6030145501555</v>
      </c>
      <c r="AB842" s="27" t="n">
        <v>0.3242295810553201</v>
      </c>
    </row>
    <row r="843">
      <c r="A843" s="26" t="n">
        <v>274.078349578819</v>
      </c>
      <c r="B843" s="27" t="n">
        <v>0.2991718647512993</v>
      </c>
      <c r="C843" s="26" t="n">
        <v>267.9406294163301</v>
      </c>
      <c r="D843" s="27" t="n">
        <v>0.3043204993669317</v>
      </c>
      <c r="E843" s="26" t="n">
        <v>287.4821357822234</v>
      </c>
      <c r="F843" s="27" t="n">
        <v>0.2717585314903894</v>
      </c>
      <c r="G843" s="26" t="n">
        <v>297.0768032981673</v>
      </c>
      <c r="H843" s="27" t="n">
        <v>0.236847940925464</v>
      </c>
      <c r="I843" s="26" t="n">
        <v>299.2219516566502</v>
      </c>
      <c r="J843" s="27" t="n">
        <v>0.2370753725321494</v>
      </c>
      <c r="K843" s="26" t="n">
        <v>288.7951838885255</v>
      </c>
      <c r="L843" s="27" t="n">
        <v>0.2516324034675023</v>
      </c>
      <c r="M843" s="26" t="n">
        <v>280.4750486635562</v>
      </c>
      <c r="N843" s="27" t="n">
        <v>0.2798110157884332</v>
      </c>
      <c r="O843" s="26" t="n">
        <v>250.3247477530871</v>
      </c>
      <c r="P843" s="27" t="n">
        <v>0.2879801930910349</v>
      </c>
      <c r="Q843" s="26" t="n">
        <v>266.3807309735099</v>
      </c>
      <c r="R843" s="27" t="n">
        <v>0.3171188142722585</v>
      </c>
      <c r="S843" s="26" t="n">
        <v>257.9608510583328</v>
      </c>
      <c r="T843" s="27" t="n">
        <v>0.3342415372360261</v>
      </c>
      <c r="U843" s="26" t="n">
        <v>268.10698578866</v>
      </c>
      <c r="V843" s="27" t="n">
        <v>0.308179730065181</v>
      </c>
      <c r="W843" s="26" t="n">
        <v>269.3661426739147</v>
      </c>
      <c r="X843" s="27" t="n">
        <v>0.2897117217665949</v>
      </c>
      <c r="Y843" s="26" t="n">
        <v>257.7544161185999</v>
      </c>
      <c r="Z843" s="27" t="n">
        <v>0.2213304463479611</v>
      </c>
      <c r="AA843" s="26" t="n">
        <v>260.6832022118621</v>
      </c>
      <c r="AB843" s="27" t="n">
        <v>0.3247536932035835</v>
      </c>
    </row>
    <row r="844">
      <c r="A844" s="26" t="n">
        <v>274.2441112420244</v>
      </c>
      <c r="B844" s="27" t="n">
        <v>0.2996728268789405</v>
      </c>
      <c r="C844" s="26" t="n">
        <v>268.0806789301449</v>
      </c>
      <c r="D844" s="27" t="n">
        <v>0.3048743215464655</v>
      </c>
      <c r="E844" s="26" t="n">
        <v>287.5951934365801</v>
      </c>
      <c r="F844" s="27" t="n">
        <v>0.2724130095848804</v>
      </c>
      <c r="G844" s="26" t="n">
        <v>297.1635257287729</v>
      </c>
      <c r="H844" s="27" t="n">
        <v>0.2376643275818138</v>
      </c>
      <c r="I844" s="26" t="n">
        <v>299.3023360851501</v>
      </c>
      <c r="J844" s="27" t="n">
        <v>0.237883194531419</v>
      </c>
      <c r="K844" s="26" t="n">
        <v>288.8714263828819</v>
      </c>
      <c r="L844" s="27" t="n">
        <v>0.2524416158646134</v>
      </c>
      <c r="M844" s="26" t="n">
        <v>280.5663543656421</v>
      </c>
      <c r="N844" s="27" t="n">
        <v>0.2804909483387563</v>
      </c>
      <c r="O844" s="26" t="n">
        <v>250.4491524471757</v>
      </c>
      <c r="P844" s="27" t="n">
        <v>0.2888580833717919</v>
      </c>
      <c r="Q844" s="26" t="n">
        <v>266.4748177491428</v>
      </c>
      <c r="R844" s="27" t="n">
        <v>0.3176207301100127</v>
      </c>
      <c r="S844" s="26" t="n">
        <v>258.0672746663642</v>
      </c>
      <c r="T844" s="27" t="n">
        <v>0.3346681313362173</v>
      </c>
      <c r="U844" s="26" t="n">
        <v>268.1920310831124</v>
      </c>
      <c r="V844" s="27" t="n">
        <v>0.3087582240564418</v>
      </c>
      <c r="W844" s="26" t="n">
        <v>269.4443281659675</v>
      </c>
      <c r="X844" s="27" t="n">
        <v>0.2904427916870431</v>
      </c>
      <c r="Y844" s="26" t="n">
        <v>257.8598572852068</v>
      </c>
      <c r="Z844" s="27" t="n">
        <v>0.2222807475791316</v>
      </c>
      <c r="AA844" s="26" t="n">
        <v>260.7633898735687</v>
      </c>
      <c r="AB844" s="27" t="n">
        <v>0.3252742235553055</v>
      </c>
    </row>
    <row r="845">
      <c r="A845" s="26" t="n">
        <v>274.4098729052297</v>
      </c>
      <c r="B845" s="27" t="n">
        <v>0.3001701570760805</v>
      </c>
      <c r="C845" s="26" t="n">
        <v>268.2207284439597</v>
      </c>
      <c r="D845" s="27" t="n">
        <v>0.3054245084587114</v>
      </c>
      <c r="E845" s="26" t="n">
        <v>287.7082510909369</v>
      </c>
      <c r="F845" s="27" t="n">
        <v>0.2730645903051877</v>
      </c>
      <c r="G845" s="26" t="n">
        <v>297.2502481593785</v>
      </c>
      <c r="H845" s="27" t="n">
        <v>0.2384799069104553</v>
      </c>
      <c r="I845" s="26" t="n">
        <v>299.38272051365</v>
      </c>
      <c r="J845" s="27" t="n">
        <v>0.238690077463849</v>
      </c>
      <c r="K845" s="26" t="n">
        <v>288.9476688772381</v>
      </c>
      <c r="L845" s="27" t="n">
        <v>0.2532493502992907</v>
      </c>
      <c r="M845" s="26" t="n">
        <v>280.6576600677279</v>
      </c>
      <c r="N845" s="27" t="n">
        <v>0.2811679312143318</v>
      </c>
      <c r="O845" s="26" t="n">
        <v>250.5735571412642</v>
      </c>
      <c r="P845" s="27" t="n">
        <v>0.2897340866249843</v>
      </c>
      <c r="Q845" s="26" t="n">
        <v>266.5689045247757</v>
      </c>
      <c r="R845" s="27" t="n">
        <v>0.3181190831291704</v>
      </c>
      <c r="S845" s="26" t="n">
        <v>258.1736982743956</v>
      </c>
      <c r="T845" s="27" t="n">
        <v>0.335091128346546</v>
      </c>
      <c r="U845" s="26" t="n">
        <v>268.2770763775646</v>
      </c>
      <c r="V845" s="27" t="n">
        <v>0.309333212436288</v>
      </c>
      <c r="W845" s="26" t="n">
        <v>269.5225136580203</v>
      </c>
      <c r="X845" s="27" t="n">
        <v>0.2911709113949902</v>
      </c>
      <c r="Y845" s="26" t="n">
        <v>257.9652984518137</v>
      </c>
      <c r="Z845" s="27" t="n">
        <v>0.2232343260281581</v>
      </c>
      <c r="AA845" s="26" t="n">
        <v>260.8435775352754</v>
      </c>
      <c r="AB845" s="27" t="n">
        <v>0.3257911565028772</v>
      </c>
    </row>
    <row r="846">
      <c r="A846" s="26" t="n">
        <v>274.5756345684349</v>
      </c>
      <c r="B846" s="27" t="n">
        <v>0.3006638323501082</v>
      </c>
      <c r="C846" s="26" t="n">
        <v>268.3607779577744</v>
      </c>
      <c r="D846" s="27" t="n">
        <v>0.3059710334144857</v>
      </c>
      <c r="E846" s="26" t="n">
        <v>287.8213087452935</v>
      </c>
      <c r="F846" s="27" t="n">
        <v>0.2737132330448009</v>
      </c>
      <c r="G846" s="26" t="n">
        <v>297.336970589984</v>
      </c>
      <c r="H846" s="27" t="n">
        <v>0.2392946217280232</v>
      </c>
      <c r="I846" s="26" t="n">
        <v>299.46310494215</v>
      </c>
      <c r="J846" s="27" t="n">
        <v>0.2394959646820979</v>
      </c>
      <c r="K846" s="26" t="n">
        <v>289.0239113715945</v>
      </c>
      <c r="L846" s="27" t="n">
        <v>0.2540555498828782</v>
      </c>
      <c r="M846" s="26" t="n">
        <v>280.7489657698138</v>
      </c>
      <c r="N846" s="27" t="n">
        <v>0.2818419235032462</v>
      </c>
      <c r="O846" s="26" t="n">
        <v>250.6979618353527</v>
      </c>
      <c r="P846" s="27" t="n">
        <v>0.2906081379715021</v>
      </c>
      <c r="Q846" s="26" t="n">
        <v>266.6629913004087</v>
      </c>
      <c r="R846" s="27" t="n">
        <v>0.3186138580832323</v>
      </c>
      <c r="S846" s="26" t="n">
        <v>258.280121882427</v>
      </c>
      <c r="T846" s="27" t="n">
        <v>0.3355105209523357</v>
      </c>
      <c r="U846" s="26" t="n">
        <v>268.362121672017</v>
      </c>
      <c r="V846" s="27" t="n">
        <v>0.3099046711404342</v>
      </c>
      <c r="W846" s="26" t="n">
        <v>269.6006991500731</v>
      </c>
      <c r="X846" s="27" t="n">
        <v>0.2918960361029797</v>
      </c>
      <c r="Y846" s="26" t="n">
        <v>258.0707396184206</v>
      </c>
      <c r="Z846" s="27" t="n">
        <v>0.2241911681917656</v>
      </c>
      <c r="AA846" s="26" t="n">
        <v>260.9237651969819</v>
      </c>
      <c r="AB846" s="27" t="n">
        <v>0.326304476764508</v>
      </c>
    </row>
    <row r="847">
      <c r="A847" s="26" t="n">
        <v>274.7413962316402</v>
      </c>
      <c r="B847" s="27" t="n">
        <v>0.3011538300291129</v>
      </c>
      <c r="C847" s="26" t="n">
        <v>268.5008274715892</v>
      </c>
      <c r="D847" s="27" t="n">
        <v>0.30651387003828</v>
      </c>
      <c r="E847" s="26" t="n">
        <v>287.9343663996503</v>
      </c>
      <c r="F847" s="27" t="n">
        <v>0.2743588973378183</v>
      </c>
      <c r="G847" s="26" t="n">
        <v>297.4236930205897</v>
      </c>
      <c r="H847" s="27" t="n">
        <v>0.2401084143188152</v>
      </c>
      <c r="I847" s="26" t="n">
        <v>299.5434893706499</v>
      </c>
      <c r="J847" s="27" t="n">
        <v>0.2403007990591532</v>
      </c>
      <c r="K847" s="26" t="n">
        <v>289.1001538659509</v>
      </c>
      <c r="L847" s="27" t="n">
        <v>0.2548601573980652</v>
      </c>
      <c r="M847" s="26" t="n">
        <v>280.8402714718996</v>
      </c>
      <c r="N847" s="27" t="n">
        <v>0.2825128844485</v>
      </c>
      <c r="O847" s="26" t="n">
        <v>250.8223665294413</v>
      </c>
      <c r="P847" s="27" t="n">
        <v>0.2914801721477451</v>
      </c>
      <c r="Q847" s="26" t="n">
        <v>266.7570780760417</v>
      </c>
      <c r="R847" s="27" t="n">
        <v>0.3191050400510338</v>
      </c>
      <c r="S847" s="26" t="n">
        <v>258.3865454904583</v>
      </c>
      <c r="T847" s="27" t="n">
        <v>0.3359263021463614</v>
      </c>
      <c r="U847" s="26" t="n">
        <v>268.4471669664692</v>
      </c>
      <c r="V847" s="27" t="n">
        <v>0.3104725764206649</v>
      </c>
      <c r="W847" s="26" t="n">
        <v>269.6788846421259</v>
      </c>
      <c r="X847" s="27" t="n">
        <v>0.2926181211511381</v>
      </c>
      <c r="Y847" s="26" t="n">
        <v>258.1761807850276</v>
      </c>
      <c r="Z847" s="27" t="n">
        <v>0.2251512597165498</v>
      </c>
      <c r="AA847" s="26" t="n">
        <v>261.0039528586885</v>
      </c>
      <c r="AB847" s="27" t="n">
        <v>0.3268141693872956</v>
      </c>
    </row>
    <row r="848">
      <c r="A848" s="26" t="n">
        <v>274.9071578948456</v>
      </c>
      <c r="B848" s="27" t="n">
        <v>0.3016401277673073</v>
      </c>
      <c r="C848" s="26" t="n">
        <v>268.640876985404</v>
      </c>
      <c r="D848" s="27" t="n">
        <v>0.307052992274518</v>
      </c>
      <c r="E848" s="26" t="n">
        <v>288.047424054007</v>
      </c>
      <c r="F848" s="27" t="n">
        <v>0.2750015428682611</v>
      </c>
      <c r="G848" s="26" t="n">
        <v>297.5104154511952</v>
      </c>
      <c r="H848" s="27" t="n">
        <v>0.2409212264405764</v>
      </c>
      <c r="I848" s="26" t="n">
        <v>299.6238737991499</v>
      </c>
      <c r="J848" s="27" t="n">
        <v>0.2411045229949608</v>
      </c>
      <c r="K848" s="26" t="n">
        <v>289.1763963603072</v>
      </c>
      <c r="L848" s="27" t="n">
        <v>0.2556631153079202</v>
      </c>
      <c r="M848" s="26" t="n">
        <v>280.9315771739855</v>
      </c>
      <c r="N848" s="27" t="n">
        <v>0.2831807734573726</v>
      </c>
      <c r="O848" s="26" t="n">
        <v>250.9467712235298</v>
      </c>
      <c r="P848" s="27" t="n">
        <v>0.2923501235157018</v>
      </c>
      <c r="Q848" s="26" t="n">
        <v>266.8511648516746</v>
      </c>
      <c r="R848" s="27" t="n">
        <v>0.3195926144398284</v>
      </c>
      <c r="S848" s="26" t="n">
        <v>258.4929690984897</v>
      </c>
      <c r="T848" s="27" t="n">
        <v>0.3363384652300773</v>
      </c>
      <c r="U848" s="26" t="n">
        <v>268.5322122609216</v>
      </c>
      <c r="V848" s="27" t="n">
        <v>0.3110369048501462</v>
      </c>
      <c r="W848" s="26" t="n">
        <v>269.7570701341788</v>
      </c>
      <c r="X848" s="27" t="n">
        <v>0.293337122017282</v>
      </c>
      <c r="Y848" s="26" t="n">
        <v>258.2816219516344</v>
      </c>
      <c r="Z848" s="27" t="n">
        <v>0.2261145853745238</v>
      </c>
      <c r="AA848" s="26" t="n">
        <v>261.0841405203951</v>
      </c>
      <c r="AB848" s="27" t="n">
        <v>0.3273202197502473</v>
      </c>
    </row>
    <row r="849">
      <c r="A849" s="26" t="n">
        <v>275.0729195580509</v>
      </c>
      <c r="B849" s="27" t="n">
        <v>0.302122703550416</v>
      </c>
      <c r="C849" s="26" t="n">
        <v>268.7809264992188</v>
      </c>
      <c r="D849" s="27" t="n">
        <v>0.3075883743937862</v>
      </c>
      <c r="E849" s="26" t="n">
        <v>288.1604817083637</v>
      </c>
      <c r="F849" s="27" t="n">
        <v>0.2756411294794786</v>
      </c>
      <c r="G849" s="26" t="n">
        <v>297.5971378818008</v>
      </c>
      <c r="H849" s="27" t="n">
        <v>0.2417329993306336</v>
      </c>
      <c r="I849" s="26" t="n">
        <v>299.7042582276498</v>
      </c>
      <c r="J849" s="27" t="n">
        <v>0.2419070784233656</v>
      </c>
      <c r="K849" s="26" t="n">
        <v>289.2526388546636</v>
      </c>
      <c r="L849" s="27" t="n">
        <v>0.256464365765214</v>
      </c>
      <c r="M849" s="26" t="n">
        <v>281.0228828760713</v>
      </c>
      <c r="N849" s="27" t="n">
        <v>0.2838455501108507</v>
      </c>
      <c r="O849" s="26" t="n">
        <v>251.0711759176183</v>
      </c>
      <c r="P849" s="27" t="n">
        <v>0.2932179260733758</v>
      </c>
      <c r="Q849" s="26" t="n">
        <v>266.9452516273076</v>
      </c>
      <c r="R849" s="27" t="n">
        <v>0.3200765669883174</v>
      </c>
      <c r="S849" s="26" t="n">
        <v>258.599392706521</v>
      </c>
      <c r="T849" s="27" t="n">
        <v>0.336747003814791</v>
      </c>
      <c r="U849" s="26" t="n">
        <v>268.6172575553738</v>
      </c>
      <c r="V849" s="27" t="n">
        <v>0.3115976333286975</v>
      </c>
      <c r="W849" s="26" t="n">
        <v>269.8352556262315</v>
      </c>
      <c r="X849" s="27" t="n">
        <v>0.2940529943271426</v>
      </c>
      <c r="Y849" s="26" t="n">
        <v>258.3870631182414</v>
      </c>
      <c r="Z849" s="27" t="n">
        <v>0.2270811290380955</v>
      </c>
      <c r="AA849" s="26" t="n">
        <v>261.1643281821017</v>
      </c>
      <c r="AB849" s="27" t="n">
        <v>0.327822613567248</v>
      </c>
    </row>
    <row r="850">
      <c r="A850" s="26" t="n">
        <v>275.2386812212562</v>
      </c>
      <c r="B850" s="27" t="n">
        <v>0.3026015357010303</v>
      </c>
      <c r="C850" s="26" t="n">
        <v>268.9209760130335</v>
      </c>
      <c r="D850" s="27" t="n">
        <v>0.3081199909990419</v>
      </c>
      <c r="E850" s="26" t="n">
        <v>288.2735393627205</v>
      </c>
      <c r="F850" s="27" t="n">
        <v>0.2762776171836098</v>
      </c>
      <c r="G850" s="26" t="n">
        <v>297.6838603124063</v>
      </c>
      <c r="H850" s="27" t="n">
        <v>0.242543673712375</v>
      </c>
      <c r="I850" s="26" t="n">
        <v>299.7846426561497</v>
      </c>
      <c r="J850" s="27" t="n">
        <v>0.2427084068194089</v>
      </c>
      <c r="K850" s="26" t="n">
        <v>289.32888134902</v>
      </c>
      <c r="L850" s="27" t="n">
        <v>0.2572638506220442</v>
      </c>
      <c r="M850" s="26" t="n">
        <v>281.1141885781572</v>
      </c>
      <c r="N850" s="27" t="n">
        <v>0.2845071741731293</v>
      </c>
      <c r="O850" s="26" t="n">
        <v>251.1955806117069</v>
      </c>
      <c r="P850" s="27" t="n">
        <v>0.2940835134655628</v>
      </c>
      <c r="Q850" s="26" t="n">
        <v>267.0393384029405</v>
      </c>
      <c r="R850" s="27" t="n">
        <v>0.3205568837696262</v>
      </c>
      <c r="S850" s="26" t="n">
        <v>258.7058163145524</v>
      </c>
      <c r="T850" s="27" t="n">
        <v>0.3371519118227853</v>
      </c>
      <c r="U850" s="26" t="n">
        <v>268.7023028498262</v>
      </c>
      <c r="V850" s="27" t="n">
        <v>0.3121547390880338</v>
      </c>
      <c r="W850" s="26" t="n">
        <v>269.9134411182844</v>
      </c>
      <c r="X850" s="27" t="n">
        <v>0.2947656938646555</v>
      </c>
      <c r="Y850" s="26" t="n">
        <v>258.4925042848482</v>
      </c>
      <c r="Z850" s="27" t="n">
        <v>0.2280508736544682</v>
      </c>
      <c r="AA850" s="26" t="n">
        <v>261.2445158438083</v>
      </c>
      <c r="AB850" s="27" t="n">
        <v>0.3283213368899741</v>
      </c>
    </row>
    <row r="851">
      <c r="A851" s="26" t="n">
        <v>275.4044428844615</v>
      </c>
      <c r="B851" s="27" t="n">
        <v>0.3030766028839272</v>
      </c>
      <c r="C851" s="26" t="n">
        <v>269.0610255268483</v>
      </c>
      <c r="D851" s="27" t="n">
        <v>0.3086478170317939</v>
      </c>
      <c r="E851" s="26" t="n">
        <v>288.3865970170772</v>
      </c>
      <c r="F851" s="27" t="n">
        <v>0.2769109661711406</v>
      </c>
      <c r="G851" s="26" t="n">
        <v>297.7705827430119</v>
      </c>
      <c r="H851" s="27" t="n">
        <v>0.2433531898020861</v>
      </c>
      <c r="I851" s="26" t="n">
        <v>299.8650270846497</v>
      </c>
      <c r="J851" s="27" t="n">
        <v>0.2435084492069493</v>
      </c>
      <c r="K851" s="26" t="n">
        <v>289.4051238433763</v>
      </c>
      <c r="L851" s="27" t="n">
        <v>0.2580615114397677</v>
      </c>
      <c r="M851" s="26" t="n">
        <v>281.205494280243</v>
      </c>
      <c r="N851" s="27" t="n">
        <v>0.2851656056011761</v>
      </c>
      <c r="O851" s="26" t="n">
        <v>251.3199853057955</v>
      </c>
      <c r="P851" s="27" t="n">
        <v>0.2949468189949837</v>
      </c>
      <c r="Q851" s="26" t="n">
        <v>267.1334251785735</v>
      </c>
      <c r="R851" s="27" t="n">
        <v>0.321033551194228</v>
      </c>
      <c r="S851" s="26" t="n">
        <v>258.8122399225838</v>
      </c>
      <c r="T851" s="27" t="n">
        <v>0.3375531834883826</v>
      </c>
      <c r="U851" s="26" t="n">
        <v>268.7873481442785</v>
      </c>
      <c r="V851" s="27" t="n">
        <v>0.3127081996969612</v>
      </c>
      <c r="W851" s="26" t="n">
        <v>269.9916266103371</v>
      </c>
      <c r="X851" s="27" t="n">
        <v>0.2954751765823569</v>
      </c>
      <c r="Y851" s="26" t="n">
        <v>258.5979454514552</v>
      </c>
      <c r="Z851" s="27" t="n">
        <v>0.2290238012194574</v>
      </c>
      <c r="AA851" s="26" t="n">
        <v>261.3247035055149</v>
      </c>
      <c r="AB851" s="27" t="n">
        <v>0.3288163761107488</v>
      </c>
    </row>
    <row r="852">
      <c r="A852" s="26" t="n">
        <v>275.5702045476668</v>
      </c>
      <c r="B852" s="27" t="n">
        <v>0.3035478841113474</v>
      </c>
      <c r="C852" s="26" t="n">
        <v>269.2010750406631</v>
      </c>
      <c r="D852" s="27" t="n">
        <v>0.3091718277782514</v>
      </c>
      <c r="E852" s="26" t="n">
        <v>288.4996546714339</v>
      </c>
      <c r="F852" s="27" t="n">
        <v>0.2775411368205172</v>
      </c>
      <c r="G852" s="26" t="n">
        <v>297.8573051736175</v>
      </c>
      <c r="H852" s="27" t="n">
        <v>0.2441614873161483</v>
      </c>
      <c r="I852" s="26" t="n">
        <v>299.9454115131496</v>
      </c>
      <c r="J852" s="27" t="n">
        <v>0.2443071461666503</v>
      </c>
      <c r="K852" s="26" t="n">
        <v>289.4813663377327</v>
      </c>
      <c r="L852" s="27" t="n">
        <v>0.2588572894992307</v>
      </c>
      <c r="M852" s="26" t="n">
        <v>281.2967999823288</v>
      </c>
      <c r="N852" s="27" t="n">
        <v>0.2858208045543589</v>
      </c>
      <c r="O852" s="26" t="n">
        <v>251.444389999884</v>
      </c>
      <c r="P852" s="27" t="n">
        <v>0.2958077756337776</v>
      </c>
      <c r="Q852" s="26" t="n">
        <v>267.2275119542064</v>
      </c>
      <c r="R852" s="27" t="n">
        <v>0.3215065560128094</v>
      </c>
      <c r="S852" s="26" t="n">
        <v>258.9186635306152</v>
      </c>
      <c r="T852" s="27" t="n">
        <v>0.3379508133589589</v>
      </c>
      <c r="U852" s="26" t="n">
        <v>268.8723934387308</v>
      </c>
      <c r="V852" s="27" t="n">
        <v>0.3132579930665411</v>
      </c>
      <c r="W852" s="26" t="n">
        <v>270.06981210239</v>
      </c>
      <c r="X852" s="27" t="n">
        <v>0.2961813986118551</v>
      </c>
      <c r="Y852" s="26" t="n">
        <v>258.703386618062</v>
      </c>
      <c r="Z852" s="27" t="n">
        <v>0.2299998927507147</v>
      </c>
      <c r="AA852" s="26" t="n">
        <v>261.4048911672215</v>
      </c>
      <c r="AB852" s="27" t="n">
        <v>0.3293077179653472</v>
      </c>
    </row>
    <row r="853">
      <c r="A853" s="26" t="n">
        <v>275.7359662108721</v>
      </c>
      <c r="B853" s="27" t="n">
        <v>0.3040153587482345</v>
      </c>
      <c r="C853" s="26" t="n">
        <v>269.3411245544779</v>
      </c>
      <c r="D853" s="27" t="n">
        <v>0.3096919988754422</v>
      </c>
      <c r="E853" s="26" t="n">
        <v>288.6127123257907</v>
      </c>
      <c r="F853" s="27" t="n">
        <v>0.2781680897078225</v>
      </c>
      <c r="G853" s="26" t="n">
        <v>297.944027604223</v>
      </c>
      <c r="H853" s="27" t="n">
        <v>0.2449685054786025</v>
      </c>
      <c r="I853" s="26" t="n">
        <v>300.0257959416496</v>
      </c>
      <c r="J853" s="27" t="n">
        <v>0.2451044378443016</v>
      </c>
      <c r="K853" s="26" t="n">
        <v>289.5576088320889</v>
      </c>
      <c r="L853" s="27" t="n">
        <v>0.2596511258113094</v>
      </c>
      <c r="M853" s="26" t="n">
        <v>281.3881056844147</v>
      </c>
      <c r="N853" s="27" t="n">
        <v>0.2864727314041352</v>
      </c>
      <c r="O853" s="26" t="n">
        <v>251.5687946939726</v>
      </c>
      <c r="P853" s="27" t="n">
        <v>0.2966663160353554</v>
      </c>
      <c r="Q853" s="26" t="n">
        <v>267.3215987298394</v>
      </c>
      <c r="R853" s="27" t="n">
        <v>0.3219758853190813</v>
      </c>
      <c r="S853" s="26" t="n">
        <v>259.0250871386465</v>
      </c>
      <c r="T853" s="27" t="n">
        <v>0.3383447962958985</v>
      </c>
      <c r="U853" s="26" t="n">
        <v>268.9574387331832</v>
      </c>
      <c r="V853" s="27" t="n">
        <v>0.3138040974552017</v>
      </c>
      <c r="W853" s="26" t="n">
        <v>270.1479975944428</v>
      </c>
      <c r="X853" s="27" t="n">
        <v>0.296884316274387</v>
      </c>
      <c r="Y853" s="26" t="n">
        <v>258.808827784669</v>
      </c>
      <c r="Z853" s="27" t="n">
        <v>0.2309791282603524</v>
      </c>
      <c r="AA853" s="26" t="n">
        <v>261.4850788289281</v>
      </c>
      <c r="AB853" s="27" t="n">
        <v>0.3297953495357364</v>
      </c>
    </row>
    <row r="854">
      <c r="A854" s="26" t="n">
        <v>275.9017278740774</v>
      </c>
      <c r="B854" s="27" t="n">
        <v>0.3044790065174299</v>
      </c>
      <c r="C854" s="26" t="n">
        <v>269.4811740682927</v>
      </c>
      <c r="D854" s="27" t="n">
        <v>0.3102083063172961</v>
      </c>
      <c r="E854" s="26" t="n">
        <v>288.7257699801473</v>
      </c>
      <c r="F854" s="27" t="n">
        <v>0.2787917856165369</v>
      </c>
      <c r="G854" s="26" t="n">
        <v>298.0307500348287</v>
      </c>
      <c r="H854" s="27" t="n">
        <v>0.2457741830290929</v>
      </c>
      <c r="I854" s="26" t="n">
        <v>300.1061803701495</v>
      </c>
      <c r="J854" s="27" t="n">
        <v>0.2459002639595176</v>
      </c>
      <c r="K854" s="26" t="n">
        <v>289.6338513264453</v>
      </c>
      <c r="L854" s="27" t="n">
        <v>0.2604429611277613</v>
      </c>
      <c r="M854" s="26" t="n">
        <v>281.4794113865005</v>
      </c>
      <c r="N854" s="27" t="n">
        <v>0.2871213467437957</v>
      </c>
      <c r="O854" s="26" t="n">
        <v>251.6931993880611</v>
      </c>
      <c r="P854" s="27" t="n">
        <v>0.2975223725466177</v>
      </c>
      <c r="Q854" s="26" t="n">
        <v>267.4156855054723</v>
      </c>
      <c r="R854" s="27" t="n">
        <v>0.3224415265525304</v>
      </c>
      <c r="S854" s="26" t="n">
        <v>259.1315107466779</v>
      </c>
      <c r="T854" s="27" t="n">
        <v>0.3387351274754957</v>
      </c>
      <c r="U854" s="26" t="n">
        <v>269.0424840276354</v>
      </c>
      <c r="V854" s="27" t="n">
        <v>0.3143464914738122</v>
      </c>
      <c r="W854" s="26" t="n">
        <v>270.2261830864956</v>
      </c>
      <c r="X854" s="27" t="n">
        <v>0.2975838860914514</v>
      </c>
      <c r="Y854" s="26" t="n">
        <v>258.9142689512759</v>
      </c>
      <c r="Z854" s="27" t="n">
        <v>0.2319614867269618</v>
      </c>
      <c r="AA854" s="26" t="n">
        <v>261.5652664906347</v>
      </c>
      <c r="AB854" s="27" t="n">
        <v>0.3302792582527618</v>
      </c>
    </row>
    <row r="855">
      <c r="A855" s="26" t="n">
        <v>276.0674895372828</v>
      </c>
      <c r="B855" s="27" t="n">
        <v>0.3049388075048218</v>
      </c>
      <c r="C855" s="26" t="n">
        <v>269.6212235821074</v>
      </c>
      <c r="D855" s="27" t="n">
        <v>0.3107207264606885</v>
      </c>
      <c r="E855" s="26" t="n">
        <v>288.8388276345041</v>
      </c>
      <c r="F855" s="27" t="n">
        <v>0.2794121855473412</v>
      </c>
      <c r="G855" s="26" t="n">
        <v>298.1174724654342</v>
      </c>
      <c r="H855" s="27" t="n">
        <v>0.2465784582311843</v>
      </c>
      <c r="I855" s="26" t="n">
        <v>300.1865647986494</v>
      </c>
      <c r="J855" s="27" t="n">
        <v>0.2466945638147789</v>
      </c>
      <c r="K855" s="26" t="n">
        <v>289.7100938208017</v>
      </c>
      <c r="L855" s="27" t="n">
        <v>0.2612327359523827</v>
      </c>
      <c r="M855" s="26" t="n">
        <v>281.5707170885863</v>
      </c>
      <c r="N855" s="27" t="n">
        <v>0.2877666113982669</v>
      </c>
      <c r="O855" s="26" t="n">
        <v>251.8176040821496</v>
      </c>
      <c r="P855" s="27" t="n">
        <v>0.2983758772205445</v>
      </c>
      <c r="Q855" s="26" t="n">
        <v>267.5097722811053</v>
      </c>
      <c r="R855" s="27" t="n">
        <v>0.3229034675011113</v>
      </c>
      <c r="S855" s="26" t="n">
        <v>259.2379343547093</v>
      </c>
      <c r="T855" s="27" t="n">
        <v>0.3391218023897985</v>
      </c>
      <c r="U855" s="26" t="n">
        <v>269.1275293220878</v>
      </c>
      <c r="V855" s="27" t="n">
        <v>0.3148851540907074</v>
      </c>
      <c r="W855" s="26" t="n">
        <v>270.3043685785483</v>
      </c>
      <c r="X855" s="27" t="n">
        <v>0.2982800647955205</v>
      </c>
      <c r="Y855" s="26" t="n">
        <v>259.0197101178828</v>
      </c>
      <c r="Z855" s="27" t="n">
        <v>0.2329469460670179</v>
      </c>
      <c r="AA855" s="26" t="n">
        <v>261.6454541523412</v>
      </c>
      <c r="AB855" s="27" t="n">
        <v>0.33075943189877</v>
      </c>
    </row>
    <row r="856">
      <c r="A856" s="26" t="n">
        <v>276.2332512004881</v>
      </c>
      <c r="B856" s="27" t="n">
        <v>0.3053947421644495</v>
      </c>
      <c r="C856" s="26" t="n">
        <v>269.7612730959222</v>
      </c>
      <c r="D856" s="27" t="n">
        <v>0.3112292360314508</v>
      </c>
      <c r="E856" s="26" t="n">
        <v>288.9518852888608</v>
      </c>
      <c r="F856" s="27" t="n">
        <v>0.2800292507279905</v>
      </c>
      <c r="G856" s="26" t="n">
        <v>298.2041948960398</v>
      </c>
      <c r="H856" s="27" t="n">
        <v>0.2473812688810703</v>
      </c>
      <c r="I856" s="26" t="n">
        <v>300.2669492271494</v>
      </c>
      <c r="J856" s="27" t="n">
        <v>0.2474872763048623</v>
      </c>
      <c r="K856" s="26" t="n">
        <v>289.786336315158</v>
      </c>
      <c r="L856" s="27" t="n">
        <v>0.2620203905524875</v>
      </c>
      <c r="M856" s="26" t="n">
        <v>281.6620227906722</v>
      </c>
      <c r="N856" s="27" t="n">
        <v>0.2884084864339614</v>
      </c>
      <c r="O856" s="26" t="n">
        <v>251.9420087762382</v>
      </c>
      <c r="P856" s="27" t="n">
        <v>0.2992267618291498</v>
      </c>
      <c r="Q856" s="26" t="n">
        <v>267.6038590567382</v>
      </c>
      <c r="R856" s="27" t="n">
        <v>0.3233616963038791</v>
      </c>
      <c r="S856" s="26" t="n">
        <v>259.3443579627407</v>
      </c>
      <c r="T856" s="27" t="n">
        <v>0.3395048168473967</v>
      </c>
      <c r="U856" s="26" t="n">
        <v>269.21257461654</v>
      </c>
      <c r="V856" s="27" t="n">
        <v>0.3154200646366629</v>
      </c>
      <c r="W856" s="26" t="n">
        <v>270.3825540706011</v>
      </c>
      <c r="X856" s="27" t="n">
        <v>0.2989728093408296</v>
      </c>
      <c r="Y856" s="26" t="n">
        <v>259.1251512844897</v>
      </c>
      <c r="Z856" s="27" t="n">
        <v>0.2339354831056652</v>
      </c>
      <c r="AA856" s="26" t="n">
        <v>261.7256418140479</v>
      </c>
      <c r="AB856" s="27" t="n">
        <v>0.3312358586101721</v>
      </c>
    </row>
    <row r="857">
      <c r="A857" s="26" t="n">
        <v>276.3990128636933</v>
      </c>
      <c r="B857" s="27" t="n">
        <v>0.3058467913235538</v>
      </c>
      <c r="C857" s="26" t="n">
        <v>269.901322609737</v>
      </c>
      <c r="D857" s="27" t="n">
        <v>0.3117338121303307</v>
      </c>
      <c r="E857" s="26" t="n">
        <v>289.0649429432175</v>
      </c>
      <c r="F857" s="27" t="n">
        <v>0.2806429426232405</v>
      </c>
      <c r="G857" s="26" t="n">
        <v>298.2909173266453</v>
      </c>
      <c r="H857" s="27" t="n">
        <v>0.248182552316672</v>
      </c>
      <c r="I857" s="26" t="n">
        <v>300.3473336556493</v>
      </c>
      <c r="J857" s="27" t="n">
        <v>0.2482783399266243</v>
      </c>
      <c r="K857" s="26" t="n">
        <v>289.8625788095144</v>
      </c>
      <c r="L857" s="27" t="n">
        <v>0.2628058649706946</v>
      </c>
      <c r="M857" s="26" t="n">
        <v>281.753328492758</v>
      </c>
      <c r="N857" s="27" t="n">
        <v>0.2890469331686776</v>
      </c>
      <c r="O857" s="26" t="n">
        <v>252.0664134703267</v>
      </c>
      <c r="P857" s="27" t="n">
        <v>0.3000749578768162</v>
      </c>
      <c r="Q857" s="26" t="n">
        <v>267.6979458323711</v>
      </c>
      <c r="R857" s="27" t="n">
        <v>0.323816201453559</v>
      </c>
      <c r="S857" s="26" t="n">
        <v>259.4507815707721</v>
      </c>
      <c r="T857" s="27" t="n">
        <v>0.3398841669741519</v>
      </c>
      <c r="U857" s="26" t="n">
        <v>269.2976199109924</v>
      </c>
      <c r="V857" s="27" t="n">
        <v>0.3159512028098205</v>
      </c>
      <c r="W857" s="26" t="n">
        <v>270.460739562654</v>
      </c>
      <c r="X857" s="27" t="n">
        <v>0.2996620769142246</v>
      </c>
      <c r="Y857" s="26" t="n">
        <v>259.2305924510966</v>
      </c>
      <c r="Z857" s="27" t="n">
        <v>0.2349270735468776</v>
      </c>
      <c r="AA857" s="26" t="n">
        <v>261.8058294757545</v>
      </c>
      <c r="AB857" s="27" t="n">
        <v>0.3317085268799446</v>
      </c>
    </row>
    <row r="858">
      <c r="A858" s="26" t="n">
        <v>276.5647745268986</v>
      </c>
      <c r="B858" s="27" t="n">
        <v>0.306294936187581</v>
      </c>
      <c r="C858" s="26" t="n">
        <v>270.0413721235518</v>
      </c>
      <c r="D858" s="27" t="n">
        <v>0.3122344322389143</v>
      </c>
      <c r="E858" s="26" t="n">
        <v>289.1780005975743</v>
      </c>
      <c r="F858" s="27" t="n">
        <v>0.2812532229448247</v>
      </c>
      <c r="G858" s="26" t="n">
        <v>298.3776397572509</v>
      </c>
      <c r="H858" s="27" t="n">
        <v>0.2489822454271345</v>
      </c>
      <c r="I858" s="26" t="n">
        <v>300.4277180841493</v>
      </c>
      <c r="J858" s="27" t="n">
        <v>0.249067692789179</v>
      </c>
      <c r="K858" s="26" t="n">
        <v>289.9388213038708</v>
      </c>
      <c r="L858" s="27" t="n">
        <v>0.2635890990370315</v>
      </c>
      <c r="M858" s="26" t="n">
        <v>281.8446341948438</v>
      </c>
      <c r="N858" s="27" t="n">
        <v>0.2896819131815433</v>
      </c>
      <c r="O858" s="26" t="n">
        <v>252.1908181644153</v>
      </c>
      <c r="P858" s="27" t="n">
        <v>0.3009203966139994</v>
      </c>
      <c r="Q858" s="26" t="n">
        <v>267.7920326080041</v>
      </c>
      <c r="R858" s="27" t="n">
        <v>0.3242669717990542</v>
      </c>
      <c r="S858" s="26" t="n">
        <v>259.5572051788034</v>
      </c>
      <c r="T858" s="27" t="n">
        <v>0.3402598492138694</v>
      </c>
      <c r="U858" s="26" t="n">
        <v>269.3826652054446</v>
      </c>
      <c r="V858" s="27" t="n">
        <v>0.3164785486805591</v>
      </c>
      <c r="W858" s="26" t="n">
        <v>270.5389250547069</v>
      </c>
      <c r="X858" s="27" t="n">
        <v>0.3003478249460858</v>
      </c>
      <c r="Y858" s="26" t="n">
        <v>259.3360336177035</v>
      </c>
      <c r="Z858" s="27" t="n">
        <v>0.235921691942988</v>
      </c>
      <c r="AA858" s="26" t="n">
        <v>261.8860171374611</v>
      </c>
      <c r="AB858" s="27" t="n">
        <v>0.3321774255600635</v>
      </c>
    </row>
    <row r="859">
      <c r="A859" s="26" t="n">
        <v>276.730536190104</v>
      </c>
      <c r="B859" s="27" t="n">
        <v>0.306739158345127</v>
      </c>
      <c r="C859" s="26" t="n">
        <v>270.1814216373665</v>
      </c>
      <c r="D859" s="27" t="n">
        <v>0.312731074225497</v>
      </c>
      <c r="E859" s="26" t="n">
        <v>289.291058251931</v>
      </c>
      <c r="F859" s="27" t="n">
        <v>0.281860053661488</v>
      </c>
      <c r="G859" s="26" t="n">
        <v>298.4643621878565</v>
      </c>
      <c r="H859" s="27" t="n">
        <v>0.2497802846627308</v>
      </c>
      <c r="I859" s="26" t="n">
        <v>300.5081025126492</v>
      </c>
      <c r="J859" s="27" t="n">
        <v>0.2498552726244426</v>
      </c>
      <c r="K859" s="26" t="n">
        <v>290.0150637982271</v>
      </c>
      <c r="L859" s="27" t="n">
        <v>0.2643700323813635</v>
      </c>
      <c r="M859" s="26" t="n">
        <v>281.9359398969297</v>
      </c>
      <c r="N859" s="27" t="n">
        <v>0.2903133883230077</v>
      </c>
      <c r="O859" s="26" t="n">
        <v>252.3152228585038</v>
      </c>
      <c r="P859" s="27" t="n">
        <v>0.3017630090513142</v>
      </c>
      <c r="Q859" s="26" t="n">
        <v>267.886119383637</v>
      </c>
      <c r="R859" s="27" t="n">
        <v>0.3247139965478889</v>
      </c>
      <c r="S859" s="26" t="n">
        <v>259.6636287868348</v>
      </c>
      <c r="T859" s="27" t="n">
        <v>0.3406318603289136</v>
      </c>
      <c r="U859" s="26" t="n">
        <v>269.467710499897</v>
      </c>
      <c r="V859" s="27" t="n">
        <v>0.3170020826963135</v>
      </c>
      <c r="W859" s="26" t="n">
        <v>270.6171105467596</v>
      </c>
      <c r="X859" s="27" t="n">
        <v>0.3010300111213156</v>
      </c>
      <c r="Y859" s="26" t="n">
        <v>259.4414747843105</v>
      </c>
      <c r="Z859" s="27" t="n">
        <v>0.2369193116635818</v>
      </c>
      <c r="AA859" s="26" t="n">
        <v>261.9662047991677</v>
      </c>
      <c r="AB859" s="27" t="n">
        <v>0.3326425438638787</v>
      </c>
    </row>
    <row r="860">
      <c r="A860" s="26" t="n">
        <v>276.8962978533093</v>
      </c>
      <c r="B860" s="27" t="n">
        <v>0.3071794397728296</v>
      </c>
      <c r="C860" s="26" t="n">
        <v>270.3214711511813</v>
      </c>
      <c r="D860" s="27" t="n">
        <v>0.3132237163509089</v>
      </c>
      <c r="E860" s="26" t="n">
        <v>289.4041159062878</v>
      </c>
      <c r="F860" s="27" t="n">
        <v>0.2824633970090582</v>
      </c>
      <c r="G860" s="26" t="n">
        <v>298.551084618462</v>
      </c>
      <c r="H860" s="27" t="n">
        <v>0.2505766060451705</v>
      </c>
      <c r="I860" s="26" t="n">
        <v>300.5884869411491</v>
      </c>
      <c r="J860" s="27" t="n">
        <v>0.2506410167980788</v>
      </c>
      <c r="K860" s="26" t="n">
        <v>290.0913062925835</v>
      </c>
      <c r="L860" s="27" t="n">
        <v>0.265148604446133</v>
      </c>
      <c r="M860" s="26" t="n">
        <v>282.0272455990155</v>
      </c>
      <c r="N860" s="27" t="n">
        <v>0.2909413207248605</v>
      </c>
      <c r="O860" s="26" t="n">
        <v>252.4396275525924</v>
      </c>
      <c r="P860" s="27" t="n">
        <v>0.3026027259739994</v>
      </c>
      <c r="Q860" s="26" t="n">
        <v>267.98020615927</v>
      </c>
      <c r="R860" s="27" t="n">
        <v>0.3251572652685859</v>
      </c>
      <c r="S860" s="26" t="n">
        <v>259.7700523948662</v>
      </c>
      <c r="T860" s="27" t="n">
        <v>0.3410001974007625</v>
      </c>
      <c r="U860" s="26" t="n">
        <v>269.5527557943492</v>
      </c>
      <c r="V860" s="27" t="n">
        <v>0.3175217856863315</v>
      </c>
      <c r="W860" s="26" t="n">
        <v>270.6952960388124</v>
      </c>
      <c r="X860" s="27" t="n">
        <v>0.3017085933903773</v>
      </c>
      <c r="Y860" s="26" t="n">
        <v>259.5469159509173</v>
      </c>
      <c r="Z860" s="27" t="n">
        <v>0.2379199048637498</v>
      </c>
      <c r="AA860" s="26" t="n">
        <v>262.0463924608743</v>
      </c>
      <c r="AB860" s="27" t="n">
        <v>0.3331038713684183</v>
      </c>
    </row>
    <row r="861">
      <c r="A861" s="26" t="n">
        <v>277.0620595165146</v>
      </c>
      <c r="B861" s="27" t="n">
        <v>0.3076157628402005</v>
      </c>
      <c r="C861" s="26" t="n">
        <v>270.4615206649961</v>
      </c>
      <c r="D861" s="27" t="n">
        <v>0.3137123372742833</v>
      </c>
      <c r="E861" s="26" t="n">
        <v>289.5171735606444</v>
      </c>
      <c r="F861" s="27" t="n">
        <v>0.2830632155005677</v>
      </c>
      <c r="G861" s="26" t="n">
        <v>298.6378070490676</v>
      </c>
      <c r="H861" s="27" t="n">
        <v>0.251371145178327</v>
      </c>
      <c r="I861" s="26" t="n">
        <v>300.6688713696491</v>
      </c>
      <c r="J861" s="27" t="n">
        <v>0.2514248623208212</v>
      </c>
      <c r="K861" s="26" t="n">
        <v>290.1675487869398</v>
      </c>
      <c r="L861" s="27" t="n">
        <v>0.2659247544994253</v>
      </c>
      <c r="M861" s="26" t="n">
        <v>282.1185513011014</v>
      </c>
      <c r="N861" s="27" t="n">
        <v>0.2915656728102951</v>
      </c>
      <c r="O861" s="26" t="n">
        <v>252.5640322466809</v>
      </c>
      <c r="P861" s="27" t="n">
        <v>0.3034394779567642</v>
      </c>
      <c r="Q861" s="26" t="n">
        <v>268.0742929349029</v>
      </c>
      <c r="R861" s="27" t="n">
        <v>0.3255967678929793</v>
      </c>
      <c r="S861" s="26" t="n">
        <v>259.8764760028976</v>
      </c>
      <c r="T861" s="27" t="n">
        <v>0.3413648578305047</v>
      </c>
      <c r="U861" s="26" t="n">
        <v>269.6378010888016</v>
      </c>
      <c r="V861" s="27" t="n">
        <v>0.3180376388663761</v>
      </c>
      <c r="W861" s="26" t="n">
        <v>270.7734815308652</v>
      </c>
      <c r="X861" s="27" t="n">
        <v>0.3023835299803998</v>
      </c>
      <c r="Y861" s="26" t="n">
        <v>259.6523571175243</v>
      </c>
      <c r="Z861" s="27" t="n">
        <v>0.238923442451699</v>
      </c>
      <c r="AA861" s="26" t="n">
        <v>262.1265801225809</v>
      </c>
      <c r="AB861" s="27" t="n">
        <v>0.3335613980166284</v>
      </c>
    </row>
    <row r="862">
      <c r="A862" s="26" t="n">
        <v>277.2278211797199</v>
      </c>
      <c r="B862" s="27" t="n">
        <v>0.3080481103143979</v>
      </c>
      <c r="C862" s="26" t="n">
        <v>270.6015701788109</v>
      </c>
      <c r="D862" s="27" t="n">
        <v>0.3141969160587734</v>
      </c>
      <c r="E862" s="26" t="n">
        <v>289.6302312150011</v>
      </c>
      <c r="F862" s="27" t="n">
        <v>0.2836594719364144</v>
      </c>
      <c r="G862" s="26" t="n">
        <v>298.7245294796732</v>
      </c>
      <c r="H862" s="27" t="n">
        <v>0.2521638372593842</v>
      </c>
      <c r="I862" s="26" t="n">
        <v>300.749255798149</v>
      </c>
      <c r="J862" s="27" t="n">
        <v>0.2522067458602043</v>
      </c>
      <c r="K862" s="26" t="n">
        <v>290.2437912812961</v>
      </c>
      <c r="L862" s="27" t="n">
        <v>0.2666984216483509</v>
      </c>
      <c r="M862" s="26" t="n">
        <v>282.2098570031872</v>
      </c>
      <c r="N862" s="27" t="n">
        <v>0.2921864073040005</v>
      </c>
      <c r="O862" s="26" t="n">
        <v>252.6884369407695</v>
      </c>
      <c r="P862" s="27" t="n">
        <v>0.3042731953790181</v>
      </c>
      <c r="Q862" s="26" t="n">
        <v>268.1683797105359</v>
      </c>
      <c r="R862" s="27" t="n">
        <v>0.3260324947184571</v>
      </c>
      <c r="S862" s="26" t="n">
        <v>259.9828996109289</v>
      </c>
      <c r="T862" s="27" t="n">
        <v>0.3417258393392767</v>
      </c>
      <c r="U862" s="26" t="n">
        <v>269.7228463832539</v>
      </c>
      <c r="V862" s="27" t="n">
        <v>0.3185496238433628</v>
      </c>
      <c r="W862" s="26" t="n">
        <v>270.851667022918</v>
      </c>
      <c r="X862" s="27" t="n">
        <v>0.3030547794063256</v>
      </c>
      <c r="Y862" s="26" t="n">
        <v>259.7577982841311</v>
      </c>
      <c r="Z862" s="27" t="n">
        <v>0.2399298940557144</v>
      </c>
      <c r="AA862" s="26" t="n">
        <v>262.2067677842874</v>
      </c>
      <c r="AB862" s="27" t="n">
        <v>0.3340151141195416</v>
      </c>
    </row>
    <row r="863">
      <c r="A863" s="26" t="n">
        <v>277.3935828429252</v>
      </c>
      <c r="B863" s="27" t="n">
        <v>0.3084764653649329</v>
      </c>
      <c r="C863" s="26" t="n">
        <v>270.7416196926256</v>
      </c>
      <c r="D863" s="27" t="n">
        <v>0.314677432177213</v>
      </c>
      <c r="E863" s="26" t="n">
        <v>289.7432888693579</v>
      </c>
      <c r="F863" s="27" t="n">
        <v>0.2842521294145518</v>
      </c>
      <c r="G863" s="26" t="n">
        <v>298.8112519102788</v>
      </c>
      <c r="H863" s="27" t="n">
        <v>0.2529546170904076</v>
      </c>
      <c r="I863" s="26" t="n">
        <v>300.829640226649</v>
      </c>
      <c r="J863" s="27" t="n">
        <v>0.252986603752678</v>
      </c>
      <c r="K863" s="26" t="n">
        <v>290.3200337756525</v>
      </c>
      <c r="L863" s="27" t="n">
        <v>0.2674695448527554</v>
      </c>
      <c r="M863" s="26" t="n">
        <v>282.3011627052731</v>
      </c>
      <c r="N863" s="27" t="n">
        <v>0.2928034872422817</v>
      </c>
      <c r="O863" s="26" t="n">
        <v>252.812841634858</v>
      </c>
      <c r="P863" s="27" t="n">
        <v>0.3051038084404868</v>
      </c>
      <c r="Q863" s="26" t="n">
        <v>268.2624664861689</v>
      </c>
      <c r="R863" s="27" t="n">
        <v>0.3264644364101376</v>
      </c>
      <c r="S863" s="26" t="n">
        <v>260.0893232189603</v>
      </c>
      <c r="T863" s="27" t="n">
        <v>0.3420831399686405</v>
      </c>
      <c r="U863" s="26" t="n">
        <v>269.8078916777062</v>
      </c>
      <c r="V863" s="27" t="n">
        <v>0.3190577226199365</v>
      </c>
      <c r="W863" s="26" t="n">
        <v>270.9298525149708</v>
      </c>
      <c r="X863" s="27" t="n">
        <v>0.3037223004821196</v>
      </c>
      <c r="Y863" s="26" t="n">
        <v>259.8632394507381</v>
      </c>
      <c r="Z863" s="27" t="n">
        <v>0.2409392279904713</v>
      </c>
      <c r="AA863" s="26" t="n">
        <v>262.2869554459941</v>
      </c>
      <c r="AB863" s="27" t="n">
        <v>0.3344650103583799</v>
      </c>
    </row>
    <row r="864">
      <c r="A864" s="26" t="n">
        <v>277.5593445061305</v>
      </c>
      <c r="B864" s="27" t="n">
        <v>0.3089008115683169</v>
      </c>
      <c r="C864" s="26" t="n">
        <v>270.8816692064404</v>
      </c>
      <c r="D864" s="27" t="n">
        <v>0.3151538655177143</v>
      </c>
      <c r="E864" s="26" t="n">
        <v>289.8563465237146</v>
      </c>
      <c r="F864" s="27" t="n">
        <v>0.2848411513407205</v>
      </c>
      <c r="G864" s="26" t="n">
        <v>298.8979743408843</v>
      </c>
      <c r="H864" s="27" t="n">
        <v>0.2537434190903518</v>
      </c>
      <c r="I864" s="26" t="n">
        <v>300.9100246551489</v>
      </c>
      <c r="J864" s="27" t="n">
        <v>0.253764372016142</v>
      </c>
      <c r="K864" s="26" t="n">
        <v>290.3962762700088</v>
      </c>
      <c r="L864" s="27" t="n">
        <v>0.2682380629392461</v>
      </c>
      <c r="M864" s="26" t="n">
        <v>282.3924684073589</v>
      </c>
      <c r="N864" s="27" t="n">
        <v>0.2934168759832029</v>
      </c>
      <c r="O864" s="26" t="n">
        <v>252.9372463289466</v>
      </c>
      <c r="P864" s="27" t="n">
        <v>0.3059312471772106</v>
      </c>
      <c r="Q864" s="26" t="n">
        <v>268.3565532618018</v>
      </c>
      <c r="R864" s="27" t="n">
        <v>0.3268925840029754</v>
      </c>
      <c r="S864" s="26" t="n">
        <v>260.1957468269916</v>
      </c>
      <c r="T864" s="27" t="n">
        <v>0.3424367580808991</v>
      </c>
      <c r="U864" s="26" t="n">
        <v>269.8929369721585</v>
      </c>
      <c r="V864" s="27" t="n">
        <v>0.3195619175989802</v>
      </c>
      <c r="W864" s="26" t="n">
        <v>271.0080380070236</v>
      </c>
      <c r="X864" s="27" t="n">
        <v>0.3043860523320088</v>
      </c>
      <c r="Y864" s="26" t="n">
        <v>259.9686806173449</v>
      </c>
      <c r="Z864" s="27" t="n">
        <v>0.2419514112226976</v>
      </c>
      <c r="AA864" s="26" t="n">
        <v>262.3671431077007</v>
      </c>
      <c r="AB864" s="27" t="n">
        <v>0.3349110777865864</v>
      </c>
    </row>
    <row r="865">
      <c r="A865" s="26" t="n">
        <v>277.7251061693358</v>
      </c>
      <c r="B865" s="27" t="n">
        <v>0.3093211329126342</v>
      </c>
      <c r="C865" s="26" t="n">
        <v>271.0217187202552</v>
      </c>
      <c r="D865" s="27" t="n">
        <v>0.3156261963892038</v>
      </c>
      <c r="E865" s="26" t="n">
        <v>289.9694041780714</v>
      </c>
      <c r="F865" s="27" t="n">
        <v>0.2854265014387001</v>
      </c>
      <c r="G865" s="26" t="n">
        <v>298.9846967714899</v>
      </c>
      <c r="H865" s="27" t="n">
        <v>0.2545301773074936</v>
      </c>
      <c r="I865" s="26" t="n">
        <v>300.9904090836488</v>
      </c>
      <c r="J865" s="27" t="n">
        <v>0.2545399863628678</v>
      </c>
      <c r="K865" s="26" t="n">
        <v>290.4725187643652</v>
      </c>
      <c r="L865" s="27" t="n">
        <v>0.2690039146155441</v>
      </c>
      <c r="M865" s="26" t="n">
        <v>282.4837741094447</v>
      </c>
      <c r="N865" s="27" t="n">
        <v>0.2940265372167499</v>
      </c>
      <c r="O865" s="26" t="n">
        <v>253.0616510230351</v>
      </c>
      <c r="P865" s="27" t="n">
        <v>0.3067554414779332</v>
      </c>
      <c r="Q865" s="26" t="n">
        <v>268.4506400374348</v>
      </c>
      <c r="R865" s="27" t="n">
        <v>0.3273169289037947</v>
      </c>
      <c r="S865" s="26" t="n">
        <v>260.302170435023</v>
      </c>
      <c r="T865" s="27" t="n">
        <v>0.3427866923593539</v>
      </c>
      <c r="U865" s="26" t="n">
        <v>269.9779822666108</v>
      </c>
      <c r="V865" s="27" t="n">
        <v>0.3200621915880572</v>
      </c>
      <c r="W865" s="26" t="n">
        <v>271.0862234990764</v>
      </c>
      <c r="X865" s="27" t="n">
        <v>0.3050459944017718</v>
      </c>
      <c r="Y865" s="26" t="n">
        <v>260.0741217839519</v>
      </c>
      <c r="Z865" s="27" t="n">
        <v>0.242966409336183</v>
      </c>
      <c r="AA865" s="26" t="n">
        <v>262.4473307694072</v>
      </c>
      <c r="AB865" s="27" t="n">
        <v>0.3353533078317813</v>
      </c>
    </row>
    <row r="866">
      <c r="A866" s="26" t="n">
        <v>277.8908678325412</v>
      </c>
      <c r="B866" s="27" t="n">
        <v>0.309737413802051</v>
      </c>
      <c r="C866" s="26" t="n">
        <v>271.16176823407</v>
      </c>
      <c r="D866" s="27" t="n">
        <v>0.3160944055268957</v>
      </c>
      <c r="E866" s="26" t="n">
        <v>290.0824618324281</v>
      </c>
      <c r="F866" s="27" t="n">
        <v>0.2860081437605957</v>
      </c>
      <c r="G866" s="26" t="n">
        <v>299.0714192020955</v>
      </c>
      <c r="H866" s="27" t="n">
        <v>0.2553148254323166</v>
      </c>
      <c r="I866" s="26" t="n">
        <v>301.0707935121488</v>
      </c>
      <c r="J866" s="27" t="n">
        <v>0.2553133822128491</v>
      </c>
      <c r="K866" s="26" t="n">
        <v>290.5487612587216</v>
      </c>
      <c r="L866" s="27" t="n">
        <v>0.2697670384851561</v>
      </c>
      <c r="M866" s="26" t="n">
        <v>282.5750798115305</v>
      </c>
      <c r="N866" s="27" t="n">
        <v>0.2946324349750135</v>
      </c>
      <c r="O866" s="26" t="n">
        <v>253.1860557171236</v>
      </c>
      <c r="P866" s="27" t="n">
        <v>0.3075763211008762</v>
      </c>
      <c r="Q866" s="26" t="n">
        <v>268.5447268130677</v>
      </c>
      <c r="R866" s="27" t="n">
        <v>0.3277374628932542</v>
      </c>
      <c r="S866" s="26" t="n">
        <v>260.4085940430544</v>
      </c>
      <c r="T866" s="27" t="n">
        <v>0.343132941808501</v>
      </c>
      <c r="U866" s="26" t="n">
        <v>270.0630275610631</v>
      </c>
      <c r="V866" s="27" t="n">
        <v>0.3205585278037835</v>
      </c>
      <c r="W866" s="26" t="n">
        <v>271.1644089911292</v>
      </c>
      <c r="X866" s="27" t="n">
        <v>0.3057020864700637</v>
      </c>
      <c r="Y866" s="26" t="n">
        <v>260.1795629505588</v>
      </c>
      <c r="Z866" s="27" t="n">
        <v>0.2439841864961351</v>
      </c>
      <c r="AA866" s="26" t="n">
        <v>262.5275184311139</v>
      </c>
      <c r="AB866" s="27" t="n">
        <v>0.3357916922976534</v>
      </c>
    </row>
    <row r="867">
      <c r="A867" s="26" t="n">
        <v>278.0566294957465</v>
      </c>
      <c r="B867" s="27" t="n">
        <v>0.3101496390612494</v>
      </c>
      <c r="C867" s="26" t="n">
        <v>271.3018177478848</v>
      </c>
      <c r="D867" s="27" t="n">
        <v>0.3165584740976938</v>
      </c>
      <c r="E867" s="26" t="n">
        <v>290.1955194867847</v>
      </c>
      <c r="F867" s="27" t="n">
        <v>0.2865860426971367</v>
      </c>
      <c r="G867" s="26" t="n">
        <v>299.158141632701</v>
      </c>
      <c r="H867" s="27" t="n">
        <v>0.2560972968108346</v>
      </c>
      <c r="I867" s="26" t="n">
        <v>301.1511779406487</v>
      </c>
      <c r="J867" s="27" t="n">
        <v>0.2560844947075455</v>
      </c>
      <c r="K867" s="26" t="n">
        <v>290.6250037530779</v>
      </c>
      <c r="L867" s="27" t="n">
        <v>0.2705273730623731</v>
      </c>
      <c r="M867" s="26" t="n">
        <v>282.6663855136164</v>
      </c>
      <c r="N867" s="27" t="n">
        <v>0.2952345336423817</v>
      </c>
      <c r="O867" s="26" t="n">
        <v>253.3104604112122</v>
      </c>
      <c r="P867" s="27" t="n">
        <v>0.3083938156908995</v>
      </c>
      <c r="Q867" s="26" t="n">
        <v>268.6388135887007</v>
      </c>
      <c r="R867" s="27" t="n">
        <v>0.3281541781277345</v>
      </c>
      <c r="S867" s="26" t="n">
        <v>260.5150176510858</v>
      </c>
      <c r="T867" s="27" t="n">
        <v>0.3434755057541635</v>
      </c>
      <c r="U867" s="26" t="n">
        <v>270.1480728555154</v>
      </c>
      <c r="V867" s="27" t="n">
        <v>0.3210509098761287</v>
      </c>
      <c r="W867" s="26" t="n">
        <v>271.242594483182</v>
      </c>
      <c r="X867" s="27" t="n">
        <v>0.3063542886597704</v>
      </c>
      <c r="Y867" s="26" t="n">
        <v>260.2850041171657</v>
      </c>
      <c r="Z867" s="27" t="n">
        <v>0.2450047054128857</v>
      </c>
      <c r="AA867" s="26" t="n">
        <v>262.6077060928205</v>
      </c>
      <c r="AB867" s="27" t="n">
        <v>0.336226223365772</v>
      </c>
    </row>
    <row r="868">
      <c r="A868" s="26" t="n">
        <v>278.2223911589517</v>
      </c>
      <c r="B868" s="27" t="n">
        <v>0.3105577939397893</v>
      </c>
      <c r="C868" s="26" t="n">
        <v>271.4418672616995</v>
      </c>
      <c r="D868" s="27" t="n">
        <v>0.3170183837055285</v>
      </c>
      <c r="E868" s="26" t="n">
        <v>290.3085771411415</v>
      </c>
      <c r="F868" s="27" t="n">
        <v>0.2871601629879934</v>
      </c>
      <c r="G868" s="26" t="n">
        <v>299.2448640633066</v>
      </c>
      <c r="H868" s="27" t="n">
        <v>0.2568775244583641</v>
      </c>
      <c r="I868" s="26" t="n">
        <v>301.2315623691487</v>
      </c>
      <c r="J868" s="27" t="n">
        <v>0.256853258724062</v>
      </c>
      <c r="K868" s="26" t="n">
        <v>290.7012462474343</v>
      </c>
      <c r="L868" s="27" t="n">
        <v>0.2712848567875862</v>
      </c>
      <c r="M868" s="26" t="n">
        <v>282.7576912157022</v>
      </c>
      <c r="N868" s="27" t="n">
        <v>0.2958327979657405</v>
      </c>
      <c r="O868" s="26" t="n">
        <v>253.4348651053007</v>
      </c>
      <c r="P868" s="27" t="n">
        <v>0.309207854797053</v>
      </c>
      <c r="Q868" s="26" t="n">
        <v>268.7329003643337</v>
      </c>
      <c r="R868" s="27" t="n">
        <v>0.3285670671411565</v>
      </c>
      <c r="S868" s="26" t="n">
        <v>260.6214412591171</v>
      </c>
      <c r="T868" s="27" t="n">
        <v>0.3438143838435654</v>
      </c>
      <c r="U868" s="26" t="n">
        <v>270.2331181499677</v>
      </c>
      <c r="V868" s="27" t="n">
        <v>0.3215393218526415</v>
      </c>
      <c r="W868" s="26" t="n">
        <v>271.3207799752348</v>
      </c>
      <c r="X868" s="27" t="n">
        <v>0.3070025614493928</v>
      </c>
      <c r="Y868" s="26" t="n">
        <v>260.3904452837726</v>
      </c>
      <c r="Z868" s="27" t="n">
        <v>0.2460279273049453</v>
      </c>
      <c r="AA868" s="26" t="n">
        <v>262.6878937545271</v>
      </c>
      <c r="AB868" s="27" t="n">
        <v>0.3366568935973249</v>
      </c>
    </row>
    <row r="869">
      <c r="A869" s="26" t="n">
        <v>278.3881528221571</v>
      </c>
      <c r="B869" s="27" t="n">
        <v>0.3109618641163916</v>
      </c>
      <c r="C869" s="26" t="n">
        <v>271.5819167755143</v>
      </c>
      <c r="D869" s="27" t="n">
        <v>0.317474116396613</v>
      </c>
      <c r="E869" s="26" t="n">
        <v>290.4216347954982</v>
      </c>
      <c r="F869" s="27" t="n">
        <v>0.2877304697321117</v>
      </c>
      <c r="G869" s="26" t="n">
        <v>299.3315864939122</v>
      </c>
      <c r="H869" s="27" t="n">
        <v>0.2576554410737542</v>
      </c>
      <c r="I869" s="26" t="n">
        <v>301.3119467976486</v>
      </c>
      <c r="J869" s="27" t="n">
        <v>0.2576196088897272</v>
      </c>
      <c r="K869" s="26" t="n">
        <v>290.7774887417906</v>
      </c>
      <c r="L869" s="27" t="n">
        <v>0.2720394280429239</v>
      </c>
      <c r="M869" s="26" t="n">
        <v>282.848996917788</v>
      </c>
      <c r="N869" s="27" t="n">
        <v>0.2964271930646825</v>
      </c>
      <c r="O869" s="26" t="n">
        <v>253.5592697993893</v>
      </c>
      <c r="P869" s="27" t="n">
        <v>0.3100183678905124</v>
      </c>
      <c r="Q869" s="26" t="n">
        <v>268.8269871399665</v>
      </c>
      <c r="R869" s="27" t="n">
        <v>0.3289761228467192</v>
      </c>
      <c r="S869" s="26" t="n">
        <v>260.7278648671485</v>
      </c>
      <c r="T869" s="27" t="n">
        <v>0.3441495760453424</v>
      </c>
      <c r="U869" s="26" t="n">
        <v>270.31816344442</v>
      </c>
      <c r="V869" s="27" t="n">
        <v>0.3220237482026009</v>
      </c>
      <c r="W869" s="26" t="n">
        <v>271.3989654672876</v>
      </c>
      <c r="X869" s="27" t="n">
        <v>0.3076468656844565</v>
      </c>
      <c r="Y869" s="26" t="n">
        <v>260.4958864503795</v>
      </c>
      <c r="Z869" s="27" t="n">
        <v>0.2470538118614128</v>
      </c>
      <c r="AA869" s="26" t="n">
        <v>262.7680814162336</v>
      </c>
      <c r="AB869" s="27" t="n">
        <v>0.3370836959347844</v>
      </c>
    </row>
    <row r="870">
      <c r="A870" s="26" t="n">
        <v>278.5539144853624</v>
      </c>
      <c r="B870" s="27" t="n">
        <v>0.3113618357031452</v>
      </c>
      <c r="C870" s="26" t="n">
        <v>271.7219662893291</v>
      </c>
      <c r="D870" s="27" t="n">
        <v>0.3179256546646329</v>
      </c>
      <c r="E870" s="26" t="n">
        <v>290.534692449855</v>
      </c>
      <c r="F870" s="27" t="n">
        <v>0.2882969283980534</v>
      </c>
      <c r="G870" s="26" t="n">
        <v>299.4183089245178</v>
      </c>
      <c r="H870" s="27" t="n">
        <v>0.2584309790540683</v>
      </c>
      <c r="I870" s="26" t="n">
        <v>301.3923312261485</v>
      </c>
      <c r="J870" s="27" t="n">
        <v>0.2583834795971111</v>
      </c>
      <c r="K870" s="26" t="n">
        <v>290.8537312361469</v>
      </c>
      <c r="L870" s="27" t="n">
        <v>0.272791025168213</v>
      </c>
      <c r="M870" s="26" t="n">
        <v>282.9403026198739</v>
      </c>
      <c r="N870" s="27" t="n">
        <v>0.2970176844417082</v>
      </c>
      <c r="O870" s="26" t="n">
        <v>253.6836744934778</v>
      </c>
      <c r="P870" s="27" t="n">
        <v>0.3108252843829038</v>
      </c>
      <c r="Q870" s="26" t="n">
        <v>268.9210739155995</v>
      </c>
      <c r="R870" s="27" t="n">
        <v>0.3293813385385669</v>
      </c>
      <c r="S870" s="26" t="n">
        <v>260.8342884751799</v>
      </c>
      <c r="T870" s="27" t="n">
        <v>0.34448108264949</v>
      </c>
      <c r="U870" s="26" t="n">
        <v>270.4032087388723</v>
      </c>
      <c r="V870" s="27" t="n">
        <v>0.3225041738210879</v>
      </c>
      <c r="W870" s="26" t="n">
        <v>271.4771509593404</v>
      </c>
      <c r="X870" s="27" t="n">
        <v>0.3082871625889377</v>
      </c>
      <c r="Y870" s="26" t="n">
        <v>260.6013276169864</v>
      </c>
      <c r="Z870" s="27" t="n">
        <v>0.248082317203742</v>
      </c>
      <c r="AA870" s="26" t="n">
        <v>262.8482690779402</v>
      </c>
      <c r="AB870" s="27" t="n">
        <v>0.3375066237034935</v>
      </c>
    </row>
    <row r="871">
      <c r="A871" s="26" t="n">
        <v>278.7196761485677</v>
      </c>
      <c r="B871" s="27" t="n">
        <v>0.3117576952496314</v>
      </c>
      <c r="C871" s="26" t="n">
        <v>271.8620158031439</v>
      </c>
      <c r="D871" s="27" t="n">
        <v>0.3183729814558505</v>
      </c>
      <c r="E871" s="26" t="n">
        <v>290.6477501042117</v>
      </c>
      <c r="F871" s="27" t="n">
        <v>0.2888595048343369</v>
      </c>
      <c r="G871" s="26" t="n">
        <v>299.5050313551234</v>
      </c>
      <c r="H871" s="27" t="n">
        <v>0.2592040705097336</v>
      </c>
      <c r="I871" s="26" t="n">
        <v>301.4727156546485</v>
      </c>
      <c r="J871" s="27" t="n">
        <v>0.2591448050194476</v>
      </c>
      <c r="K871" s="26" t="n">
        <v>290.9299737305033</v>
      </c>
      <c r="L871" s="27" t="n">
        <v>0.2735395864772546</v>
      </c>
      <c r="M871" s="26" t="n">
        <v>283.0316083219597</v>
      </c>
      <c r="N871" s="27" t="n">
        <v>0.2976042379924344</v>
      </c>
      <c r="O871" s="26" t="n">
        <v>253.8080791875664</v>
      </c>
      <c r="P871" s="27" t="n">
        <v>0.3116285336450139</v>
      </c>
      <c r="Q871" s="26" t="n">
        <v>269.0151606912325</v>
      </c>
      <c r="R871" s="27" t="n">
        <v>0.329782707893375</v>
      </c>
      <c r="S871" s="26" t="n">
        <v>260.9407120832113</v>
      </c>
      <c r="T871" s="27" t="n">
        <v>0.3448089042672497</v>
      </c>
      <c r="U871" s="26" t="n">
        <v>270.4882540333246</v>
      </c>
      <c r="V871" s="27" t="n">
        <v>0.3229805840329769</v>
      </c>
      <c r="W871" s="26" t="n">
        <v>271.5553364513933</v>
      </c>
      <c r="X871" s="27" t="n">
        <v>0.3089234137767007</v>
      </c>
      <c r="Y871" s="26" t="n">
        <v>260.7067687835934</v>
      </c>
      <c r="Z871" s="27" t="n">
        <v>0.249113399846869</v>
      </c>
      <c r="AA871" s="26" t="n">
        <v>262.9284567396468</v>
      </c>
      <c r="AB871" s="27" t="n">
        <v>0.3379256706131766</v>
      </c>
    </row>
    <row r="872">
      <c r="A872" s="26" t="n">
        <v>278.885437811773</v>
      </c>
      <c r="B872" s="27" t="n">
        <v>0.3121494297469672</v>
      </c>
      <c r="C872" s="26" t="n">
        <v>272.0020653169587</v>
      </c>
      <c r="D872" s="27" t="n">
        <v>0.3188160801741313</v>
      </c>
      <c r="E872" s="26" t="n">
        <v>290.7608077585684</v>
      </c>
      <c r="F872" s="27" t="n">
        <v>0.2894181652797859</v>
      </c>
      <c r="G872" s="26" t="n">
        <v>299.5917537857289</v>
      </c>
      <c r="H872" s="27" t="n">
        <v>0.2599746472801491</v>
      </c>
      <c r="I872" s="26" t="n">
        <v>301.5531000831484</v>
      </c>
      <c r="J872" s="27" t="n">
        <v>0.2599035191265008</v>
      </c>
      <c r="K872" s="26" t="n">
        <v>291.0062162248596</v>
      </c>
      <c r="L872" s="27" t="n">
        <v>0.2742850502744179</v>
      </c>
      <c r="M872" s="26" t="n">
        <v>283.1229140240455</v>
      </c>
      <c r="N872" s="27" t="n">
        <v>0.2981868200157804</v>
      </c>
      <c r="O872" s="26" t="n">
        <v>253.9324838816549</v>
      </c>
      <c r="P872" s="27" t="n">
        <v>0.3124280450258854</v>
      </c>
      <c r="Q872" s="26" t="n">
        <v>269.1092474668654</v>
      </c>
      <c r="R872" s="27" t="n">
        <v>0.3301802249718597</v>
      </c>
      <c r="S872" s="26" t="n">
        <v>261.0471356912427</v>
      </c>
      <c r="T872" s="27" t="n">
        <v>0.3451330418309336</v>
      </c>
      <c r="U872" s="26" t="n">
        <v>270.5732993277769</v>
      </c>
      <c r="V872" s="27" t="n">
        <v>0.3234529645968477</v>
      </c>
      <c r="W872" s="26" t="n">
        <v>271.633521943446</v>
      </c>
      <c r="X872" s="27" t="n">
        <v>0.3095555812629577</v>
      </c>
      <c r="Y872" s="26" t="n">
        <v>260.8122099502002</v>
      </c>
      <c r="Z872" s="27" t="n">
        <v>0.2501470146597112</v>
      </c>
      <c r="AA872" s="26" t="n">
        <v>263.0086444013534</v>
      </c>
      <c r="AB872" s="27" t="n">
        <v>0.3383408307593698</v>
      </c>
    </row>
    <row r="873">
      <c r="A873" s="26" t="n">
        <v>279.0511994749783</v>
      </c>
      <c r="B873" s="27" t="n">
        <v>0.3125370266317617</v>
      </c>
      <c r="C873" s="26" t="n">
        <v>272.1421148307734</v>
      </c>
      <c r="D873" s="27" t="n">
        <v>0.3192549346858886</v>
      </c>
      <c r="E873" s="26" t="n">
        <v>290.8738654129252</v>
      </c>
      <c r="F873" s="27" t="n">
        <v>0.2899728763738657</v>
      </c>
      <c r="G873" s="26" t="n">
        <v>299.6784762163345</v>
      </c>
      <c r="H873" s="27" t="n">
        <v>0.2607426409497633</v>
      </c>
      <c r="I873" s="26" t="n">
        <v>301.6334845116484</v>
      </c>
      <c r="J873" s="27" t="n">
        <v>0.26065955570084</v>
      </c>
      <c r="K873" s="26" t="n">
        <v>291.082458719216</v>
      </c>
      <c r="L873" s="27" t="n">
        <v>0.2750273548715511</v>
      </c>
      <c r="M873" s="26" t="n">
        <v>283.2142197261314</v>
      </c>
      <c r="N873" s="27" t="n">
        <v>0.2987653972241548</v>
      </c>
      <c r="O873" s="26" t="n">
        <v>254.0568885757435</v>
      </c>
      <c r="P873" s="27" t="n">
        <v>0.3132237478722941</v>
      </c>
      <c r="Q873" s="26" t="n">
        <v>269.2033342424983</v>
      </c>
      <c r="R873" s="27" t="n">
        <v>0.3305738842202077</v>
      </c>
      <c r="S873" s="26" t="n">
        <v>261.153559299274</v>
      </c>
      <c r="T873" s="27" t="n">
        <v>0.3454534965936839</v>
      </c>
      <c r="U873" s="26" t="n">
        <v>270.6583446222292</v>
      </c>
      <c r="V873" s="27" t="n">
        <v>0.3239213017088081</v>
      </c>
      <c r="W873" s="26" t="n">
        <v>271.7117074354989</v>
      </c>
      <c r="X873" s="27" t="n">
        <v>0.3101836274757183</v>
      </c>
      <c r="Y873" s="26" t="n">
        <v>260.9176511168072</v>
      </c>
      <c r="Z873" s="27" t="n">
        <v>0.2511831148250423</v>
      </c>
      <c r="AA873" s="26" t="n">
        <v>263.0888320630601</v>
      </c>
      <c r="AB873" s="27" t="n">
        <v>0.3387520986247757</v>
      </c>
    </row>
    <row r="874">
      <c r="A874" s="26" t="n">
        <v>279.2169611381836</v>
      </c>
      <c r="B874" s="27" t="n">
        <v>0.3129204737899858</v>
      </c>
      <c r="C874" s="26" t="n">
        <v>272.2821643445882</v>
      </c>
      <c r="D874" s="27" t="n">
        <v>0.3196895293249384</v>
      </c>
      <c r="E874" s="26" t="n">
        <v>290.9869230672819</v>
      </c>
      <c r="F874" s="27" t="n">
        <v>0.2905236051670139</v>
      </c>
      <c r="G874" s="26" t="n">
        <v>299.7651986469401</v>
      </c>
      <c r="H874" s="27" t="n">
        <v>0.2615079828646238</v>
      </c>
      <c r="I874" s="26" t="n">
        <v>301.7138689401483</v>
      </c>
      <c r="J874" s="27" t="n">
        <v>0.26141284835456</v>
      </c>
      <c r="K874" s="26" t="n">
        <v>291.1587012135724</v>
      </c>
      <c r="L874" s="27" t="n">
        <v>0.2757664386052026</v>
      </c>
      <c r="M874" s="26" t="n">
        <v>283.3055254282172</v>
      </c>
      <c r="N874" s="27" t="n">
        <v>0.2993399367536135</v>
      </c>
      <c r="O874" s="26" t="n">
        <v>254.181293269832</v>
      </c>
      <c r="P874" s="27" t="n">
        <v>0.3140155715486112</v>
      </c>
      <c r="Q874" s="26" t="n">
        <v>269.2974210181313</v>
      </c>
      <c r="R874" s="27" t="n">
        <v>0.3309636804714278</v>
      </c>
      <c r="S874" s="26" t="n">
        <v>261.2599829073054</v>
      </c>
      <c r="T874" s="27" t="n">
        <v>0.3457702701291714</v>
      </c>
      <c r="U874" s="26" t="n">
        <v>270.7433899166815</v>
      </c>
      <c r="V874" s="27" t="n">
        <v>0.3243855820062347</v>
      </c>
      <c r="W874" s="26" t="n">
        <v>271.7898929275516</v>
      </c>
      <c r="X874" s="27" t="n">
        <v>0.3108075152672463</v>
      </c>
      <c r="Y874" s="26" t="n">
        <v>261.023092283414</v>
      </c>
      <c r="Z874" s="27" t="n">
        <v>0.2522216517987535</v>
      </c>
      <c r="AA874" s="26" t="n">
        <v>263.1690197247666</v>
      </c>
      <c r="AB874" s="27" t="n">
        <v>0.339159469080534</v>
      </c>
    </row>
    <row r="875">
      <c r="A875" s="26" t="n">
        <v>279.3827228013889</v>
      </c>
      <c r="B875" s="27" t="n">
        <v>0.3132997595607527</v>
      </c>
      <c r="C875" s="26" t="n">
        <v>272.422213858403</v>
      </c>
      <c r="D875" s="27" t="n">
        <v>0.320119848897267</v>
      </c>
      <c r="E875" s="26" t="n">
        <v>291.0999807216386</v>
      </c>
      <c r="F875" s="27" t="n">
        <v>0.2910703191309592</v>
      </c>
      <c r="G875" s="26" t="n">
        <v>299.8519210775456</v>
      </c>
      <c r="H875" s="27" t="n">
        <v>0.2622706041493948</v>
      </c>
      <c r="I875" s="26" t="n">
        <v>301.7942533686482</v>
      </c>
      <c r="J875" s="27" t="n">
        <v>0.2621633305464142</v>
      </c>
      <c r="K875" s="26" t="n">
        <v>291.2349437079287</v>
      </c>
      <c r="L875" s="27" t="n">
        <v>0.2765022398541571</v>
      </c>
      <c r="M875" s="26" t="n">
        <v>283.3968311303031</v>
      </c>
      <c r="N875" s="27" t="n">
        <v>0.2999104061740029</v>
      </c>
      <c r="O875" s="26" t="n">
        <v>254.3056979639205</v>
      </c>
      <c r="P875" s="27" t="n">
        <v>0.3148034454570425</v>
      </c>
      <c r="Q875" s="26" t="n">
        <v>269.3915077937642</v>
      </c>
      <c r="R875" s="27" t="n">
        <v>0.3313496089466191</v>
      </c>
      <c r="S875" s="26" t="n">
        <v>261.3664065153368</v>
      </c>
      <c r="T875" s="27" t="n">
        <v>0.3460833643312303</v>
      </c>
      <c r="U875" s="26" t="n">
        <v>270.8284352111339</v>
      </c>
      <c r="V875" s="27" t="n">
        <v>0.3248457925714216</v>
      </c>
      <c r="W875" s="26" t="n">
        <v>271.8680784196044</v>
      </c>
      <c r="X875" s="27" t="n">
        <v>0.3114272079255144</v>
      </c>
      <c r="Y875" s="26" t="n">
        <v>261.128533450021</v>
      </c>
      <c r="Z875" s="27" t="n">
        <v>0.2532625752685125</v>
      </c>
      <c r="AA875" s="26" t="n">
        <v>263.2492073864732</v>
      </c>
      <c r="AB875" s="27" t="n">
        <v>0.3395629373874141</v>
      </c>
    </row>
    <row r="876">
      <c r="A876" s="26" t="n">
        <v>279.5484844645943</v>
      </c>
      <c r="B876" s="27" t="n">
        <v>0.3136748727400053</v>
      </c>
      <c r="C876" s="26" t="n">
        <v>272.5622633722178</v>
      </c>
      <c r="D876" s="27" t="n">
        <v>0.3205458786857089</v>
      </c>
      <c r="E876" s="26" t="n">
        <v>291.2130383759953</v>
      </c>
      <c r="F876" s="27" t="n">
        <v>0.2916129861690186</v>
      </c>
      <c r="G876" s="26" t="n">
        <v>299.9386435081512</v>
      </c>
      <c r="H876" s="27" t="n">
        <v>0.263030435724857</v>
      </c>
      <c r="I876" s="26" t="n">
        <v>301.8746377971482</v>
      </c>
      <c r="J876" s="27" t="n">
        <v>0.2629109355993938</v>
      </c>
      <c r="K876" s="26" t="n">
        <v>291.3111862022851</v>
      </c>
      <c r="L876" s="27" t="n">
        <v>0.2772346970572779</v>
      </c>
      <c r="M876" s="26" t="n">
        <v>283.4881368323889</v>
      </c>
      <c r="N876" s="27" t="n">
        <v>0.3004767734990728</v>
      </c>
      <c r="O876" s="26" t="n">
        <v>254.4301026580091</v>
      </c>
      <c r="P876" s="27" t="n">
        <v>0.3155872990582438</v>
      </c>
      <c r="Q876" s="26" t="n">
        <v>269.4855945693972</v>
      </c>
      <c r="R876" s="27" t="n">
        <v>0.3317316652561591</v>
      </c>
      <c r="S876" s="26" t="n">
        <v>261.4728301233682</v>
      </c>
      <c r="T876" s="27" t="n">
        <v>0.3463927814134283</v>
      </c>
      <c r="U876" s="26" t="n">
        <v>270.9134805055861</v>
      </c>
      <c r="V876" s="27" t="n">
        <v>0.3253019209351441</v>
      </c>
      <c r="W876" s="26" t="n">
        <v>271.9462639116572</v>
      </c>
      <c r="X876" s="27" t="n">
        <v>0.3120426691856408</v>
      </c>
      <c r="Y876" s="26" t="n">
        <v>261.2339746166278</v>
      </c>
      <c r="Z876" s="27" t="n">
        <v>0.254305833111834</v>
      </c>
      <c r="AA876" s="26" t="n">
        <v>263.3293950481798</v>
      </c>
      <c r="AB876" s="27" t="n">
        <v>0.339962499196924</v>
      </c>
    </row>
    <row r="877">
      <c r="A877" s="26" t="n">
        <v>279.7142461277996</v>
      </c>
      <c r="B877" s="27" t="n">
        <v>0.3140458025841109</v>
      </c>
      <c r="C877" s="26" t="n">
        <v>272.7023128860326</v>
      </c>
      <c r="D877" s="27" t="n">
        <v>0.3209676044545293</v>
      </c>
      <c r="E877" s="26" t="n">
        <v>291.326096030352</v>
      </c>
      <c r="F877" s="27" t="n">
        <v>0.2921515746263698</v>
      </c>
      <c r="G877" s="26" t="n">
        <v>300.0253659387568</v>
      </c>
      <c r="H877" s="27" t="n">
        <v>0.2637874083258778</v>
      </c>
      <c r="I877" s="26" t="n">
        <v>301.9550222256481</v>
      </c>
      <c r="J877" s="27" t="n">
        <v>0.2636555967187227</v>
      </c>
      <c r="K877" s="26" t="n">
        <v>291.3874286966415</v>
      </c>
      <c r="L877" s="27" t="n">
        <v>0.277963748731651</v>
      </c>
      <c r="M877" s="26" t="n">
        <v>283.5794425344747</v>
      </c>
      <c r="N877" s="27" t="n">
        <v>0.3010390071965592</v>
      </c>
      <c r="O877" s="26" t="n">
        <v>254.5545073520976</v>
      </c>
      <c r="P877" s="27" t="n">
        <v>0.3163670618923145</v>
      </c>
      <c r="Q877" s="26" t="n">
        <v>269.5796813450301</v>
      </c>
      <c r="R877" s="27" t="n">
        <v>0.3321098454008078</v>
      </c>
      <c r="S877" s="26" t="n">
        <v>261.5792537313995</v>
      </c>
      <c r="T877" s="27" t="n">
        <v>0.346698523908575</v>
      </c>
      <c r="U877" s="26" t="n">
        <v>270.9985258000385</v>
      </c>
      <c r="V877" s="27" t="n">
        <v>0.3257539550801214</v>
      </c>
      <c r="W877" s="26" t="n">
        <v>272.02444940371</v>
      </c>
      <c r="X877" s="27" t="n">
        <v>0.3126538632413192</v>
      </c>
      <c r="Y877" s="26" t="n">
        <v>261.3394157832348</v>
      </c>
      <c r="Z877" s="27" t="n">
        <v>0.2553513713535722</v>
      </c>
      <c r="AA877" s="26" t="n">
        <v>263.4095827098864</v>
      </c>
      <c r="AB877" s="27" t="n">
        <v>0.3403581505523374</v>
      </c>
    </row>
    <row r="878">
      <c r="A878" s="26" t="n">
        <v>279.8800077910049</v>
      </c>
      <c r="B878" s="27" t="n">
        <v>0.3144125388133595</v>
      </c>
      <c r="C878" s="26" t="n">
        <v>272.8423623998473</v>
      </c>
      <c r="D878" s="27" t="n">
        <v>0.3213850124539082</v>
      </c>
      <c r="E878" s="26" t="n">
        <v>291.4391536847088</v>
      </c>
      <c r="F878" s="27" t="n">
        <v>0.2926860533003025</v>
      </c>
      <c r="G878" s="26" t="n">
        <v>300.1120883693624</v>
      </c>
      <c r="H878" s="27" t="n">
        <v>0.2645414525198628</v>
      </c>
      <c r="I878" s="26" t="n">
        <v>302.0354066541481</v>
      </c>
      <c r="J878" s="27" t="n">
        <v>0.2643972470102968</v>
      </c>
      <c r="K878" s="26" t="n">
        <v>291.4636711909977</v>
      </c>
      <c r="L878" s="27" t="n">
        <v>0.278689333491039</v>
      </c>
      <c r="M878" s="26" t="n">
        <v>283.6707482365606</v>
      </c>
      <c r="N878" s="27" t="n">
        <v>0.3015970761982283</v>
      </c>
      <c r="O878" s="26" t="n">
        <v>254.6789120461862</v>
      </c>
      <c r="P878" s="27" t="n">
        <v>0.3171426636001568</v>
      </c>
      <c r="Q878" s="26" t="n">
        <v>269.6737681206631</v>
      </c>
      <c r="R878" s="27" t="n">
        <v>0.3324841457727294</v>
      </c>
      <c r="S878" s="26" t="n">
        <v>261.6856773394309</v>
      </c>
      <c r="T878" s="27" t="n">
        <v>0.3470005946681659</v>
      </c>
      <c r="U878" s="26" t="n">
        <v>271.0835710944907</v>
      </c>
      <c r="V878" s="27" t="n">
        <v>0.3262018834443938</v>
      </c>
      <c r="W878" s="26" t="n">
        <v>272.1026348957628</v>
      </c>
      <c r="X878" s="27" t="n">
        <v>0.3132607547562202</v>
      </c>
      <c r="Y878" s="26" t="n">
        <v>261.4448569498417</v>
      </c>
      <c r="Z878" s="27" t="n">
        <v>0.2563991341228579</v>
      </c>
      <c r="AA878" s="26" t="n">
        <v>263.489770371593</v>
      </c>
      <c r="AB878" s="27" t="n">
        <v>0.3407498878896377</v>
      </c>
    </row>
    <row r="879">
      <c r="A879" s="26" t="n">
        <v>280.0457694542101</v>
      </c>
      <c r="B879" s="27" t="n">
        <v>0.3147750716153632</v>
      </c>
      <c r="C879" s="26" t="n">
        <v>272.9824119136621</v>
      </c>
      <c r="D879" s="27" t="n">
        <v>0.3217980894243295</v>
      </c>
      <c r="E879" s="26" t="n">
        <v>291.5522113390655</v>
      </c>
      <c r="F879" s="27" t="n">
        <v>0.2932163914504283</v>
      </c>
      <c r="G879" s="26" t="n">
        <v>300.1988107999679</v>
      </c>
      <c r="H879" s="27" t="n">
        <v>0.2652924987256876</v>
      </c>
      <c r="I879" s="26" t="n">
        <v>302.115791082648</v>
      </c>
      <c r="J879" s="27" t="n">
        <v>0.2651358194995396</v>
      </c>
      <c r="K879" s="26" t="n">
        <v>291.5399136853541</v>
      </c>
      <c r="L879" s="27" t="n">
        <v>0.2794113900646274</v>
      </c>
      <c r="M879" s="26" t="n">
        <v>283.7620539386464</v>
      </c>
      <c r="N879" s="27" t="n">
        <v>0.3021509499098826</v>
      </c>
      <c r="O879" s="26" t="n">
        <v>254.8033167402747</v>
      </c>
      <c r="P879" s="27" t="n">
        <v>0.3179140339452065</v>
      </c>
      <c r="Q879" s="26" t="n">
        <v>269.767854896296</v>
      </c>
      <c r="R879" s="27" t="n">
        <v>0.3328545631564301</v>
      </c>
      <c r="S879" s="26" t="n">
        <v>261.7921009474623</v>
      </c>
      <c r="T879" s="27" t="n">
        <v>0.3472989968617623</v>
      </c>
      <c r="U879" s="26" t="n">
        <v>271.1686163889431</v>
      </c>
      <c r="V879" s="27" t="n">
        <v>0.3266456949245979</v>
      </c>
      <c r="W879" s="26" t="n">
        <v>272.1808203878156</v>
      </c>
      <c r="X879" s="27" t="n">
        <v>0.3138633088753732</v>
      </c>
      <c r="Y879" s="26" t="n">
        <v>261.5502981164486</v>
      </c>
      <c r="Z879" s="27" t="n">
        <v>0.2574490636094916</v>
      </c>
      <c r="AA879" s="26" t="n">
        <v>263.5699580332996</v>
      </c>
      <c r="AB879" s="27" t="n">
        <v>0.3411377080383753</v>
      </c>
    </row>
    <row r="880">
      <c r="A880" s="26" t="n">
        <v>280.2115311174155</v>
      </c>
      <c r="B880" s="27" t="n">
        <v>0.3151333916483559</v>
      </c>
      <c r="C880" s="26" t="n">
        <v>273.1224614274769</v>
      </c>
      <c r="D880" s="27" t="n">
        <v>0.3222068226008641</v>
      </c>
      <c r="E880" s="26" t="n">
        <v>291.6652689934222</v>
      </c>
      <c r="F880" s="27" t="n">
        <v>0.2937425588088581</v>
      </c>
      <c r="G880" s="26" t="n">
        <v>300.2855332305735</v>
      </c>
      <c r="H880" s="27" t="n">
        <v>0.2660404772331081</v>
      </c>
      <c r="I880" s="26" t="n">
        <v>302.1961755111479</v>
      </c>
      <c r="J880" s="27" t="n">
        <v>0.2658712471507037</v>
      </c>
      <c r="K880" s="26" t="n">
        <v>291.6161561797105</v>
      </c>
      <c r="L880" s="27" t="n">
        <v>0.2801298573160638</v>
      </c>
      <c r="M880" s="26" t="n">
        <v>283.8533596407323</v>
      </c>
      <c r="N880" s="27" t="n">
        <v>0.302700598221319</v>
      </c>
      <c r="O880" s="26" t="n">
        <v>254.9277214343633</v>
      </c>
      <c r="P880" s="27" t="n">
        <v>0.3186811028355248</v>
      </c>
      <c r="Q880" s="26" t="n">
        <v>269.8619416719289</v>
      </c>
      <c r="R880" s="27" t="n">
        <v>0.3332210947296077</v>
      </c>
      <c r="S880" s="26" t="n">
        <v>261.8985245554937</v>
      </c>
      <c r="T880" s="27" t="n">
        <v>0.3475937339763077</v>
      </c>
      <c r="U880" s="26" t="n">
        <v>271.2536616833953</v>
      </c>
      <c r="V880" s="27" t="n">
        <v>0.3270853788791445</v>
      </c>
      <c r="W880" s="26" t="n">
        <v>272.2590058798685</v>
      </c>
      <c r="X880" s="27" t="n">
        <v>0.3144614912365121</v>
      </c>
      <c r="Y880" s="26" t="n">
        <v>261.6557392830555</v>
      </c>
      <c r="Z880" s="27" t="n">
        <v>0.2585011000198192</v>
      </c>
      <c r="AA880" s="26" t="n">
        <v>263.6501456950062</v>
      </c>
      <c r="AB880" s="27" t="n">
        <v>0.3415216082224449</v>
      </c>
    </row>
    <row r="881">
      <c r="A881" s="26" t="n">
        <v>280.3772927806208</v>
      </c>
      <c r="B881" s="27" t="n">
        <v>0.3154874900443893</v>
      </c>
      <c r="C881" s="26" t="n">
        <v>273.2625109412917</v>
      </c>
      <c r="D881" s="27" t="n">
        <v>0.3226111997173506</v>
      </c>
      <c r="E881" s="26" t="n">
        <v>291.778326647779</v>
      </c>
      <c r="F881" s="27" t="n">
        <v>0.2942645255903337</v>
      </c>
      <c r="G881" s="26" t="n">
        <v>300.3722556611791</v>
      </c>
      <c r="H881" s="27" t="n">
        <v>0.266785318222654</v>
      </c>
      <c r="I881" s="26" t="n">
        <v>302.2765599396479</v>
      </c>
      <c r="J881" s="27" t="n">
        <v>0.2666034628865835</v>
      </c>
      <c r="K881" s="26" t="n">
        <v>291.6923986740668</v>
      </c>
      <c r="L881" s="27" t="n">
        <v>0.2808446742627948</v>
      </c>
      <c r="M881" s="26" t="n">
        <v>283.9446653428181</v>
      </c>
      <c r="N881" s="27" t="n">
        <v>0.3032459915162342</v>
      </c>
      <c r="O881" s="26" t="n">
        <v>255.0521261284518</v>
      </c>
      <c r="P881" s="27" t="n">
        <v>0.3194438003462491</v>
      </c>
      <c r="Q881" s="26" t="n">
        <v>269.9560284475619</v>
      </c>
      <c r="R881" s="27" t="n">
        <v>0.3335837380639193</v>
      </c>
      <c r="S881" s="26" t="n">
        <v>262.0049481635251</v>
      </c>
      <c r="T881" s="27" t="n">
        <v>0.3478848098153802</v>
      </c>
      <c r="U881" s="26" t="n">
        <v>271.3387069778477</v>
      </c>
      <c r="V881" s="27" t="n">
        <v>0.3275209251312974</v>
      </c>
      <c r="W881" s="26" t="n">
        <v>272.3371913719212</v>
      </c>
      <c r="X881" s="27" t="n">
        <v>0.3150552679813858</v>
      </c>
      <c r="Y881" s="26" t="n">
        <v>261.7611804496624</v>
      </c>
      <c r="Z881" s="27" t="n">
        <v>0.2595551815321063</v>
      </c>
      <c r="AA881" s="26" t="n">
        <v>263.7303333567128</v>
      </c>
      <c r="AB881" s="27" t="n">
        <v>0.3419015860607711</v>
      </c>
    </row>
    <row r="882">
      <c r="A882" s="26" t="n">
        <v>280.5430544438261</v>
      </c>
      <c r="B882" s="27" t="n">
        <v>0.3158373584124267</v>
      </c>
      <c r="C882" s="26" t="n">
        <v>273.4025604551064</v>
      </c>
      <c r="D882" s="27" t="n">
        <v>0.3230112090104696</v>
      </c>
      <c r="E882" s="26" t="n">
        <v>291.8913843021356</v>
      </c>
      <c r="F882" s="27" t="n">
        <v>0.2947822625023107</v>
      </c>
      <c r="G882" s="26" t="n">
        <v>300.4589780917846</v>
      </c>
      <c r="H882" s="27" t="n">
        <v>0.2675269517859995</v>
      </c>
      <c r="I882" s="26" t="n">
        <v>302.3569443681478</v>
      </c>
      <c r="J882" s="27" t="n">
        <v>0.2673323996086728</v>
      </c>
      <c r="K882" s="26" t="n">
        <v>291.7686411684232</v>
      </c>
      <c r="L882" s="27" t="n">
        <v>0.2815557800956796</v>
      </c>
      <c r="M882" s="26" t="n">
        <v>284.0359710449039</v>
      </c>
      <c r="N882" s="27" t="n">
        <v>0.3037871006820763</v>
      </c>
      <c r="O882" s="26" t="n">
        <v>255.1765308225404</v>
      </c>
      <c r="P882" s="27" t="n">
        <v>0.3202020567423979</v>
      </c>
      <c r="Q882" s="26" t="n">
        <v>270.0501152231949</v>
      </c>
      <c r="R882" s="27" t="n">
        <v>0.3339424911256599</v>
      </c>
      <c r="S882" s="26" t="n">
        <v>262.1113717715564</v>
      </c>
      <c r="T882" s="27" t="n">
        <v>0.3481722284983816</v>
      </c>
      <c r="U882" s="26" t="n">
        <v>271.4237522722999</v>
      </c>
      <c r="V882" s="27" t="n">
        <v>0.3279523239721491</v>
      </c>
      <c r="W882" s="26" t="n">
        <v>272.4153768639741</v>
      </c>
      <c r="X882" s="27" t="n">
        <v>0.3156446057670281</v>
      </c>
      <c r="Y882" s="26" t="n">
        <v>261.8666216162694</v>
      </c>
      <c r="Z882" s="27" t="n">
        <v>0.2606112442514482</v>
      </c>
      <c r="AA882" s="26" t="n">
        <v>263.8105210184194</v>
      </c>
      <c r="AB882" s="27" t="n">
        <v>0.3422776395679121</v>
      </c>
    </row>
    <row r="883">
      <c r="A883" s="26" t="n">
        <v>280.7088161070315</v>
      </c>
      <c r="B883" s="27" t="n">
        <v>0.3161829888413257</v>
      </c>
      <c r="C883" s="26" t="n">
        <v>273.5426099689212</v>
      </c>
      <c r="D883" s="27" t="n">
        <v>0.3234068392237069</v>
      </c>
      <c r="E883" s="26" t="n">
        <v>292.0044419564924</v>
      </c>
      <c r="F883" s="27" t="n">
        <v>0.2952957407549905</v>
      </c>
      <c r="G883" s="26" t="n">
        <v>300.5457005223902</v>
      </c>
      <c r="H883" s="27" t="n">
        <v>0.2682653079468205</v>
      </c>
      <c r="I883" s="26" t="n">
        <v>302.4373287966478</v>
      </c>
      <c r="J883" s="27" t="n">
        <v>0.2680579902177315</v>
      </c>
      <c r="K883" s="26" t="n">
        <v>291.8448836627795</v>
      </c>
      <c r="L883" s="27" t="n">
        <v>0.2822631141988901</v>
      </c>
      <c r="M883" s="26" t="n">
        <v>284.1272767469898</v>
      </c>
      <c r="N883" s="27" t="n">
        <v>0.3043238971198329</v>
      </c>
      <c r="O883" s="26" t="n">
        <v>255.3009355166289</v>
      </c>
      <c r="P883" s="27" t="n">
        <v>0.3209558025020253</v>
      </c>
      <c r="Q883" s="26" t="n">
        <v>270.1442019988278</v>
      </c>
      <c r="R883" s="27" t="n">
        <v>0.334297352276353</v>
      </c>
      <c r="S883" s="26" t="n">
        <v>262.2177953795878</v>
      </c>
      <c r="T883" s="27" t="n">
        <v>0.3484559944596606</v>
      </c>
      <c r="U883" s="26" t="n">
        <v>271.5087975667523</v>
      </c>
      <c r="V883" s="27" t="n">
        <v>0.3283795661634917</v>
      </c>
      <c r="W883" s="26" t="n">
        <v>272.4935623560268</v>
      </c>
      <c r="X883" s="27" t="n">
        <v>0.3162294717769736</v>
      </c>
      <c r="Y883" s="26" t="n">
        <v>261.9720627828763</v>
      </c>
      <c r="Z883" s="27" t="n">
        <v>0.2616692221642211</v>
      </c>
      <c r="AA883" s="26" t="n">
        <v>263.890708680126</v>
      </c>
      <c r="AB883" s="27" t="n">
        <v>0.3426497671545738</v>
      </c>
    </row>
    <row r="884">
      <c r="A884" s="26" t="n">
        <v>280.8745777702367</v>
      </c>
      <c r="B884" s="27" t="n">
        <v>0.3165243739027173</v>
      </c>
      <c r="C884" s="26" t="n">
        <v>273.682659482736</v>
      </c>
      <c r="D884" s="27" t="n">
        <v>0.3237980796112042</v>
      </c>
      <c r="E884" s="26" t="n">
        <v>292.1174996108491</v>
      </c>
      <c r="F884" s="27" t="n">
        <v>0.2958049320712897</v>
      </c>
      <c r="G884" s="26" t="n">
        <v>300.6324229529957</v>
      </c>
      <c r="H884" s="27" t="n">
        <v>0.2690003166821252</v>
      </c>
      <c r="I884" s="26" t="n">
        <v>302.5177132251477</v>
      </c>
      <c r="J884" s="27" t="n">
        <v>0.2687801676347924</v>
      </c>
      <c r="K884" s="26" t="n">
        <v>291.9211261571359</v>
      </c>
      <c r="L884" s="27" t="n">
        <v>0.2829666161700831</v>
      </c>
      <c r="M884" s="26" t="n">
        <v>284.2185824490756</v>
      </c>
      <c r="N884" s="27" t="n">
        <v>0.3048563527537537</v>
      </c>
      <c r="O884" s="26" t="n">
        <v>255.4253402107175</v>
      </c>
      <c r="P884" s="27" t="n">
        <v>0.321704968339716</v>
      </c>
      <c r="Q884" s="26" t="n">
        <v>270.2382887744607</v>
      </c>
      <c r="R884" s="27" t="n">
        <v>0.334648320273255</v>
      </c>
      <c r="S884" s="26" t="n">
        <v>262.3242189876191</v>
      </c>
      <c r="T884" s="27" t="n">
        <v>0.3487361124475753</v>
      </c>
      <c r="U884" s="26" t="n">
        <v>271.5938428612045</v>
      </c>
      <c r="V884" s="27" t="n">
        <v>0.3288026429405832</v>
      </c>
      <c r="W884" s="26" t="n">
        <v>272.5717478480797</v>
      </c>
      <c r="X884" s="27" t="n">
        <v>0.3168098337324249</v>
      </c>
      <c r="Y884" s="26" t="n">
        <v>262.0775039494832</v>
      </c>
      <c r="Z884" s="27" t="n">
        <v>0.2627290470921352</v>
      </c>
      <c r="AA884" s="26" t="n">
        <v>263.9708963418326</v>
      </c>
      <c r="AB884" s="27" t="n">
        <v>0.343017967628037</v>
      </c>
    </row>
    <row r="885">
      <c r="A885" s="26" t="n">
        <v>281.040339433442</v>
      </c>
      <c r="B885" s="27" t="n">
        <v>0.3168615066537709</v>
      </c>
      <c r="C885" s="26" t="n">
        <v>273.8227089965508</v>
      </c>
      <c r="D885" s="27" t="n">
        <v>0.3241849199414979</v>
      </c>
      <c r="E885" s="26" t="n">
        <v>292.2305572652058</v>
      </c>
      <c r="F885" s="27" t="n">
        <v>0.2963098086967476</v>
      </c>
      <c r="G885" s="26" t="n">
        <v>300.7191453836013</v>
      </c>
      <c r="H885" s="27" t="n">
        <v>0.2697319079440673</v>
      </c>
      <c r="I885" s="26" t="n">
        <v>302.5980976536476</v>
      </c>
      <c r="J885" s="27" t="n">
        <v>0.2694988648225713</v>
      </c>
      <c r="K885" s="26" t="n">
        <v>291.9973686514923</v>
      </c>
      <c r="L885" s="27" t="n">
        <v>0.2836662258408398</v>
      </c>
      <c r="M885" s="26" t="n">
        <v>284.3098881511614</v>
      </c>
      <c r="N885" s="27" t="n">
        <v>0.3053844400409996</v>
      </c>
      <c r="O885" s="26" t="n">
        <v>255.549744904806</v>
      </c>
      <c r="P885" s="27" t="n">
        <v>0.3224494852304185</v>
      </c>
      <c r="Q885" s="26" t="n">
        <v>270.3323755500937</v>
      </c>
      <c r="R885" s="27" t="n">
        <v>0.33499539426977</v>
      </c>
      <c r="S885" s="26" t="n">
        <v>262.4306425956505</v>
      </c>
      <c r="T885" s="27" t="n">
        <v>0.3490125875234882</v>
      </c>
      <c r="U885" s="26" t="n">
        <v>271.6788881556569</v>
      </c>
      <c r="V885" s="27" t="n">
        <v>0.3292215460148054</v>
      </c>
      <c r="W885" s="26" t="n">
        <v>272.6499333401324</v>
      </c>
      <c r="X885" s="27" t="n">
        <v>0.3173856599033559</v>
      </c>
      <c r="Y885" s="26" t="n">
        <v>262.1829451160901</v>
      </c>
      <c r="Z885" s="27" t="n">
        <v>0.2637906486458889</v>
      </c>
      <c r="AA885" s="26" t="n">
        <v>264.0510840035392</v>
      </c>
      <c r="AB885" s="27" t="n">
        <v>0.3433822401924961</v>
      </c>
    </row>
    <row r="886">
      <c r="A886" s="26" t="n">
        <v>281.2061010966473</v>
      </c>
      <c r="B886" s="27" t="n">
        <v>0.3171943806398467</v>
      </c>
      <c r="C886" s="26" t="n">
        <v>273.9627585103655</v>
      </c>
      <c r="D886" s="27" t="n">
        <v>0.3245673505011382</v>
      </c>
      <c r="E886" s="26" t="n">
        <v>292.3436149195626</v>
      </c>
      <c r="F886" s="27" t="n">
        <v>0.296810343409362</v>
      </c>
      <c r="G886" s="26" t="n">
        <v>300.8058678142069</v>
      </c>
      <c r="H886" s="27" t="n">
        <v>0.2704600116822349</v>
      </c>
      <c r="I886" s="26" t="n">
        <v>302.6784820821476</v>
      </c>
      <c r="J886" s="27" t="n">
        <v>0.2702140148073128</v>
      </c>
      <c r="K886" s="26" t="n">
        <v>292.0736111458485</v>
      </c>
      <c r="L886" s="27" t="n">
        <v>0.284361883297375</v>
      </c>
      <c r="M886" s="26" t="n">
        <v>284.4011938532473</v>
      </c>
      <c r="N886" s="27" t="n">
        <v>0.3059081319812151</v>
      </c>
      <c r="O886" s="26" t="n">
        <v>255.6741495988945</v>
      </c>
      <c r="P886" s="27" t="n">
        <v>0.32318928443361</v>
      </c>
      <c r="Q886" s="26" t="n">
        <v>270.4264623257267</v>
      </c>
      <c r="R886" s="27" t="n">
        <v>0.3353385738157735</v>
      </c>
      <c r="S886" s="26" t="n">
        <v>262.5370662036819</v>
      </c>
      <c r="T886" s="27" t="n">
        <v>0.3492854250606993</v>
      </c>
      <c r="U886" s="26" t="n">
        <v>271.7639334501091</v>
      </c>
      <c r="V886" s="27" t="n">
        <v>0.3296362675762108</v>
      </c>
      <c r="W886" s="26" t="n">
        <v>272.7281188321853</v>
      </c>
      <c r="X886" s="27" t="n">
        <v>0.3179569191195518</v>
      </c>
      <c r="Y886" s="26" t="n">
        <v>262.288386282697</v>
      </c>
      <c r="Z886" s="27" t="n">
        <v>0.2648539541784912</v>
      </c>
      <c r="AA886" s="26" t="n">
        <v>264.1312716652458</v>
      </c>
      <c r="AB886" s="27" t="n">
        <v>0.3437425844493081</v>
      </c>
    </row>
    <row r="887">
      <c r="A887" s="26" t="n">
        <v>281.3718627598527</v>
      </c>
      <c r="B887" s="27" t="n">
        <v>0.3175229898970345</v>
      </c>
      <c r="C887" s="26" t="n">
        <v>274.1028080241803</v>
      </c>
      <c r="D887" s="27" t="n">
        <v>0.324945362098189</v>
      </c>
      <c r="E887" s="26" t="n">
        <v>292.4566725739193</v>
      </c>
      <c r="F887" s="27" t="n">
        <v>0.2973065095293527</v>
      </c>
      <c r="G887" s="26" t="n">
        <v>300.8925902448125</v>
      </c>
      <c r="H887" s="27" t="n">
        <v>0.2711845578664107</v>
      </c>
      <c r="I887" s="26" t="n">
        <v>302.7588665106475</v>
      </c>
      <c r="J887" s="27" t="n">
        <v>0.2709255507010329</v>
      </c>
      <c r="K887" s="26" t="n">
        <v>292.1498536402049</v>
      </c>
      <c r="L887" s="27" t="n">
        <v>0.2850535289014964</v>
      </c>
      <c r="M887" s="26" t="n">
        <v>284.4924995553331</v>
      </c>
      <c r="N887" s="27" t="n">
        <v>0.3064274021260193</v>
      </c>
      <c r="O887" s="26" t="n">
        <v>255.7985542929831</v>
      </c>
      <c r="P887" s="27" t="n">
        <v>0.3239242975177803</v>
      </c>
      <c r="Q887" s="26" t="n">
        <v>270.5205491013596</v>
      </c>
      <c r="R887" s="27" t="n">
        <v>0.3356778588578494</v>
      </c>
      <c r="S887" s="26" t="n">
        <v>262.6434898117133</v>
      </c>
      <c r="T887" s="27" t="n">
        <v>0.3495546307433158</v>
      </c>
      <c r="U887" s="26" t="n">
        <v>271.8489787445615</v>
      </c>
      <c r="V887" s="27" t="n">
        <v>0.3300468002959605</v>
      </c>
      <c r="W887" s="26" t="n">
        <v>272.8063043242381</v>
      </c>
      <c r="X887" s="27" t="n">
        <v>0.3185235807815716</v>
      </c>
      <c r="Y887" s="26" t="n">
        <v>262.3938274493039</v>
      </c>
      <c r="Z887" s="27" t="n">
        <v>0.2659188887382634</v>
      </c>
      <c r="AA887" s="26" t="n">
        <v>264.2114593269524</v>
      </c>
      <c r="AB887" s="27" t="n">
        <v>0.3440990003971536</v>
      </c>
    </row>
    <row r="888">
      <c r="A888" s="26" t="n">
        <v>281.537624423058</v>
      </c>
      <c r="B888" s="27" t="n">
        <v>0.3178473289545742</v>
      </c>
      <c r="C888" s="26" t="n">
        <v>274.2428575379951</v>
      </c>
      <c r="D888" s="27" t="n">
        <v>0.3253189460656064</v>
      </c>
      <c r="E888" s="26" t="n">
        <v>292.5697302282761</v>
      </c>
      <c r="F888" s="27" t="n">
        <v>0.2977982809288397</v>
      </c>
      <c r="G888" s="26" t="n">
        <v>300.9793126754181</v>
      </c>
      <c r="H888" s="27" t="n">
        <v>0.2719054765098105</v>
      </c>
      <c r="I888" s="26" t="n">
        <v>302.8392509391475</v>
      </c>
      <c r="J888" s="27" t="n">
        <v>0.2716334057241879</v>
      </c>
      <c r="K888" s="26" t="n">
        <v>292.2260961345613</v>
      </c>
      <c r="L888" s="27" t="n">
        <v>0.285741103311815</v>
      </c>
      <c r="M888" s="26" t="n">
        <v>284.5838052574189</v>
      </c>
      <c r="N888" s="27" t="n">
        <v>0.3069422245884054</v>
      </c>
      <c r="O888" s="26" t="n">
        <v>255.9229589870716</v>
      </c>
      <c r="P888" s="27" t="n">
        <v>0.3246544563852344</v>
      </c>
      <c r="Q888" s="26" t="n">
        <v>270.6146358769926</v>
      </c>
      <c r="R888" s="27" t="n">
        <v>0.3360132497394331</v>
      </c>
      <c r="S888" s="26" t="n">
        <v>262.7499134197446</v>
      </c>
      <c r="T888" s="27" t="n">
        <v>0.3498202105650555</v>
      </c>
      <c r="U888" s="26" t="n">
        <v>271.9340240390138</v>
      </c>
      <c r="V888" s="27" t="n">
        <v>0.3304531373286452</v>
      </c>
      <c r="W888" s="26" t="n">
        <v>272.8844898162909</v>
      </c>
      <c r="X888" s="27" t="n">
        <v>0.3190856148716403</v>
      </c>
      <c r="Y888" s="26" t="n">
        <v>262.4992686159108</v>
      </c>
      <c r="Z888" s="27" t="n">
        <v>0.2669853750215891</v>
      </c>
      <c r="AA888" s="26" t="n">
        <v>264.291646988659</v>
      </c>
      <c r="AB888" s="27" t="n">
        <v>0.3444514884321065</v>
      </c>
    </row>
    <row r="889">
      <c r="A889" s="26" t="n">
        <v>281.7033860862633</v>
      </c>
      <c r="B889" s="27" t="n">
        <v>0.3181673928371594</v>
      </c>
      <c r="C889" s="26" t="n">
        <v>274.3829070518099</v>
      </c>
      <c r="D889" s="27" t="n">
        <v>0.3256880942644925</v>
      </c>
      <c r="E889" s="26" t="n">
        <v>292.6827878826327</v>
      </c>
      <c r="F889" s="27" t="n">
        <v>0.298285632041438</v>
      </c>
      <c r="G889" s="26" t="n">
        <v>301.0660351060236</v>
      </c>
      <c r="H889" s="27" t="n">
        <v>0.272622697692784</v>
      </c>
      <c r="I889" s="26" t="n">
        <v>302.9196353676474</v>
      </c>
      <c r="J889" s="27" t="n">
        <v>0.272337513228734</v>
      </c>
      <c r="K889" s="26" t="n">
        <v>292.3023386289176</v>
      </c>
      <c r="L889" s="27" t="n">
        <v>0.2864245475051991</v>
      </c>
      <c r="M889" s="26" t="n">
        <v>284.6751109595048</v>
      </c>
      <c r="N889" s="27" t="n">
        <v>0.3074525740520496</v>
      </c>
      <c r="O889" s="26" t="n">
        <v>256.0473636811602</v>
      </c>
      <c r="P889" s="27" t="n">
        <v>0.3253796932972018</v>
      </c>
      <c r="Q889" s="26" t="n">
        <v>270.7087226526255</v>
      </c>
      <c r="R889" s="27" t="n">
        <v>0.3363447472008652</v>
      </c>
      <c r="S889" s="26" t="n">
        <v>262.856337027776</v>
      </c>
      <c r="T889" s="27" t="n">
        <v>0.3500821708279906</v>
      </c>
      <c r="U889" s="26" t="n">
        <v>272.0190693334661</v>
      </c>
      <c r="V889" s="27" t="n">
        <v>0.3308552723144973</v>
      </c>
      <c r="W889" s="26" t="n">
        <v>272.9626753083437</v>
      </c>
      <c r="X889" s="27" t="n">
        <v>0.3196429919644492</v>
      </c>
      <c r="Y889" s="26" t="n">
        <v>262.6047097825177</v>
      </c>
      <c r="Z889" s="27" t="n">
        <v>0.2680533333254271</v>
      </c>
      <c r="AA889" s="26" t="n">
        <v>264.3718346503656</v>
      </c>
      <c r="AB889" s="27" t="n">
        <v>0.3448000493476121</v>
      </c>
    </row>
    <row r="890">
      <c r="A890" s="26" t="n">
        <v>281.8691477494686</v>
      </c>
      <c r="B890" s="27" t="n">
        <v>0.3184831770671191</v>
      </c>
      <c r="C890" s="26" t="n">
        <v>274.5229565656247</v>
      </c>
      <c r="D890" s="27" t="n">
        <v>0.3260527990872211</v>
      </c>
      <c r="E890" s="26" t="n">
        <v>292.7958455369894</v>
      </c>
      <c r="F890" s="27" t="n">
        <v>0.2987685378717604</v>
      </c>
      <c r="G890" s="26" t="n">
        <v>301.1527575366292</v>
      </c>
      <c r="H890" s="27" t="n">
        <v>0.2733361515869835</v>
      </c>
      <c r="I890" s="26" t="n">
        <v>303.0000197961473</v>
      </c>
      <c r="J890" s="27" t="n">
        <v>0.2730378067216021</v>
      </c>
      <c r="K890" s="26" t="n">
        <v>292.378581123274</v>
      </c>
      <c r="L890" s="27" t="n">
        <v>0.2871038027984654</v>
      </c>
      <c r="M890" s="26" t="n">
        <v>284.7664166615907</v>
      </c>
      <c r="N890" s="27" t="n">
        <v>0.3079584257805198</v>
      </c>
      <c r="O890" s="26" t="n">
        <v>256.1717683752487</v>
      </c>
      <c r="P890" s="27" t="n">
        <v>0.3260999408992425</v>
      </c>
      <c r="Q890" s="26" t="n">
        <v>270.8028094282585</v>
      </c>
      <c r="R890" s="27" t="n">
        <v>0.3366723523793518</v>
      </c>
      <c r="S890" s="26" t="n">
        <v>262.9627606358074</v>
      </c>
      <c r="T890" s="27" t="n">
        <v>0.3503405181412232</v>
      </c>
      <c r="U890" s="26" t="n">
        <v>272.1041146279184</v>
      </c>
      <c r="V890" s="27" t="n">
        <v>0.3312531993814776</v>
      </c>
      <c r="W890" s="26" t="n">
        <v>273.0408608003964</v>
      </c>
      <c r="X890" s="27" t="n">
        <v>0.3201956832378682</v>
      </c>
      <c r="Y890" s="26" t="n">
        <v>262.7101509491246</v>
      </c>
      <c r="Z890" s="27" t="n">
        <v>0.2691226814996713</v>
      </c>
      <c r="AA890" s="26" t="n">
        <v>264.4520223120721</v>
      </c>
      <c r="AB890" s="27" t="n">
        <v>0.3451446843343769</v>
      </c>
    </row>
    <row r="891">
      <c r="A891" s="26" t="n">
        <v>282.0349094126739</v>
      </c>
      <c r="B891" s="27" t="n">
        <v>0.3187946776664773</v>
      </c>
      <c r="C891" s="26" t="n">
        <v>274.6630060794394</v>
      </c>
      <c r="D891" s="27" t="n">
        <v>0.3264130534604366</v>
      </c>
      <c r="E891" s="26" t="n">
        <v>292.9089031913462</v>
      </c>
      <c r="F891" s="27" t="n">
        <v>0.29924697400482</v>
      </c>
      <c r="G891" s="26" t="n">
        <v>301.2394799672347</v>
      </c>
      <c r="H891" s="27" t="n">
        <v>0.274045768479992</v>
      </c>
      <c r="I891" s="26" t="n">
        <v>303.0804042246473</v>
      </c>
      <c r="J891" s="27" t="n">
        <v>0.2737342198885533</v>
      </c>
      <c r="K891" s="26" t="n">
        <v>292.4548236176304</v>
      </c>
      <c r="L891" s="27" t="n">
        <v>0.2877788108702887</v>
      </c>
      <c r="M891" s="26" t="n">
        <v>284.8577223636765</v>
      </c>
      <c r="N891" s="27" t="n">
        <v>0.3084597556263776</v>
      </c>
      <c r="O891" s="26" t="n">
        <v>256.2961730693373</v>
      </c>
      <c r="P891" s="27" t="n">
        <v>0.3268151322469467</v>
      </c>
      <c r="Q891" s="26" t="n">
        <v>270.8968962038914</v>
      </c>
      <c r="R891" s="27" t="n">
        <v>0.3369960668088352</v>
      </c>
      <c r="S891" s="26" t="n">
        <v>263.0691842438388</v>
      </c>
      <c r="T891" s="27" t="n">
        <v>0.3505952594195014</v>
      </c>
      <c r="U891" s="26" t="n">
        <v>272.1891599223707</v>
      </c>
      <c r="V891" s="27" t="n">
        <v>0.3316469131472523</v>
      </c>
      <c r="W891" s="26" t="n">
        <v>273.1190462924493</v>
      </c>
      <c r="X891" s="27" t="n">
        <v>0.3207436604835621</v>
      </c>
      <c r="Y891" s="26" t="n">
        <v>262.8155921157315</v>
      </c>
      <c r="Z891" s="27" t="n">
        <v>0.2701933348993725</v>
      </c>
      <c r="AA891" s="26" t="n">
        <v>264.5322099737788</v>
      </c>
      <c r="AB891" s="27" t="n">
        <v>0.3454853949801635</v>
      </c>
    </row>
    <row r="892">
      <c r="A892" s="26" t="n">
        <v>282.2006710758792</v>
      </c>
      <c r="B892" s="27" t="n">
        <v>0.3191018911588879</v>
      </c>
      <c r="C892" s="26" t="n">
        <v>274.8030555932542</v>
      </c>
      <c r="D892" s="27" t="n">
        <v>0.326768850847918</v>
      </c>
      <c r="E892" s="26" t="n">
        <v>293.0219608457029</v>
      </c>
      <c r="F892" s="27" t="n">
        <v>0.29972091661533</v>
      </c>
      <c r="G892" s="26" t="n">
        <v>301.3262023978403</v>
      </c>
      <c r="H892" s="27" t="n">
        <v>0.2747514788004074</v>
      </c>
      <c r="I892" s="26" t="n">
        <v>303.1607886531472</v>
      </c>
      <c r="J892" s="27" t="n">
        <v>0.2744266866184373</v>
      </c>
      <c r="K892" s="26" t="n">
        <v>292.5310661119867</v>
      </c>
      <c r="L892" s="27" t="n">
        <v>0.2884495137833396</v>
      </c>
      <c r="M892" s="26" t="n">
        <v>284.9490280657623</v>
      </c>
      <c r="N892" s="27" t="n">
        <v>0.3089565400401736</v>
      </c>
      <c r="O892" s="26" t="n">
        <v>256.4205777634259</v>
      </c>
      <c r="P892" s="27" t="n">
        <v>0.3275252008319113</v>
      </c>
      <c r="Q892" s="26" t="n">
        <v>270.9909829795243</v>
      </c>
      <c r="R892" s="27" t="n">
        <v>0.3373158924197692</v>
      </c>
      <c r="S892" s="26" t="n">
        <v>263.1756078518702</v>
      </c>
      <c r="T892" s="27" t="n">
        <v>0.3508464018817699</v>
      </c>
      <c r="U892" s="26" t="n">
        <v>272.274205216823</v>
      </c>
      <c r="V892" s="27" t="n">
        <v>0.3320364087210434</v>
      </c>
      <c r="W892" s="26" t="n">
        <v>273.197231784502</v>
      </c>
      <c r="X892" s="27" t="n">
        <v>0.3212868961175002</v>
      </c>
      <c r="Y892" s="26" t="n">
        <v>262.9210332823385</v>
      </c>
      <c r="Z892" s="27" t="n">
        <v>0.2712652063369144</v>
      </c>
      <c r="AA892" s="26" t="n">
        <v>264.6123976354854</v>
      </c>
      <c r="AB892" s="27" t="n">
        <v>0.3458221832694964</v>
      </c>
    </row>
    <row r="893">
      <c r="A893" s="26" t="n">
        <v>282.3664327390845</v>
      </c>
      <c r="B893" s="27" t="n">
        <v>0.3194048145714448</v>
      </c>
      <c r="C893" s="26" t="n">
        <v>274.943105107069</v>
      </c>
      <c r="D893" s="27" t="n">
        <v>0.3271201852533117</v>
      </c>
      <c r="E893" s="26" t="n">
        <v>293.1350185000597</v>
      </c>
      <c r="F893" s="27" t="n">
        <v>0.3001903424768957</v>
      </c>
      <c r="G893" s="26" t="n">
        <v>301.4129248284459</v>
      </c>
      <c r="H893" s="27" t="n">
        <v>0.2754532131433762</v>
      </c>
      <c r="I893" s="26" t="n">
        <v>303.2411730816472</v>
      </c>
      <c r="J893" s="27" t="n">
        <v>0.2751151410278205</v>
      </c>
      <c r="K893" s="26" t="n">
        <v>292.6073086063431</v>
      </c>
      <c r="L893" s="27" t="n">
        <v>0.2891158540066237</v>
      </c>
      <c r="M893" s="26" t="n">
        <v>285.0403337678482</v>
      </c>
      <c r="N893" s="27" t="n">
        <v>0.3094487560793237</v>
      </c>
      <c r="O893" s="26" t="n">
        <v>256.5449824575144</v>
      </c>
      <c r="P893" s="27" t="n">
        <v>0.3282300806079902</v>
      </c>
      <c r="Q893" s="26" t="n">
        <v>271.0850697551573</v>
      </c>
      <c r="R893" s="27" t="n">
        <v>0.3376318315388024</v>
      </c>
      <c r="S893" s="26" t="n">
        <v>263.2820314599015</v>
      </c>
      <c r="T893" s="27" t="n">
        <v>0.3510939530496585</v>
      </c>
      <c r="U893" s="26" t="n">
        <v>272.3592505112753</v>
      </c>
      <c r="V893" s="27" t="n">
        <v>0.3324216817053622</v>
      </c>
      <c r="W893" s="26" t="n">
        <v>273.2754172765549</v>
      </c>
      <c r="X893" s="27" t="n">
        <v>0.3218253631903597</v>
      </c>
      <c r="Y893" s="26" t="n">
        <v>263.0264744489454</v>
      </c>
      <c r="Z893" s="27" t="n">
        <v>0.2723382060341752</v>
      </c>
      <c r="AA893" s="26" t="n">
        <v>264.692585297192</v>
      </c>
      <c r="AB893" s="27" t="n">
        <v>0.3461550515832725</v>
      </c>
    </row>
    <row r="894">
      <c r="A894" s="26" t="n">
        <v>282.5321944022899</v>
      </c>
      <c r="B894" s="27" t="n">
        <v>0.3197034454363618</v>
      </c>
      <c r="C894" s="26" t="n">
        <v>275.0831546208838</v>
      </c>
      <c r="D894" s="27" t="n">
        <v>0.3274670512227253</v>
      </c>
      <c r="E894" s="26" t="n">
        <v>293.2480761544164</v>
      </c>
      <c r="F894" s="27" t="n">
        <v>0.300655228971088</v>
      </c>
      <c r="G894" s="26" t="n">
        <v>301.4996472590515</v>
      </c>
      <c r="H894" s="27" t="n">
        <v>0.2761509022965704</v>
      </c>
      <c r="I894" s="26" t="n">
        <v>303.3215575101471</v>
      </c>
      <c r="J894" s="27" t="n">
        <v>0.2757995174860021</v>
      </c>
      <c r="K894" s="26" t="n">
        <v>292.6835511006994</v>
      </c>
      <c r="L894" s="27" t="n">
        <v>0.2897777744380238</v>
      </c>
      <c r="M894" s="26" t="n">
        <v>285.131639469934</v>
      </c>
      <c r="N894" s="27" t="n">
        <v>0.3099363814168635</v>
      </c>
      <c r="O894" s="26" t="n">
        <v>256.6693871516029</v>
      </c>
      <c r="P894" s="27" t="n">
        <v>0.3289297060177906</v>
      </c>
      <c r="Q894" s="26" t="n">
        <v>271.1791565307902</v>
      </c>
      <c r="R894" s="27" t="n">
        <v>0.337943886888368</v>
      </c>
      <c r="S894" s="26" t="n">
        <v>263.3884550679329</v>
      </c>
      <c r="T894" s="27" t="n">
        <v>0.3513379207459073</v>
      </c>
      <c r="U894" s="26" t="n">
        <v>272.4442958057276</v>
      </c>
      <c r="V894" s="27" t="n">
        <v>0.3328027281976161</v>
      </c>
      <c r="W894" s="26" t="n">
        <v>273.3536027686077</v>
      </c>
      <c r="X894" s="27" t="n">
        <v>0.3223590353978077</v>
      </c>
      <c r="Y894" s="26" t="n">
        <v>263.1319156155523</v>
      </c>
      <c r="Z894" s="27" t="n">
        <v>0.2734122415747565</v>
      </c>
      <c r="AA894" s="26" t="n">
        <v>264.7727729588986</v>
      </c>
      <c r="AB894" s="27" t="n">
        <v>0.3464840026982828</v>
      </c>
    </row>
    <row r="895">
      <c r="A895" s="26" t="n">
        <v>282.6979560654951</v>
      </c>
      <c r="B895" s="27" t="n">
        <v>0.3199977817925267</v>
      </c>
      <c r="C895" s="26" t="n">
        <v>275.2232041346986</v>
      </c>
      <c r="D895" s="27" t="n">
        <v>0.3278094438471867</v>
      </c>
      <c r="E895" s="26" t="n">
        <v>293.361133808773</v>
      </c>
      <c r="F895" s="27" t="n">
        <v>0.3011155540963985</v>
      </c>
      <c r="G895" s="26" t="n">
        <v>301.5863696896571</v>
      </c>
      <c r="H895" s="27" t="n">
        <v>0.2768444772666053</v>
      </c>
      <c r="I895" s="26" t="n">
        <v>303.401941938647</v>
      </c>
      <c r="J895" s="27" t="n">
        <v>0.2764797506403842</v>
      </c>
      <c r="K895" s="26" t="n">
        <v>292.7597935950557</v>
      </c>
      <c r="L895" s="27" t="n">
        <v>0.2904352184270328</v>
      </c>
      <c r="M895" s="26" t="n">
        <v>285.2229451720198</v>
      </c>
      <c r="N895" s="27" t="n">
        <v>0.3104193943500781</v>
      </c>
      <c r="O895" s="26" t="n">
        <v>256.7937918456914</v>
      </c>
      <c r="P895" s="27" t="n">
        <v>0.3296240120194484</v>
      </c>
      <c r="Q895" s="26" t="n">
        <v>271.2732433064232</v>
      </c>
      <c r="R895" s="27" t="n">
        <v>0.3382520615861793</v>
      </c>
      <c r="S895" s="26" t="n">
        <v>263.4948786759643</v>
      </c>
      <c r="T895" s="27" t="n">
        <v>0.3515783130927295</v>
      </c>
      <c r="U895" s="26" t="n">
        <v>272.5293411001799</v>
      </c>
      <c r="V895" s="27" t="n">
        <v>0.3331795447915921</v>
      </c>
      <c r="W895" s="26" t="n">
        <v>273.4317882606605</v>
      </c>
      <c r="X895" s="27" t="n">
        <v>0.3228878870906677</v>
      </c>
      <c r="Y895" s="26" t="n">
        <v>263.2373567821592</v>
      </c>
      <c r="Z895" s="27" t="n">
        <v>0.2744872178563431</v>
      </c>
      <c r="AA895" s="26" t="n">
        <v>264.8529606206051</v>
      </c>
      <c r="AB895" s="27" t="n">
        <v>0.3468090397866366</v>
      </c>
    </row>
    <row r="896">
      <c r="A896" s="26" t="n">
        <v>282.8637177287004</v>
      </c>
      <c r="B896" s="27" t="n">
        <v>0.3202878221869203</v>
      </c>
      <c r="C896" s="26" t="n">
        <v>275.3632536485133</v>
      </c>
      <c r="D896" s="27" t="n">
        <v>0.3281473587649582</v>
      </c>
      <c r="E896" s="26" t="n">
        <v>293.4741914631298</v>
      </c>
      <c r="F896" s="27" t="n">
        <v>0.3015712964770646</v>
      </c>
      <c r="G896" s="26" t="n">
        <v>301.6730921202626</v>
      </c>
      <c r="H896" s="27" t="n">
        <v>0.277533869305883</v>
      </c>
      <c r="I896" s="26" t="n">
        <v>303.482326367147</v>
      </c>
      <c r="J896" s="27" t="n">
        <v>0.2771557754422165</v>
      </c>
      <c r="K896" s="26" t="n">
        <v>292.8360360894121</v>
      </c>
      <c r="L896" s="27" t="n">
        <v>0.2910881297976621</v>
      </c>
      <c r="M896" s="26" t="n">
        <v>285.3142508741057</v>
      </c>
      <c r="N896" s="27" t="n">
        <v>0.3108977738089961</v>
      </c>
      <c r="O896" s="26" t="n">
        <v>256.91819653978</v>
      </c>
      <c r="P896" s="27" t="n">
        <v>0.3303129341136052</v>
      </c>
      <c r="Q896" s="26" t="n">
        <v>271.3673300820561</v>
      </c>
      <c r="R896" s="27" t="n">
        <v>0.3385563591446312</v>
      </c>
      <c r="S896" s="26" t="n">
        <v>263.6013022839956</v>
      </c>
      <c r="T896" s="27" t="n">
        <v>0.3518151385101121</v>
      </c>
      <c r="U896" s="26" t="n">
        <v>272.6143863946322</v>
      </c>
      <c r="V896" s="27" t="n">
        <v>0.3335521285788148</v>
      </c>
      <c r="W896" s="26" t="n">
        <v>273.5099737527133</v>
      </c>
      <c r="X896" s="27" t="n">
        <v>0.3234118932849467</v>
      </c>
      <c r="Y896" s="26" t="n">
        <v>263.3427979487661</v>
      </c>
      <c r="Z896" s="27" t="n">
        <v>0.2755630370432642</v>
      </c>
      <c r="AA896" s="26" t="n">
        <v>264.9331482823118</v>
      </c>
      <c r="AB896" s="27" t="n">
        <v>0.3471301664150955</v>
      </c>
    </row>
    <row r="897">
      <c r="A897" s="26" t="n">
        <v>283.0294793919057</v>
      </c>
      <c r="B897" s="27" t="n">
        <v>0.3205735656759039</v>
      </c>
      <c r="C897" s="26" t="n">
        <v>275.5033031623281</v>
      </c>
      <c r="D897" s="27" t="n">
        <v>0.3284807921637107</v>
      </c>
      <c r="E897" s="26" t="n">
        <v>293.5872491174865</v>
      </c>
      <c r="F897" s="27" t="n">
        <v>0.3020224353717636</v>
      </c>
      <c r="G897" s="26" t="n">
        <v>301.7598145508682</v>
      </c>
      <c r="H897" s="27" t="n">
        <v>0.2782190099398607</v>
      </c>
      <c r="I897" s="26" t="n">
        <v>303.5627107956469</v>
      </c>
      <c r="J897" s="27" t="n">
        <v>0.2778275271726762</v>
      </c>
      <c r="K897" s="26" t="n">
        <v>292.9122785837684</v>
      </c>
      <c r="L897" s="27" t="n">
        <v>0.2917364528715254</v>
      </c>
      <c r="M897" s="26" t="n">
        <v>285.4055565761915</v>
      </c>
      <c r="N897" s="27" t="n">
        <v>0.3113714993647458</v>
      </c>
      <c r="O897" s="26" t="n">
        <v>257.0426012338686</v>
      </c>
      <c r="P897" s="27" t="n">
        <v>0.330996408370634</v>
      </c>
      <c r="Q897" s="26" t="n">
        <v>271.4614168576891</v>
      </c>
      <c r="R897" s="27" t="n">
        <v>0.3388567834701069</v>
      </c>
      <c r="S897" s="26" t="n">
        <v>263.707725892027</v>
      </c>
      <c r="T897" s="27" t="n">
        <v>0.3520484057140549</v>
      </c>
      <c r="U897" s="26" t="n">
        <v>272.6994316890845</v>
      </c>
      <c r="V897" s="27" t="n">
        <v>0.3339204771497755</v>
      </c>
      <c r="W897" s="26" t="n">
        <v>273.5881592447661</v>
      </c>
      <c r="X897" s="27" t="n">
        <v>0.3239310296717341</v>
      </c>
      <c r="Y897" s="26" t="n">
        <v>263.448239115373</v>
      </c>
      <c r="Z897" s="27" t="n">
        <v>0.2766395985193418</v>
      </c>
      <c r="AA897" s="26" t="n">
        <v>265.0133359440183</v>
      </c>
      <c r="AB897" s="27" t="n">
        <v>0.3474473865443122</v>
      </c>
    </row>
    <row r="898">
      <c r="A898" s="26" t="n">
        <v>283.1952410551111</v>
      </c>
      <c r="B898" s="27" t="n">
        <v>0.3208550118263737</v>
      </c>
      <c r="C898" s="26" t="n">
        <v>275.6433526761429</v>
      </c>
      <c r="D898" s="27" t="n">
        <v>0.3288097407825514</v>
      </c>
      <c r="E898" s="26" t="n">
        <v>293.7003067718433</v>
      </c>
      <c r="F898" s="27" t="n">
        <v>0.3024689506821682</v>
      </c>
      <c r="G898" s="26" t="n">
        <v>301.8465369814738</v>
      </c>
      <c r="H898" s="27" t="n">
        <v>0.2788998309947318</v>
      </c>
      <c r="I898" s="26" t="n">
        <v>303.6430952241469</v>
      </c>
      <c r="J898" s="27" t="n">
        <v>0.278494941469303</v>
      </c>
      <c r="K898" s="26" t="n">
        <v>292.9885210781248</v>
      </c>
      <c r="L898" s="27" t="n">
        <v>0.2923801324910791</v>
      </c>
      <c r="M898" s="26" t="n">
        <v>285.4968622782773</v>
      </c>
      <c r="N898" s="27" t="n">
        <v>0.3118405512377657</v>
      </c>
      <c r="O898" s="26" t="n">
        <v>257.1670059279571</v>
      </c>
      <c r="P898" s="27" t="n">
        <v>0.3316743714580641</v>
      </c>
      <c r="Q898" s="26" t="n">
        <v>271.555503633322</v>
      </c>
      <c r="R898" s="27" t="n">
        <v>0.3391533388621898</v>
      </c>
      <c r="S898" s="26" t="n">
        <v>263.8141495000584</v>
      </c>
      <c r="T898" s="27" t="n">
        <v>0.3522781237147459</v>
      </c>
      <c r="U898" s="26" t="n">
        <v>272.7844769835368</v>
      </c>
      <c r="V898" s="27" t="n">
        <v>0.3342845885950319</v>
      </c>
      <c r="W898" s="26" t="n">
        <v>273.6663447368189</v>
      </c>
      <c r="X898" s="27" t="n">
        <v>0.3244452726269547</v>
      </c>
      <c r="Y898" s="26" t="n">
        <v>263.55368028198</v>
      </c>
      <c r="Z898" s="27" t="n">
        <v>0.2777167988410993</v>
      </c>
      <c r="AA898" s="26" t="n">
        <v>265.093523605725</v>
      </c>
      <c r="AB898" s="27" t="n">
        <v>0.3477607045279765</v>
      </c>
    </row>
    <row r="899">
      <c r="A899" s="26" t="n">
        <v>283.3610027183164</v>
      </c>
      <c r="B899" s="27" t="n">
        <v>0.3211321607167774</v>
      </c>
      <c r="C899" s="26" t="n">
        <v>275.7834021899577</v>
      </c>
      <c r="D899" s="27" t="n">
        <v>0.3291342019139047</v>
      </c>
      <c r="E899" s="26" t="n">
        <v>293.8133644262</v>
      </c>
      <c r="F899" s="27" t="n">
        <v>0.3029108229613514</v>
      </c>
      <c r="G899" s="26" t="n">
        <v>301.9332594120793</v>
      </c>
      <c r="H899" s="27" t="n">
        <v>0.2795762646255104</v>
      </c>
      <c r="I899" s="26" t="n">
        <v>303.7234796526468</v>
      </c>
      <c r="J899" s="27" t="n">
        <v>0.2791579543527528</v>
      </c>
      <c r="K899" s="26" t="n">
        <v>293.0647635724812</v>
      </c>
      <c r="L899" s="27" t="n">
        <v>0.2930191140429993</v>
      </c>
      <c r="M899" s="26" t="n">
        <v>285.5881679803632</v>
      </c>
      <c r="N899" s="27" t="n">
        <v>0.312304910305867</v>
      </c>
      <c r="O899" s="26" t="n">
        <v>257.2914106220456</v>
      </c>
      <c r="P899" s="27" t="n">
        <v>0.3323467606682127</v>
      </c>
      <c r="Q899" s="26" t="n">
        <v>271.649590408955</v>
      </c>
      <c r="R899" s="27" t="n">
        <v>0.3394460300127806</v>
      </c>
      <c r="S899" s="26" t="n">
        <v>263.9205731080897</v>
      </c>
      <c r="T899" s="27" t="n">
        <v>0.3525043018146776</v>
      </c>
      <c r="U899" s="26" t="n">
        <v>272.8695222779891</v>
      </c>
      <c r="V899" s="27" t="n">
        <v>0.3346444615061795</v>
      </c>
      <c r="W899" s="26" t="n">
        <v>273.7445302288717</v>
      </c>
      <c r="X899" s="27" t="n">
        <v>0.3249545992209707</v>
      </c>
      <c r="Y899" s="26" t="n">
        <v>263.6591214485868</v>
      </c>
      <c r="Z899" s="27" t="n">
        <v>0.2787945316914299</v>
      </c>
      <c r="AA899" s="26" t="n">
        <v>265.1737112674315</v>
      </c>
      <c r="AB899" s="27" t="n">
        <v>0.3480701251118661</v>
      </c>
    </row>
    <row r="900">
      <c r="A900" s="26" t="n">
        <v>283.5267643815217</v>
      </c>
      <c r="B900" s="27" t="n">
        <v>0.321405012937994</v>
      </c>
      <c r="C900" s="26" t="n">
        <v>275.9234517037724</v>
      </c>
      <c r="D900" s="27" t="n">
        <v>0.3294541734052452</v>
      </c>
      <c r="E900" s="26" t="n">
        <v>293.9264220805567</v>
      </c>
      <c r="F900" s="27" t="n">
        <v>0.3033480334220494</v>
      </c>
      <c r="G900" s="26" t="n">
        <v>302.019981842685</v>
      </c>
      <c r="H900" s="27" t="n">
        <v>0.2802482433445131</v>
      </c>
      <c r="I900" s="26" t="n">
        <v>303.8038640811467</v>
      </c>
      <c r="J900" s="27" t="n">
        <v>0.2798165022538832</v>
      </c>
      <c r="K900" s="26" t="n">
        <v>293.1410060668375</v>
      </c>
      <c r="L900" s="27" t="n">
        <v>0.2936533434817106</v>
      </c>
      <c r="M900" s="26" t="n">
        <v>285.679473682449</v>
      </c>
      <c r="N900" s="27" t="n">
        <v>0.3127645581121371</v>
      </c>
      <c r="O900" s="26" t="n">
        <v>257.4158153161342</v>
      </c>
      <c r="P900" s="27" t="n">
        <v>0.3330135139459967</v>
      </c>
      <c r="Q900" s="26" t="n">
        <v>271.743677184588</v>
      </c>
      <c r="R900" s="27" t="n">
        <v>0.3397348620051183</v>
      </c>
      <c r="S900" s="26" t="n">
        <v>264.0269967161211</v>
      </c>
      <c r="T900" s="27" t="n">
        <v>0.352726949606701</v>
      </c>
      <c r="U900" s="26" t="n">
        <v>272.9545675724414</v>
      </c>
      <c r="V900" s="27" t="n">
        <v>0.3350000949766886</v>
      </c>
      <c r="W900" s="26" t="n">
        <v>273.8227157209245</v>
      </c>
      <c r="X900" s="27" t="n">
        <v>0.3254589872280305</v>
      </c>
      <c r="Y900" s="26" t="n">
        <v>263.7645626151938</v>
      </c>
      <c r="Z900" s="27" t="n">
        <v>0.2798726878338086</v>
      </c>
      <c r="AA900" s="26" t="n">
        <v>265.2538989291381</v>
      </c>
      <c r="AB900" s="27" t="n">
        <v>0.3483756534328041</v>
      </c>
    </row>
    <row r="901">
      <c r="A901" s="26" t="n">
        <v>283.6925260447269</v>
      </c>
      <c r="B901" s="27" t="n">
        <v>0.3216735695940749</v>
      </c>
      <c r="C901" s="26" t="n">
        <v>276.0635012175871</v>
      </c>
      <c r="D901" s="27" t="n">
        <v>0.3297696536606773</v>
      </c>
      <c r="E901" s="26" t="n">
        <v>294.0394797349135</v>
      </c>
      <c r="F901" s="27" t="n">
        <v>0.3037805639447573</v>
      </c>
      <c r="G901" s="26" t="n">
        <v>302.1067042732905</v>
      </c>
      <c r="H901" s="27" t="n">
        <v>0.2809157000502215</v>
      </c>
      <c r="I901" s="26" t="n">
        <v>303.8842485096467</v>
      </c>
      <c r="J901" s="27" t="n">
        <v>0.2804705220411371</v>
      </c>
      <c r="K901" s="26" t="n">
        <v>293.2172485611939</v>
      </c>
      <c r="L901" s="27" t="n">
        <v>0.2942827673530236</v>
      </c>
      <c r="M901" s="26" t="n">
        <v>285.7707793845348</v>
      </c>
      <c r="N901" s="27" t="n">
        <v>0.3132194768726828</v>
      </c>
      <c r="O901" s="26" t="n">
        <v>257.5402200102227</v>
      </c>
      <c r="P901" s="27" t="n">
        <v>0.3336745699169167</v>
      </c>
      <c r="Q901" s="26" t="n">
        <v>271.8377639602209</v>
      </c>
      <c r="R901" s="27" t="n">
        <v>0.3400198403127069</v>
      </c>
      <c r="S901" s="26" t="n">
        <v>264.1334203241525</v>
      </c>
      <c r="T901" s="27" t="n">
        <v>0.3529460769720192</v>
      </c>
      <c r="U901" s="26" t="n">
        <v>273.0396128668937</v>
      </c>
      <c r="V901" s="27" t="n">
        <v>0.3353514886026089</v>
      </c>
      <c r="W901" s="26" t="n">
        <v>273.9009012129773</v>
      </c>
      <c r="X901" s="27" t="n">
        <v>0.3259584151355502</v>
      </c>
      <c r="Y901" s="26" t="n">
        <v>263.8700037818006</v>
      </c>
      <c r="Z901" s="27" t="n">
        <v>0.280951155067151</v>
      </c>
      <c r="AA901" s="26" t="n">
        <v>265.3340865908448</v>
      </c>
      <c r="AB901" s="27" t="n">
        <v>0.3486772950175224</v>
      </c>
    </row>
    <row r="902">
      <c r="A902" s="26" t="n">
        <v>283.8582877079323</v>
      </c>
      <c r="B902" s="27" t="n">
        <v>0.3219378323028445</v>
      </c>
      <c r="C902" s="26" t="n">
        <v>276.2035507314019</v>
      </c>
      <c r="D902" s="27" t="n">
        <v>0.3300806416423641</v>
      </c>
      <c r="E902" s="26" t="n">
        <v>294.1525373892702</v>
      </c>
      <c r="F902" s="27" t="n">
        <v>0.3042083970856702</v>
      </c>
      <c r="G902" s="26" t="n">
        <v>302.1934267038961</v>
      </c>
      <c r="H902" s="27" t="n">
        <v>0.2815785680565183</v>
      </c>
      <c r="I902" s="26" t="n">
        <v>303.9646329381466</v>
      </c>
      <c r="J902" s="27" t="n">
        <v>0.2811199510482352</v>
      </c>
      <c r="K902" s="26" t="n">
        <v>293.2934910555502</v>
      </c>
      <c r="L902" s="27" t="n">
        <v>0.2949073328178861</v>
      </c>
      <c r="M902" s="26" t="n">
        <v>285.8620850866207</v>
      </c>
      <c r="N902" s="27" t="n">
        <v>0.3136696494842049</v>
      </c>
      <c r="O902" s="26" t="n">
        <v>257.6646247043113</v>
      </c>
      <c r="P902" s="27" t="n">
        <v>0.3343298679151923</v>
      </c>
      <c r="Q902" s="26" t="n">
        <v>271.9318507358539</v>
      </c>
      <c r="R902" s="27" t="n">
        <v>0.3403009707981461</v>
      </c>
      <c r="S902" s="26" t="n">
        <v>264.2398439321839</v>
      </c>
      <c r="T902" s="27" t="n">
        <v>0.3531616940781201</v>
      </c>
      <c r="U902" s="26" t="n">
        <v>273.124658161346</v>
      </c>
      <c r="V902" s="27" t="n">
        <v>0.335698642483143</v>
      </c>
      <c r="W902" s="26" t="n">
        <v>273.9790867050301</v>
      </c>
      <c r="X902" s="27" t="n">
        <v>0.3264528621532321</v>
      </c>
      <c r="Y902" s="26" t="n">
        <v>263.9754449484076</v>
      </c>
      <c r="Z902" s="27" t="n">
        <v>0.2820298181814263</v>
      </c>
      <c r="AA902" s="26" t="n">
        <v>265.4142742525513</v>
      </c>
      <c r="AB902" s="27" t="n">
        <v>0.3489750557814296</v>
      </c>
    </row>
    <row r="903">
      <c r="A903" s="26" t="n">
        <v>284.0240493711376</v>
      </c>
      <c r="B903" s="27" t="n">
        <v>0.3221978031963577</v>
      </c>
      <c r="C903" s="26" t="n">
        <v>276.3436002452167</v>
      </c>
      <c r="D903" s="27" t="n">
        <v>0.3303871368717989</v>
      </c>
      <c r="E903" s="26" t="n">
        <v>294.2655950436268</v>
      </c>
      <c r="F903" s="27" t="n">
        <v>0.3046315160844484</v>
      </c>
      <c r="G903" s="26" t="n">
        <v>302.2801491345016</v>
      </c>
      <c r="H903" s="27" t="n">
        <v>0.2822367811222844</v>
      </c>
      <c r="I903" s="26" t="n">
        <v>304.0450173666466</v>
      </c>
      <c r="J903" s="27" t="n">
        <v>0.2817647271021391</v>
      </c>
      <c r="K903" s="26" t="n">
        <v>293.3697335499065</v>
      </c>
      <c r="L903" s="27" t="n">
        <v>0.2955269876762314</v>
      </c>
      <c r="M903" s="26" t="n">
        <v>285.9533907887065</v>
      </c>
      <c r="N903" s="27" t="n">
        <v>0.3141150595314006</v>
      </c>
      <c r="O903" s="26" t="n">
        <v>257.7890293983999</v>
      </c>
      <c r="P903" s="27" t="n">
        <v>0.3349793480120573</v>
      </c>
      <c r="Q903" s="26" t="n">
        <v>272.0259375114869</v>
      </c>
      <c r="R903" s="27" t="n">
        <v>0.3405782597118657</v>
      </c>
      <c r="S903" s="26" t="n">
        <v>264.3462675402153</v>
      </c>
      <c r="T903" s="27" t="n">
        <v>0.3533738113766505</v>
      </c>
      <c r="U903" s="26" t="n">
        <v>273.2097034557984</v>
      </c>
      <c r="V903" s="27" t="n">
        <v>0.336041557221078</v>
      </c>
      <c r="W903" s="26" t="n">
        <v>274.057272197083</v>
      </c>
      <c r="X903" s="27" t="n">
        <v>0.3269423082219969</v>
      </c>
      <c r="Y903" s="26" t="n">
        <v>264.0808861150144</v>
      </c>
      <c r="Z903" s="27" t="n">
        <v>0.2831085589141308</v>
      </c>
      <c r="AA903" s="26" t="n">
        <v>265.494461914258</v>
      </c>
      <c r="AB903" s="27" t="n">
        <v>0.3492689420272855</v>
      </c>
    </row>
    <row r="904">
      <c r="A904" s="26" t="n">
        <v>284.1898110343429</v>
      </c>
      <c r="B904" s="27" t="n">
        <v>0.322453484921217</v>
      </c>
      <c r="C904" s="26" t="n">
        <v>276.4836497590315</v>
      </c>
      <c r="D904" s="27" t="n">
        <v>0.3306891394309223</v>
      </c>
      <c r="E904" s="26" t="n">
        <v>294.3786526979836</v>
      </c>
      <c r="F904" s="27" t="n">
        <v>0.3050499048718106</v>
      </c>
      <c r="G904" s="26" t="n">
        <v>302.3668715651072</v>
      </c>
      <c r="H904" s="27" t="n">
        <v>0.2828902734813408</v>
      </c>
      <c r="I904" s="26" t="n">
        <v>304.1254017951464</v>
      </c>
      <c r="J904" s="27" t="n">
        <v>0.2824047885513007</v>
      </c>
      <c r="K904" s="26" t="n">
        <v>293.4459760442629</v>
      </c>
      <c r="L904" s="27" t="n">
        <v>0.2961416803909075</v>
      </c>
      <c r="M904" s="26" t="n">
        <v>286.0446964907923</v>
      </c>
      <c r="N904" s="27" t="n">
        <v>0.314555691294184</v>
      </c>
      <c r="O904" s="26" t="n">
        <v>257.9134340924884</v>
      </c>
      <c r="P904" s="27" t="n">
        <v>0.3356229510441393</v>
      </c>
      <c r="Q904" s="26" t="n">
        <v>272.1200242871197</v>
      </c>
      <c r="R904" s="27" t="n">
        <v>0.3408517136907646</v>
      </c>
      <c r="S904" s="26" t="n">
        <v>264.4526911482466</v>
      </c>
      <c r="T904" s="27" t="n">
        <v>0.3535824396012287</v>
      </c>
      <c r="U904" s="26" t="n">
        <v>273.2947487502506</v>
      </c>
      <c r="V904" s="27" t="n">
        <v>0.3363802339230872</v>
      </c>
      <c r="W904" s="26" t="n">
        <v>274.1354576891357</v>
      </c>
      <c r="X904" s="27" t="n">
        <v>0.3274267340227426</v>
      </c>
      <c r="Y904" s="26" t="n">
        <v>264.1863272816214</v>
      </c>
      <c r="Z904" s="27" t="n">
        <v>0.2841872559077393</v>
      </c>
      <c r="AA904" s="26" t="n">
        <v>265.5746495759645</v>
      </c>
      <c r="AB904" s="27" t="n">
        <v>0.3495589604437809</v>
      </c>
    </row>
    <row r="905">
      <c r="A905" s="26" t="n">
        <v>284.3555726975483</v>
      </c>
      <c r="B905" s="27" t="n">
        <v>0.3227048806387431</v>
      </c>
      <c r="C905" s="26" t="n">
        <v>276.6236992728463</v>
      </c>
      <c r="D905" s="27" t="n">
        <v>0.3309866499630802</v>
      </c>
      <c r="E905" s="26" t="n">
        <v>294.4917103523404</v>
      </c>
      <c r="F905" s="27" t="n">
        <v>0.305463548076945</v>
      </c>
      <c r="G905" s="26" t="n">
        <v>302.4535939957128</v>
      </c>
      <c r="H905" s="27" t="n">
        <v>0.2835389798727314</v>
      </c>
      <c r="I905" s="26" t="n">
        <v>304.2057862236464</v>
      </c>
      <c r="J905" s="27" t="n">
        <v>0.2830400742941568</v>
      </c>
      <c r="K905" s="26" t="n">
        <v>293.5222185386192</v>
      </c>
      <c r="L905" s="27" t="n">
        <v>0.2967513601116754</v>
      </c>
      <c r="M905" s="26" t="n">
        <v>286.1360021928782</v>
      </c>
      <c r="N905" s="27" t="n">
        <v>0.3149915297547243</v>
      </c>
      <c r="O905" s="26" t="n">
        <v>258.0378387865769</v>
      </c>
      <c r="P905" s="27" t="n">
        <v>0.3362606186419869</v>
      </c>
      <c r="Q905" s="26" t="n">
        <v>272.2141110627527</v>
      </c>
      <c r="R905" s="27" t="n">
        <v>0.3411213397567553</v>
      </c>
      <c r="S905" s="26" t="n">
        <v>264.559114756278</v>
      </c>
      <c r="T905" s="27" t="n">
        <v>0.353787589765201</v>
      </c>
      <c r="U905" s="26" t="n">
        <v>273.379794044703</v>
      </c>
      <c r="V905" s="27" t="n">
        <v>0.3367146741998899</v>
      </c>
      <c r="W905" s="26" t="n">
        <v>274.2136431811886</v>
      </c>
      <c r="X905" s="27" t="n">
        <v>0.3279061209849058</v>
      </c>
      <c r="Y905" s="26" t="n">
        <v>264.2917684482283</v>
      </c>
      <c r="Z905" s="27" t="n">
        <v>0.2852657846682608</v>
      </c>
      <c r="AA905" s="26" t="n">
        <v>265.6548372376711</v>
      </c>
      <c r="AB905" s="27" t="n">
        <v>0.3498451181040227</v>
      </c>
    </row>
    <row r="906">
      <c r="A906" s="26" t="n">
        <v>284.5213343607535</v>
      </c>
      <c r="B906" s="27" t="n">
        <v>0.3229519940250013</v>
      </c>
      <c r="C906" s="26" t="n">
        <v>276.763748786661</v>
      </c>
      <c r="D906" s="27" t="n">
        <v>0.3312796696738199</v>
      </c>
      <c r="E906" s="26" t="n">
        <v>294.6047680066971</v>
      </c>
      <c r="F906" s="27" t="n">
        <v>0.3058724310347324</v>
      </c>
      <c r="G906" s="26" t="n">
        <v>302.5403164263183</v>
      </c>
      <c r="H906" s="27" t="n">
        <v>0.284182835571314</v>
      </c>
      <c r="I906" s="26" t="n">
        <v>304.2861706521463</v>
      </c>
      <c r="J906" s="27" t="n">
        <v>0.2836705238078734</v>
      </c>
      <c r="K906" s="26" t="n">
        <v>293.5984610329756</v>
      </c>
      <c r="L906" s="27" t="n">
        <v>0.2973559766992586</v>
      </c>
      <c r="M906" s="26" t="n">
        <v>286.227307894964</v>
      </c>
      <c r="N906" s="27" t="n">
        <v>0.3154225606042922</v>
      </c>
      <c r="O906" s="26" t="n">
        <v>258.1622434806654</v>
      </c>
      <c r="P906" s="27" t="n">
        <v>0.3368922932586693</v>
      </c>
      <c r="Q906" s="26" t="n">
        <v>272.3081978383857</v>
      </c>
      <c r="R906" s="27" t="n">
        <v>0.3413871453152113</v>
      </c>
      <c r="S906" s="26" t="n">
        <v>264.6655383643094</v>
      </c>
      <c r="T906" s="27" t="n">
        <v>0.3539892731593364</v>
      </c>
      <c r="U906" s="26" t="n">
        <v>273.4648393391552</v>
      </c>
      <c r="V906" s="27" t="n">
        <v>0.3370448801662735</v>
      </c>
      <c r="W906" s="26" t="n">
        <v>274.2918286732413</v>
      </c>
      <c r="X906" s="27" t="n">
        <v>0.3283804512948303</v>
      </c>
      <c r="Y906" s="26" t="n">
        <v>264.3972096148352</v>
      </c>
      <c r="Z906" s="27" t="n">
        <v>0.286344017525025</v>
      </c>
      <c r="AA906" s="26" t="n">
        <v>265.7350248993777</v>
      </c>
      <c r="AB906" s="27" t="n">
        <v>0.3501274224639251</v>
      </c>
    </row>
    <row r="907">
      <c r="A907" s="26" t="n">
        <v>284.6870960239588</v>
      </c>
      <c r="B907" s="27" t="n">
        <v>0.3231948292706806</v>
      </c>
      <c r="C907" s="26" t="n">
        <v>276.9037983004758</v>
      </c>
      <c r="D907" s="27" t="n">
        <v>0.3315682003315269</v>
      </c>
      <c r="E907" s="26" t="n">
        <v>294.7178256610538</v>
      </c>
      <c r="F907" s="27" t="n">
        <v>0.3062765397927768</v>
      </c>
      <c r="G907" s="26" t="n">
        <v>302.6270388569239</v>
      </c>
      <c r="H907" s="27" t="n">
        <v>0.2848217764186688</v>
      </c>
      <c r="I907" s="26" t="n">
        <v>304.3665550806463</v>
      </c>
      <c r="J907" s="27" t="n">
        <v>0.2842960771773145</v>
      </c>
      <c r="K907" s="26" t="n">
        <v>293.674703527332</v>
      </c>
      <c r="L907" s="27" t="n">
        <v>0.2979554807494336</v>
      </c>
      <c r="M907" s="26" t="n">
        <v>286.3186135970498</v>
      </c>
      <c r="N907" s="27" t="n">
        <v>0.3158487702499083</v>
      </c>
      <c r="O907" s="26" t="n">
        <v>258.286648174754</v>
      </c>
      <c r="P907" s="27" t="n">
        <v>0.3375179181984435</v>
      </c>
      <c r="Q907" s="26" t="n">
        <v>272.4022846140186</v>
      </c>
      <c r="R907" s="27" t="n">
        <v>0.3416491381533182</v>
      </c>
      <c r="S907" s="26" t="n">
        <v>264.7719619723408</v>
      </c>
      <c r="T907" s="27" t="n">
        <v>0.3541875013494658</v>
      </c>
      <c r="U907" s="26" t="n">
        <v>273.5498846336076</v>
      </c>
      <c r="V907" s="27" t="n">
        <v>0.3373708544409774</v>
      </c>
      <c r="W907" s="26" t="n">
        <v>274.3700141652942</v>
      </c>
      <c r="X907" s="27" t="n">
        <v>0.3288497079039294</v>
      </c>
      <c r="Y907" s="26" t="n">
        <v>264.5026507814421</v>
      </c>
      <c r="Z907" s="27" t="n">
        <v>0.2874218235918363</v>
      </c>
      <c r="AA907" s="26" t="n">
        <v>265.8152125610843</v>
      </c>
      <c r="AB907" s="27" t="n">
        <v>0.3504058813605054</v>
      </c>
    </row>
    <row r="908">
      <c r="A908" s="26" t="n">
        <v>284.8528576871641</v>
      </c>
      <c r="B908" s="27" t="n">
        <v>0.3234333910808255</v>
      </c>
      <c r="C908" s="26" t="n">
        <v>277.0438478142906</v>
      </c>
      <c r="D908" s="27" t="n">
        <v>0.3318522442678959</v>
      </c>
      <c r="E908" s="26" t="n">
        <v>294.8308833154105</v>
      </c>
      <c r="F908" s="27" t="n">
        <v>0.3066758611182354</v>
      </c>
      <c r="G908" s="26" t="n">
        <v>302.7137612875295</v>
      </c>
      <c r="H908" s="27" t="n">
        <v>0.2854557388542858</v>
      </c>
      <c r="I908" s="26" t="n">
        <v>304.4469395091462</v>
      </c>
      <c r="J908" s="27" t="n">
        <v>0.2849166751242241</v>
      </c>
      <c r="K908" s="26" t="n">
        <v>293.7509460216883</v>
      </c>
      <c r="L908" s="27" t="n">
        <v>0.2985498236171424</v>
      </c>
      <c r="M908" s="26" t="n">
        <v>286.4099192991357</v>
      </c>
      <c r="N908" s="27" t="n">
        <v>0.3162701458207907</v>
      </c>
      <c r="O908" s="26" t="n">
        <v>258.4110528688425</v>
      </c>
      <c r="P908" s="27" t="n">
        <v>0.338137437645489</v>
      </c>
      <c r="Q908" s="26" t="n">
        <v>272.4963713896515</v>
      </c>
      <c r="R908" s="27" t="n">
        <v>0.3419073264383323</v>
      </c>
      <c r="S908" s="26" t="n">
        <v>264.8783855803721</v>
      </c>
      <c r="T908" s="27" t="n">
        <v>0.3543822861740621</v>
      </c>
      <c r="U908" s="26" t="n">
        <v>273.6349299280598</v>
      </c>
      <c r="V908" s="27" t="n">
        <v>0.3376926001464338</v>
      </c>
      <c r="W908" s="26" t="n">
        <v>274.4481996573469</v>
      </c>
      <c r="X908" s="27" t="n">
        <v>0.3293138745366387</v>
      </c>
      <c r="Y908" s="26" t="n">
        <v>264.608091948049</v>
      </c>
      <c r="Z908" s="27" t="n">
        <v>0.2884990687296387</v>
      </c>
      <c r="AA908" s="26" t="n">
        <v>265.895400222791</v>
      </c>
      <c r="AB908" s="27" t="n">
        <v>0.3506805030100886</v>
      </c>
    </row>
    <row r="909">
      <c r="A909" s="26" t="n">
        <v>285.0186193503695</v>
      </c>
      <c r="B909" s="27" t="n">
        <v>0.3236676846744184</v>
      </c>
      <c r="C909" s="26" t="n">
        <v>277.1838973281054</v>
      </c>
      <c r="D909" s="27" t="n">
        <v>0.3321318043782386</v>
      </c>
      <c r="E909" s="26" t="n">
        <v>294.9439409697673</v>
      </c>
      <c r="F909" s="27" t="n">
        <v>0.3070703825044429</v>
      </c>
      <c r="G909" s="26" t="n">
        <v>302.8004837181351</v>
      </c>
      <c r="H909" s="27" t="n">
        <v>0.2860846599470291</v>
      </c>
      <c r="I909" s="26" t="n">
        <v>304.5273239376462</v>
      </c>
      <c r="J909" s="27" t="n">
        <v>0.2855322590366025</v>
      </c>
      <c r="K909" s="26" t="n">
        <v>293.8271885160447</v>
      </c>
      <c r="L909" s="27" t="n">
        <v>0.2991389574406135</v>
      </c>
      <c r="M909" s="26" t="n">
        <v>286.5012250012215</v>
      </c>
      <c r="N909" s="27" t="n">
        <v>0.3166866751745963</v>
      </c>
      <c r="O909" s="26" t="n">
        <v>258.5354575629311</v>
      </c>
      <c r="P909" s="27" t="n">
        <v>0.338750796692666</v>
      </c>
      <c r="Q909" s="26" t="n">
        <v>272.5904581652845</v>
      </c>
      <c r="R909" s="27" t="n">
        <v>0.3421617187157404</v>
      </c>
      <c r="S909" s="26" t="n">
        <v>264.9848091884035</v>
      </c>
      <c r="T909" s="27" t="n">
        <v>0.3545736397417646</v>
      </c>
      <c r="U909" s="26" t="n">
        <v>273.7199752225122</v>
      </c>
      <c r="V909" s="27" t="n">
        <v>0.3380101209083696</v>
      </c>
      <c r="W909" s="26" t="n">
        <v>274.5263851493997</v>
      </c>
      <c r="X909" s="27" t="n">
        <v>0.3297729356981542</v>
      </c>
      <c r="Y909" s="26" t="n">
        <v>264.7135331146559</v>
      </c>
      <c r="Z909" s="27" t="n">
        <v>0.289575615510843</v>
      </c>
      <c r="AA909" s="26" t="n">
        <v>265.9755878844975</v>
      </c>
      <c r="AB909" s="27" t="n">
        <v>0.3509512960064143</v>
      </c>
    </row>
    <row r="910">
      <c r="A910" s="26" t="n">
        <v>285.1843810135748</v>
      </c>
      <c r="B910" s="27" t="n">
        <v>0.3238977157838143</v>
      </c>
      <c r="C910" s="26" t="n">
        <v>277.3239468419201</v>
      </c>
      <c r="D910" s="27" t="n">
        <v>0.3324068841216232</v>
      </c>
      <c r="E910" s="26" t="n">
        <v>295.0569986241239</v>
      </c>
      <c r="F910" s="27" t="n">
        <v>0.3074600921773266</v>
      </c>
      <c r="G910" s="26" t="n">
        <v>302.8872061487406</v>
      </c>
      <c r="H910" s="27" t="n">
        <v>0.2867084774268555</v>
      </c>
      <c r="I910" s="26" t="n">
        <v>304.6077083661461</v>
      </c>
      <c r="J910" s="27" t="n">
        <v>0.2861427709982599</v>
      </c>
      <c r="K910" s="26" t="n">
        <v>293.9034310104011</v>
      </c>
      <c r="L910" s="27" t="n">
        <v>0.2997228351654671</v>
      </c>
      <c r="M910" s="26" t="n">
        <v>286.5925307033074</v>
      </c>
      <c r="N910" s="27" t="n">
        <v>0.3170983469034436</v>
      </c>
      <c r="O910" s="26" t="n">
        <v>258.6598622570197</v>
      </c>
      <c r="P910" s="27" t="n">
        <v>0.3393579413702978</v>
      </c>
      <c r="Q910" s="26" t="n">
        <v>272.6845449409174</v>
      </c>
      <c r="R910" s="27" t="n">
        <v>0.342412323907327</v>
      </c>
      <c r="S910" s="26" t="n">
        <v>265.0912327964349</v>
      </c>
      <c r="T910" s="27" t="n">
        <v>0.3547615744288461</v>
      </c>
      <c r="U910" s="26" t="n">
        <v>273.8050205169644</v>
      </c>
      <c r="V910" s="27" t="n">
        <v>0.3383234208552635</v>
      </c>
      <c r="W910" s="26" t="n">
        <v>274.6045706414526</v>
      </c>
      <c r="X910" s="27" t="n">
        <v>0.3302268766819398</v>
      </c>
      <c r="Y910" s="26" t="n">
        <v>264.8189742812629</v>
      </c>
      <c r="Z910" s="27" t="n">
        <v>0.290651323185471</v>
      </c>
      <c r="AA910" s="26" t="n">
        <v>266.0557755462041</v>
      </c>
      <c r="AB910" s="27" t="n">
        <v>0.3512182693186524</v>
      </c>
    </row>
    <row r="911">
      <c r="A911" s="26" t="n">
        <v>285.3501426767801</v>
      </c>
      <c r="B911" s="27" t="n">
        <v>0.3241234906540222</v>
      </c>
      <c r="C911" s="26" t="n">
        <v>277.4639963557349</v>
      </c>
      <c r="D911" s="27" t="n">
        <v>0.3326774875208493</v>
      </c>
      <c r="E911" s="26" t="n">
        <v>295.1700562784807</v>
      </c>
      <c r="F911" s="27" t="n">
        <v>0.3078449791016007</v>
      </c>
      <c r="G911" s="26" t="n">
        <v>302.9739285793462</v>
      </c>
      <c r="H911" s="27" t="n">
        <v>0.2873271297167662</v>
      </c>
      <c r="I911" s="26" t="n">
        <v>304.6880927946461</v>
      </c>
      <c r="J911" s="27" t="n">
        <v>0.2867481538185302</v>
      </c>
      <c r="K911" s="26" t="n">
        <v>293.9796735047573</v>
      </c>
      <c r="L911" s="27" t="n">
        <v>0.3003014105688041</v>
      </c>
      <c r="M911" s="26" t="n">
        <v>286.6838364053932</v>
      </c>
      <c r="N911" s="27" t="n">
        <v>0.3175051503397222</v>
      </c>
      <c r="O911" s="26" t="n">
        <v>258.7842669511082</v>
      </c>
      <c r="P911" s="27" t="n">
        <v>0.3399588186749436</v>
      </c>
      <c r="Q911" s="26" t="n">
        <v>272.7786317165504</v>
      </c>
      <c r="R911" s="27" t="n">
        <v>0.342659151309144</v>
      </c>
      <c r="S911" s="26" t="n">
        <v>265.1976564044663</v>
      </c>
      <c r="T911" s="27" t="n">
        <v>0.3549461028766244</v>
      </c>
      <c r="U911" s="26" t="n">
        <v>273.8900658114168</v>
      </c>
      <c r="V911" s="27" t="n">
        <v>0.3386325046176637</v>
      </c>
      <c r="W911" s="26" t="n">
        <v>274.6827561335053</v>
      </c>
      <c r="X911" s="27" t="n">
        <v>0.330675683577012</v>
      </c>
      <c r="Y911" s="26" t="n">
        <v>264.9244154478697</v>
      </c>
      <c r="Z911" s="27" t="n">
        <v>0.2917260476492832</v>
      </c>
      <c r="AA911" s="26" t="n">
        <v>266.1359632079107</v>
      </c>
      <c r="AB911" s="27" t="n">
        <v>0.3514814322893248</v>
      </c>
    </row>
    <row r="912">
      <c r="A912" s="26" t="n">
        <v>285.5159043399854</v>
      </c>
      <c r="B912" s="27" t="n">
        <v>0.3243450160418375</v>
      </c>
      <c r="C912" s="26" t="n">
        <v>277.6040458695497</v>
      </c>
      <c r="D912" s="27" t="n">
        <v>0.332943619162249</v>
      </c>
      <c r="E912" s="26" t="n">
        <v>295.2831139328374</v>
      </c>
      <c r="F912" s="27" t="n">
        <v>0.3082250329867411</v>
      </c>
      <c r="G912" s="26" t="n">
        <v>303.0606510099518</v>
      </c>
      <c r="H912" s="27" t="n">
        <v>0.2879405559649818</v>
      </c>
      <c r="I912" s="26" t="n">
        <v>304.768477223146</v>
      </c>
      <c r="J912" s="27" t="n">
        <v>0.2873483510621256</v>
      </c>
      <c r="K912" s="26" t="n">
        <v>294.0559159991137</v>
      </c>
      <c r="L912" s="27" t="n">
        <v>0.3008746382832437</v>
      </c>
      <c r="M912" s="26" t="n">
        <v>286.775142107479</v>
      </c>
      <c r="N912" s="27" t="n">
        <v>0.3179070755616742</v>
      </c>
      <c r="O912" s="26" t="n">
        <v>258.9086716451967</v>
      </c>
      <c r="P912" s="27" t="n">
        <v>0.3405533765981505</v>
      </c>
      <c r="Q912" s="26" t="n">
        <v>272.8727184921833</v>
      </c>
      <c r="R912" s="27" t="n">
        <v>0.3429022105893892</v>
      </c>
      <c r="S912" s="26" t="n">
        <v>265.3040800124977</v>
      </c>
      <c r="T912" s="27" t="n">
        <v>0.3551272379888189</v>
      </c>
      <c r="U912" s="26" t="n">
        <v>273.975111105869</v>
      </c>
      <c r="V912" s="27" t="n">
        <v>0.3389373773273563</v>
      </c>
      <c r="W912" s="26" t="n">
        <v>274.7609416255582</v>
      </c>
      <c r="X912" s="27" t="n">
        <v>0.331119343274983</v>
      </c>
      <c r="Y912" s="26" t="n">
        <v>265.0298566144767</v>
      </c>
      <c r="Z912" s="27" t="n">
        <v>0.2927996414140611</v>
      </c>
      <c r="AA912" s="26" t="n">
        <v>266.2161508696173</v>
      </c>
      <c r="AB912" s="27" t="n">
        <v>0.3517407946321343</v>
      </c>
    </row>
    <row r="913">
      <c r="A913" s="26" t="n">
        <v>285.6816660031907</v>
      </c>
      <c r="B913" s="27" t="n">
        <v>0.3245622992148208</v>
      </c>
      <c r="C913" s="26" t="n">
        <v>277.7440953833645</v>
      </c>
      <c r="D913" s="27" t="n">
        <v>0.3332052841953211</v>
      </c>
      <c r="E913" s="26" t="n">
        <v>295.3961715871941</v>
      </c>
      <c r="F913" s="27" t="n">
        <v>0.3086002442927277</v>
      </c>
      <c r="G913" s="26" t="n">
        <v>303.1473734405573</v>
      </c>
      <c r="H913" s="27" t="n">
        <v>0.288548696077309</v>
      </c>
      <c r="I913" s="26" t="n">
        <v>304.848861651646</v>
      </c>
      <c r="J913" s="27" t="n">
        <v>0.2879433070791126</v>
      </c>
      <c r="K913" s="26" t="n">
        <v>294.1321584934701</v>
      </c>
      <c r="L913" s="27" t="n">
        <v>0.3014424738209029</v>
      </c>
      <c r="M913" s="26" t="n">
        <v>286.8664478095649</v>
      </c>
      <c r="N913" s="27" t="n">
        <v>0.3183041133987458</v>
      </c>
      <c r="O913" s="26" t="n">
        <v>259.0330763392853</v>
      </c>
      <c r="P913" s="27" t="n">
        <v>0.3411415641551554</v>
      </c>
      <c r="Q913" s="26" t="n">
        <v>272.9668052678163</v>
      </c>
      <c r="R913" s="27" t="n">
        <v>0.3431415117861861</v>
      </c>
      <c r="S913" s="26" t="n">
        <v>265.410503620529</v>
      </c>
      <c r="T913" s="27" t="n">
        <v>0.3553049929288524</v>
      </c>
      <c r="U913" s="26" t="n">
        <v>274.0601564003214</v>
      </c>
      <c r="V913" s="27" t="n">
        <v>0.3392380446163978</v>
      </c>
      <c r="W913" s="26" t="n">
        <v>274.8391271176109</v>
      </c>
      <c r="X913" s="27" t="n">
        <v>0.3315578434768586</v>
      </c>
      <c r="Y913" s="26" t="n">
        <v>265.1352977810835</v>
      </c>
      <c r="Z913" s="27" t="n">
        <v>0.2938719535802247</v>
      </c>
      <c r="AA913" s="26" t="n">
        <v>266.2963385313239</v>
      </c>
      <c r="AB913" s="27" t="n">
        <v>0.3519963664296994</v>
      </c>
    </row>
    <row r="914">
      <c r="A914" s="26" t="n">
        <v>285.847427666396</v>
      </c>
      <c r="B914" s="27" t="n">
        <v>0.3247753479501246</v>
      </c>
      <c r="C914" s="26" t="n">
        <v>277.8841448971793</v>
      </c>
      <c r="D914" s="27" t="n">
        <v>0.3334624883321931</v>
      </c>
      <c r="E914" s="26" t="n">
        <v>295.5092292415509</v>
      </c>
      <c r="F914" s="27" t="n">
        <v>0.3089706042355544</v>
      </c>
      <c r="G914" s="26" t="n">
        <v>303.2340958711629</v>
      </c>
      <c r="H914" s="27" t="n">
        <v>0.2891514907496869</v>
      </c>
      <c r="I914" s="26" t="n">
        <v>304.9292460801458</v>
      </c>
      <c r="J914" s="27" t="n">
        <v>0.2885329670349883</v>
      </c>
      <c r="K914" s="26" t="n">
        <v>294.2084009878264</v>
      </c>
      <c r="L914" s="27" t="n">
        <v>0.3020048735972978</v>
      </c>
      <c r="M914" s="26" t="n">
        <v>286.9577535116507</v>
      </c>
      <c r="N914" s="27" t="n">
        <v>0.3186962554367039</v>
      </c>
      <c r="O914" s="26" t="n">
        <v>259.1574810333739</v>
      </c>
      <c r="P914" s="27" t="n">
        <v>0.341723331413524</v>
      </c>
      <c r="Q914" s="26" t="n">
        <v>273.0608920434492</v>
      </c>
      <c r="R914" s="27" t="n">
        <v>0.3433770653052737</v>
      </c>
      <c r="S914" s="26" t="n">
        <v>265.5169272285604</v>
      </c>
      <c r="T914" s="27" t="n">
        <v>0.3554793811170989</v>
      </c>
      <c r="U914" s="26" t="n">
        <v>274.1452016947737</v>
      </c>
      <c r="V914" s="27" t="n">
        <v>0.3395345126159923</v>
      </c>
      <c r="W914" s="26" t="n">
        <v>274.9173126096637</v>
      </c>
      <c r="X914" s="27" t="n">
        <v>0.3319911726995901</v>
      </c>
      <c r="Y914" s="26" t="n">
        <v>265.2407389476905</v>
      </c>
      <c r="Z914" s="27" t="n">
        <v>0.2949428298119711</v>
      </c>
      <c r="AA914" s="26" t="n">
        <v>266.3765261930305</v>
      </c>
      <c r="AB914" s="27" t="n">
        <v>0.3522481581311977</v>
      </c>
    </row>
    <row r="915">
      <c r="A915" s="26" t="n">
        <v>286.0131893296013</v>
      </c>
      <c r="B915" s="27" t="n">
        <v>0.3249841705331668</v>
      </c>
      <c r="C915" s="26" t="n">
        <v>278.024194410994</v>
      </c>
      <c r="D915" s="27" t="n">
        <v>0.3337152378469095</v>
      </c>
      <c r="E915" s="26" t="n">
        <v>295.6222868959076</v>
      </c>
      <c r="F915" s="27" t="n">
        <v>0.3093361047924973</v>
      </c>
      <c r="G915" s="26" t="n">
        <v>303.3208183017685</v>
      </c>
      <c r="H915" s="27" t="n">
        <v>0.2897488815008892</v>
      </c>
      <c r="I915" s="26" t="n">
        <v>305.0096305086458</v>
      </c>
      <c r="J915" s="27" t="n">
        <v>0.2891172769408402</v>
      </c>
      <c r="K915" s="26" t="n">
        <v>294.2846434821828</v>
      </c>
      <c r="L915" s="27" t="n">
        <v>0.3025617949551442</v>
      </c>
      <c r="M915" s="26" t="n">
        <v>287.0490592137365</v>
      </c>
      <c r="N915" s="27" t="n">
        <v>0.3190834940225123</v>
      </c>
      <c r="O915" s="26" t="n">
        <v>259.2818857274624</v>
      </c>
      <c r="P915" s="27" t="n">
        <v>0.3422986295216982</v>
      </c>
      <c r="Q915" s="26" t="n">
        <v>273.1549788190821</v>
      </c>
      <c r="R915" s="27" t="n">
        <v>0.3436088819175999</v>
      </c>
      <c r="S915" s="26" t="n">
        <v>265.6233508365918</v>
      </c>
      <c r="T915" s="27" t="n">
        <v>0.3556504162280789</v>
      </c>
      <c r="U915" s="26" t="n">
        <v>274.230246989226</v>
      </c>
      <c r="V915" s="27" t="n">
        <v>0.3398267879552336</v>
      </c>
      <c r="W915" s="26" t="n">
        <v>274.9954981017165</v>
      </c>
      <c r="X915" s="27" t="n">
        <v>0.3324193202823656</v>
      </c>
      <c r="Y915" s="26" t="n">
        <v>265.3461801142973</v>
      </c>
      <c r="Z915" s="27" t="n">
        <v>0.2960121123151307</v>
      </c>
      <c r="AA915" s="26" t="n">
        <v>266.4567138547371</v>
      </c>
      <c r="AB915" s="27" t="n">
        <v>0.3524961805499181</v>
      </c>
    </row>
    <row r="916">
      <c r="A916" s="26" t="n">
        <v>286.1789509928067</v>
      </c>
      <c r="B916" s="27" t="n">
        <v>0.3251887757561486</v>
      </c>
      <c r="C916" s="26" t="n">
        <v>278.1642439248088</v>
      </c>
      <c r="D916" s="27" t="n">
        <v>0.3339635395745471</v>
      </c>
      <c r="E916" s="26" t="n">
        <v>295.7353445502644</v>
      </c>
      <c r="F916" s="27" t="n">
        <v>0.3096967387071378</v>
      </c>
      <c r="G916" s="26" t="n">
        <v>303.4075407323741</v>
      </c>
      <c r="H916" s="27" t="n">
        <v>0.2903408107053539</v>
      </c>
      <c r="I916" s="26" t="n">
        <v>305.0900149371457</v>
      </c>
      <c r="J916" s="27" t="n">
        <v>0.2896961836835612</v>
      </c>
      <c r="K916" s="26" t="n">
        <v>294.3608859765391</v>
      </c>
      <c r="L916" s="27" t="n">
        <v>0.3031131961880458</v>
      </c>
      <c r="M916" s="26" t="n">
        <v>287.1403649158224</v>
      </c>
      <c r="N916" s="27" t="n">
        <v>0.3194658222689615</v>
      </c>
      <c r="O916" s="26" t="n">
        <v>259.4062904215509</v>
      </c>
      <c r="P916" s="27" t="n">
        <v>0.3428674107374314</v>
      </c>
      <c r="Q916" s="26" t="n">
        <v>273.2490655947151</v>
      </c>
      <c r="R916" s="27" t="n">
        <v>0.3438369727568225</v>
      </c>
      <c r="S916" s="26" t="n">
        <v>265.7297744446231</v>
      </c>
      <c r="T916" s="27" t="n">
        <v>0.3558181121876006</v>
      </c>
      <c r="U916" s="26" t="n">
        <v>274.3152922836783</v>
      </c>
      <c r="V916" s="27" t="n">
        <v>0.3401148777596938</v>
      </c>
      <c r="W916" s="26" t="n">
        <v>275.0736835937694</v>
      </c>
      <c r="X916" s="27" t="n">
        <v>0.3328422763926398</v>
      </c>
      <c r="Y916" s="26" t="n">
        <v>265.4516212809043</v>
      </c>
      <c r="Z916" s="27" t="n">
        <v>0.2970796398179446</v>
      </c>
      <c r="AA916" s="26" t="n">
        <v>266.5369015164437</v>
      </c>
      <c r="AB916" s="27" t="n">
        <v>0.3527404448607194</v>
      </c>
    </row>
    <row r="917">
      <c r="A917" s="26" t="n">
        <v>286.3447126560119</v>
      </c>
      <c r="B917" s="27" t="n">
        <v>0.3253891729164211</v>
      </c>
      <c r="C917" s="26" t="n">
        <v>278.3042934386236</v>
      </c>
      <c r="D917" s="27" t="n">
        <v>0.3342074009101554</v>
      </c>
      <c r="E917" s="26" t="n">
        <v>295.848402204621</v>
      </c>
      <c r="F917" s="27" t="n">
        <v>0.3100524994941309</v>
      </c>
      <c r="G917" s="26" t="n">
        <v>303.4942631629796</v>
      </c>
      <c r="H917" s="27" t="n">
        <v>0.2909272216261352</v>
      </c>
      <c r="I917" s="26" t="n">
        <v>305.1703993656457</v>
      </c>
      <c r="J917" s="27" t="n">
        <v>0.2902696350561038</v>
      </c>
      <c r="K917" s="26" t="n">
        <v>294.4371284708955</v>
      </c>
      <c r="L917" s="27" t="n">
        <v>0.3036590365640435</v>
      </c>
      <c r="M917" s="26" t="n">
        <v>287.2316706179082</v>
      </c>
      <c r="N917" s="27" t="n">
        <v>0.3198432340590447</v>
      </c>
      <c r="O917" s="26" t="n">
        <v>259.5306951156394</v>
      </c>
      <c r="P917" s="27" t="n">
        <v>0.3434296284560893</v>
      </c>
      <c r="Q917" s="26" t="n">
        <v>273.3431523703481</v>
      </c>
      <c r="R917" s="27" t="n">
        <v>0.3440613493167182</v>
      </c>
      <c r="S917" s="26" t="n">
        <v>265.8361980526545</v>
      </c>
      <c r="T917" s="27" t="n">
        <v>0.3559824831698517</v>
      </c>
      <c r="U917" s="26" t="n">
        <v>274.4003375781306</v>
      </c>
      <c r="V917" s="27" t="n">
        <v>0.3403987896498716</v>
      </c>
      <c r="W917" s="26" t="n">
        <v>275.1518690858222</v>
      </c>
      <c r="X917" s="27" t="n">
        <v>0.3332600320318914</v>
      </c>
      <c r="Y917" s="26" t="n">
        <v>265.5570624475112</v>
      </c>
      <c r="Z917" s="27" t="n">
        <v>0.298145247554972</v>
      </c>
      <c r="AA917" s="26" t="n">
        <v>266.6170891781503</v>
      </c>
      <c r="AB917" s="27" t="n">
        <v>0.3529809625973994</v>
      </c>
    </row>
    <row r="918">
      <c r="A918" s="26" t="n">
        <v>286.5104743192172</v>
      </c>
      <c r="B918" s="27" t="n">
        <v>0.3255853718146927</v>
      </c>
      <c r="C918" s="26" t="n">
        <v>278.4443429524384</v>
      </c>
      <c r="D918" s="27" t="n">
        <v>0.3344468298075213</v>
      </c>
      <c r="E918" s="26" t="n">
        <v>295.9614598589777</v>
      </c>
      <c r="F918" s="27" t="n">
        <v>0.3104033814437223</v>
      </c>
      <c r="G918" s="26" t="n">
        <v>303.5809855935852</v>
      </c>
      <c r="H918" s="27" t="n">
        <v>0.2915080584479235</v>
      </c>
      <c r="I918" s="26" t="n">
        <v>305.2507837941456</v>
      </c>
      <c r="J918" s="27" t="n">
        <v>0.2908375797877487</v>
      </c>
      <c r="K918" s="26" t="n">
        <v>294.5133709652519</v>
      </c>
      <c r="L918" s="27" t="n">
        <v>0.3041992763490098</v>
      </c>
      <c r="M918" s="26" t="n">
        <v>287.322976319994</v>
      </c>
      <c r="N918" s="27" t="n">
        <v>0.3202157240500827</v>
      </c>
      <c r="O918" s="26" t="n">
        <v>259.655099809728</v>
      </c>
      <c r="P918" s="27" t="n">
        <v>0.34398523723879</v>
      </c>
      <c r="Q918" s="26" t="n">
        <v>273.437239145981</v>
      </c>
      <c r="R918" s="27" t="n">
        <v>0.3442820234484976</v>
      </c>
      <c r="S918" s="26" t="n">
        <v>265.9426216606859</v>
      </c>
      <c r="T918" s="27" t="n">
        <v>0.3561435435944376</v>
      </c>
      <c r="U918" s="26" t="n">
        <v>274.4853828725829</v>
      </c>
      <c r="V918" s="27" t="n">
        <v>0.3406785317394888</v>
      </c>
      <c r="W918" s="26" t="n">
        <v>275.230054577875</v>
      </c>
      <c r="X918" s="27" t="n">
        <v>0.3336725790411105</v>
      </c>
      <c r="Y918" s="26" t="n">
        <v>265.6625036141181</v>
      </c>
      <c r="Z918" s="27" t="n">
        <v>0.2992087672543488</v>
      </c>
      <c r="AA918" s="26" t="n">
        <v>266.6972768398568</v>
      </c>
      <c r="AB918" s="27" t="n">
        <v>0.3532177456499735</v>
      </c>
    </row>
    <row r="919">
      <c r="A919" s="26" t="n">
        <v>286.6762359824226</v>
      </c>
      <c r="B919" s="27" t="n">
        <v>0.3257773827530855</v>
      </c>
      <c r="C919" s="26" t="n">
        <v>278.5843924662531</v>
      </c>
      <c r="D919" s="27" t="n">
        <v>0.3346818347777583</v>
      </c>
      <c r="E919" s="26" t="n">
        <v>296.0745175133345</v>
      </c>
      <c r="F919" s="27" t="n">
        <v>0.3107493796259958</v>
      </c>
      <c r="G919" s="26" t="n">
        <v>303.6677080241908</v>
      </c>
      <c r="H919" s="27" t="n">
        <v>0.292083266310141</v>
      </c>
      <c r="I919" s="26" t="n">
        <v>305.3311682226456</v>
      </c>
      <c r="J919" s="27" t="n">
        <v>0.2913999675743611</v>
      </c>
      <c r="K919" s="26" t="n">
        <v>294.5896134596081</v>
      </c>
      <c r="L919" s="27" t="n">
        <v>0.3047338768298703</v>
      </c>
      <c r="M919" s="26" t="n">
        <v>287.4142820220799</v>
      </c>
      <c r="N919" s="27" t="n">
        <v>0.3205832876775804</v>
      </c>
      <c r="O919" s="26" t="n">
        <v>259.7795045038166</v>
      </c>
      <c r="P919" s="27" t="n">
        <v>0.3445341928403622</v>
      </c>
      <c r="Q919" s="26" t="n">
        <v>273.5313259216139</v>
      </c>
      <c r="R919" s="27" t="n">
        <v>0.3444990073580304</v>
      </c>
      <c r="S919" s="26" t="n">
        <v>266.0490452687172</v>
      </c>
      <c r="T919" s="27" t="n">
        <v>0.3563013081233711</v>
      </c>
      <c r="U919" s="26" t="n">
        <v>274.5704281670352</v>
      </c>
      <c r="V919" s="27" t="n">
        <v>0.3409541126336446</v>
      </c>
      <c r="W919" s="26" t="n">
        <v>275.3082400699278</v>
      </c>
      <c r="X919" s="27" t="n">
        <v>0.3340799101059942</v>
      </c>
      <c r="Y919" s="26" t="n">
        <v>265.767944780725</v>
      </c>
      <c r="Z919" s="27" t="n">
        <v>0.3002700271286239</v>
      </c>
      <c r="AA919" s="26" t="n">
        <v>266.7774645015635</v>
      </c>
      <c r="AB919" s="27" t="n">
        <v>0.3534508062618619</v>
      </c>
    </row>
    <row r="920">
      <c r="A920" s="26" t="n">
        <v>286.8419976456279</v>
      </c>
      <c r="B920" s="27" t="n">
        <v>0.325965216533033</v>
      </c>
      <c r="C920" s="26" t="n">
        <v>278.7244419800679</v>
      </c>
      <c r="D920" s="27" t="n">
        <v>0.3349124248877176</v>
      </c>
      <c r="E920" s="26" t="n">
        <v>296.1875751676912</v>
      </c>
      <c r="F920" s="27" t="n">
        <v>0.311090489894857</v>
      </c>
      <c r="G920" s="26" t="n">
        <v>303.7544304547963</v>
      </c>
      <c r="H920" s="27" t="n">
        <v>0.2926527913400667</v>
      </c>
      <c r="I920" s="26" t="n">
        <v>305.4115526511455</v>
      </c>
      <c r="J920" s="27" t="n">
        <v>0.2919567491086159</v>
      </c>
      <c r="K920" s="26" t="n">
        <v>294.6658559539645</v>
      </c>
      <c r="L920" s="27" t="n">
        <v>0.3052628003376286</v>
      </c>
      <c r="M920" s="26" t="n">
        <v>287.5055877241657</v>
      </c>
      <c r="N920" s="27" t="n">
        <v>0.3209459211588235</v>
      </c>
      <c r="O920" s="26" t="n">
        <v>259.9039091979051</v>
      </c>
      <c r="P920" s="27" t="n">
        <v>0.3450764522370969</v>
      </c>
      <c r="Q920" s="26" t="n">
        <v>273.6254126972469</v>
      </c>
      <c r="R920" s="27" t="n">
        <v>0.3447123136029775</v>
      </c>
      <c r="S920" s="26" t="n">
        <v>266.1554688767486</v>
      </c>
      <c r="T920" s="27" t="n">
        <v>0.3564557916580115</v>
      </c>
      <c r="U920" s="26" t="n">
        <v>274.6554734614875</v>
      </c>
      <c r="V920" s="27" t="n">
        <v>0.3412255414268215</v>
      </c>
      <c r="W920" s="26" t="n">
        <v>275.3864255619806</v>
      </c>
      <c r="X920" s="27" t="n">
        <v>0.3344820187618635</v>
      </c>
      <c r="Y920" s="26" t="n">
        <v>265.8733859473319</v>
      </c>
      <c r="Z920" s="27" t="n">
        <v>0.3013288518694089</v>
      </c>
      <c r="AA920" s="26" t="n">
        <v>266.8576521632701</v>
      </c>
      <c r="AB920" s="27" t="n">
        <v>0.3536801570269897</v>
      </c>
    </row>
    <row r="921">
      <c r="A921" s="26" t="n">
        <v>287.0077593088332</v>
      </c>
      <c r="B921" s="27" t="n">
        <v>0.3261488844530238</v>
      </c>
      <c r="C921" s="26" t="n">
        <v>278.8644914938827</v>
      </c>
      <c r="D921" s="27" t="n">
        <v>0.3351386097582221</v>
      </c>
      <c r="E921" s="26" t="n">
        <v>296.3006328220479</v>
      </c>
      <c r="F921" s="27" t="n">
        <v>0.3114267088917433</v>
      </c>
      <c r="G921" s="26" t="n">
        <v>303.8411528854019</v>
      </c>
      <c r="H921" s="27" t="n">
        <v>0.2932165806859687</v>
      </c>
      <c r="I921" s="26" t="n">
        <v>305.4919370796455</v>
      </c>
      <c r="J921" s="27" t="n">
        <v>0.2925078761101597</v>
      </c>
      <c r="K921" s="26" t="n">
        <v>294.7420984483209</v>
      </c>
      <c r="L921" s="27" t="n">
        <v>0.3057860102701713</v>
      </c>
      <c r="M921" s="26" t="n">
        <v>287.5968934262516</v>
      </c>
      <c r="N921" s="27" t="n">
        <v>0.3213036214961976</v>
      </c>
      <c r="O921" s="26" t="n">
        <v>260.0283138919937</v>
      </c>
      <c r="P921" s="27" t="n">
        <v>0.3456119736542633</v>
      </c>
      <c r="Q921" s="26" t="n">
        <v>273.7194994728798</v>
      </c>
      <c r="R921" s="27" t="n">
        <v>0.3449219550898349</v>
      </c>
      <c r="S921" s="26" t="n">
        <v>266.26189248478</v>
      </c>
      <c r="T921" s="27" t="n">
        <v>0.356607009335956</v>
      </c>
      <c r="U921" s="26" t="n">
        <v>274.7405187559398</v>
      </c>
      <c r="V921" s="27" t="n">
        <v>0.3414928277007434</v>
      </c>
      <c r="W921" s="26" t="n">
        <v>275.4646110540334</v>
      </c>
      <c r="X921" s="27" t="n">
        <v>0.3348788993982802</v>
      </c>
      <c r="Y921" s="26" t="n">
        <v>265.9788271139388</v>
      </c>
      <c r="Z921" s="27" t="n">
        <v>0.3023850626460819</v>
      </c>
      <c r="AA921" s="26" t="n">
        <v>266.9378398249767</v>
      </c>
      <c r="AB921" s="27" t="n">
        <v>0.3539058108867953</v>
      </c>
    </row>
    <row r="922">
      <c r="A922" s="26" t="n">
        <v>287.1735209720385</v>
      </c>
      <c r="B922" s="27" t="n">
        <v>0.3263283983061896</v>
      </c>
      <c r="C922" s="26" t="n">
        <v>279.0045410076975</v>
      </c>
      <c r="D922" s="27" t="n">
        <v>0.3353603995621219</v>
      </c>
      <c r="E922" s="26" t="n">
        <v>296.4136904764047</v>
      </c>
      <c r="F922" s="27" t="n">
        <v>0.3117580340490536</v>
      </c>
      <c r="G922" s="26" t="n">
        <v>303.9278753160075</v>
      </c>
      <c r="H922" s="27" t="n">
        <v>0.2937745825502225</v>
      </c>
      <c r="I922" s="26" t="n">
        <v>305.5723215081454</v>
      </c>
      <c r="J922" s="27" t="n">
        <v>0.2930533013556966</v>
      </c>
      <c r="K922" s="26" t="n">
        <v>294.8183409426772</v>
      </c>
      <c r="L922" s="27" t="n">
        <v>0.3063034711148433</v>
      </c>
      <c r="M922" s="26" t="n">
        <v>287.6881991283374</v>
      </c>
      <c r="N922" s="27" t="n">
        <v>0.3216563864802366</v>
      </c>
      <c r="O922" s="26" t="n">
        <v>260.1527185860822</v>
      </c>
      <c r="P922" s="27" t="n">
        <v>0.3461407165933685</v>
      </c>
      <c r="Q922" s="26" t="n">
        <v>273.8135862485128</v>
      </c>
      <c r="R922" s="27" t="n">
        <v>0.3451279450708856</v>
      </c>
      <c r="S922" s="26" t="n">
        <v>266.3683160928114</v>
      </c>
      <c r="T922" s="27" t="n">
        <v>0.3567549765278823</v>
      </c>
      <c r="U922" s="26" t="n">
        <v>274.8255640503921</v>
      </c>
      <c r="V922" s="27" t="n">
        <v>0.3417559815220879</v>
      </c>
      <c r="W922" s="26" t="n">
        <v>275.5427965460862</v>
      </c>
      <c r="X922" s="27" t="n">
        <v>0.3352705472633636</v>
      </c>
      <c r="Y922" s="26" t="n">
        <v>266.0842682805458</v>
      </c>
      <c r="Z922" s="27" t="n">
        <v>0.3034384771088</v>
      </c>
      <c r="AA922" s="26" t="n">
        <v>267.0180274866833</v>
      </c>
      <c r="AB922" s="27" t="n">
        <v>0.3541277811271552</v>
      </c>
    </row>
    <row r="923">
      <c r="A923" s="26" t="n">
        <v>287.3392826352438</v>
      </c>
      <c r="B923" s="27" t="n">
        <v>0.3265037703777364</v>
      </c>
      <c r="C923" s="26" t="n">
        <v>279.1445905215123</v>
      </c>
      <c r="D923" s="27" t="n">
        <v>0.335577805022172</v>
      </c>
      <c r="E923" s="26" t="n">
        <v>296.5267481307613</v>
      </c>
      <c r="F923" s="27" t="n">
        <v>0.3120844635932963</v>
      </c>
      <c r="G923" s="26" t="n">
        <v>304.014597746613</v>
      </c>
      <c r="H923" s="27" t="n">
        <v>0.2943267462223768</v>
      </c>
      <c r="I923" s="26" t="n">
        <v>305.6527059366454</v>
      </c>
      <c r="J923" s="27" t="n">
        <v>0.2935929787089521</v>
      </c>
      <c r="K923" s="26" t="n">
        <v>294.8945834370336</v>
      </c>
      <c r="L923" s="27" t="n">
        <v>0.3068151484707572</v>
      </c>
      <c r="M923" s="26" t="n">
        <v>287.7795048304233</v>
      </c>
      <c r="N923" s="27" t="n">
        <v>0.3220042146923871</v>
      </c>
      <c r="O923" s="26" t="n">
        <v>260.2771232801707</v>
      </c>
      <c r="P923" s="27" t="n">
        <v>0.346662641859132</v>
      </c>
      <c r="Q923" s="26" t="n">
        <v>273.9076730241458</v>
      </c>
      <c r="R923" s="27" t="n">
        <v>0.3453302971410637</v>
      </c>
      <c r="S923" s="26" t="n">
        <v>266.4747397008427</v>
      </c>
      <c r="T923" s="27" t="n">
        <v>0.3568997088343446</v>
      </c>
      <c r="U923" s="26" t="n">
        <v>274.9106093448444</v>
      </c>
      <c r="V923" s="27" t="n">
        <v>0.3420150134400522</v>
      </c>
      <c r="W923" s="26" t="n">
        <v>275.620982038139</v>
      </c>
      <c r="X923" s="27" t="n">
        <v>0.3356569584678035</v>
      </c>
      <c r="Y923" s="26" t="n">
        <v>266.1897094471526</v>
      </c>
      <c r="Z923" s="27" t="n">
        <v>0.3044889093960772</v>
      </c>
      <c r="AA923" s="26" t="n">
        <v>267.0982151483899</v>
      </c>
      <c r="AB923" s="27" t="n">
        <v>0.3543460813752162</v>
      </c>
    </row>
    <row r="924">
      <c r="A924" s="26" t="n">
        <v>287.5050442984491</v>
      </c>
      <c r="B924" s="27" t="n">
        <v>0.3266750134422197</v>
      </c>
      <c r="C924" s="26" t="n">
        <v>279.284640035327</v>
      </c>
      <c r="D924" s="27" t="n">
        <v>0.3357908374087307</v>
      </c>
      <c r="E924" s="26" t="n">
        <v>296.6398057851181</v>
      </c>
      <c r="F924" s="27" t="n">
        <v>0.3124059965479495</v>
      </c>
      <c r="G924" s="26" t="n">
        <v>304.1013201772187</v>
      </c>
      <c r="H924" s="27" t="n">
        <v>0.2948730221121507</v>
      </c>
      <c r="I924" s="26" t="n">
        <v>305.7330903651452</v>
      </c>
      <c r="J924" s="27" t="n">
        <v>0.2941268631505087</v>
      </c>
      <c r="K924" s="26" t="n">
        <v>294.97082593139</v>
      </c>
      <c r="L924" s="27" t="n">
        <v>0.3073210090708268</v>
      </c>
      <c r="M924" s="26" t="n">
        <v>287.8708105325091</v>
      </c>
      <c r="N924" s="27" t="n">
        <v>0.3223471055074881</v>
      </c>
      <c r="O924" s="26" t="n">
        <v>260.4015279742594</v>
      </c>
      <c r="P924" s="27" t="n">
        <v>0.3471777115861499</v>
      </c>
      <c r="Q924" s="26" t="n">
        <v>274.0017597997787</v>
      </c>
      <c r="R924" s="27" t="n">
        <v>0.3455290252347288</v>
      </c>
      <c r="S924" s="26" t="n">
        <v>266.5811633088741</v>
      </c>
      <c r="T924" s="27" t="n">
        <v>0.3570412220825232</v>
      </c>
      <c r="U924" s="26" t="n">
        <v>274.9956546392967</v>
      </c>
      <c r="V924" s="27" t="n">
        <v>0.342269934483771</v>
      </c>
      <c r="W924" s="26" t="n">
        <v>275.6991675301917</v>
      </c>
      <c r="X924" s="27" t="n">
        <v>0.3360381299885591</v>
      </c>
      <c r="Y924" s="26" t="n">
        <v>266.2951506137596</v>
      </c>
      <c r="Z924" s="27" t="n">
        <v>0.3055361701471928</v>
      </c>
      <c r="AA924" s="26" t="n">
        <v>267.1784028100965</v>
      </c>
      <c r="AB924" s="27" t="n">
        <v>0.3545607255961466</v>
      </c>
    </row>
    <row r="925">
      <c r="A925" s="26" t="n">
        <v>287.6708059616544</v>
      </c>
      <c r="B925" s="27" t="n">
        <v>0.3268421407606663</v>
      </c>
      <c r="C925" s="26" t="n">
        <v>279.4246895491418</v>
      </c>
      <c r="D925" s="27" t="n">
        <v>0.3359995085372772</v>
      </c>
      <c r="E925" s="26" t="n">
        <v>296.7528634394748</v>
      </c>
      <c r="F925" s="27" t="n">
        <v>0.3127226327360247</v>
      </c>
      <c r="G925" s="26" t="n">
        <v>304.1880426078242</v>
      </c>
      <c r="H925" s="27" t="n">
        <v>0.295413361782319</v>
      </c>
      <c r="I925" s="26" t="n">
        <v>305.8134747936452</v>
      </c>
      <c r="J925" s="27" t="n">
        <v>0.2946549108074707</v>
      </c>
      <c r="K925" s="26" t="n">
        <v>295.0470684257463</v>
      </c>
      <c r="L925" s="27" t="n">
        <v>0.3078210208034989</v>
      </c>
      <c r="M925" s="26" t="n">
        <v>287.9621162345949</v>
      </c>
      <c r="N925" s="27" t="n">
        <v>0.3226850590959615</v>
      </c>
      <c r="O925" s="26" t="n">
        <v>260.5259326683479</v>
      </c>
      <c r="P925" s="27" t="n">
        <v>0.3476858892652216</v>
      </c>
      <c r="Q925" s="26" t="n">
        <v>274.0958465754117</v>
      </c>
      <c r="R925" s="27" t="n">
        <v>0.3457241436223555</v>
      </c>
      <c r="S925" s="26" t="n">
        <v>266.6875869169055</v>
      </c>
      <c r="T925" s="27" t="n">
        <v>0.357179532322929</v>
      </c>
      <c r="U925" s="26" t="n">
        <v>275.080699933749</v>
      </c>
      <c r="V925" s="27" t="n">
        <v>0.3425207561595886</v>
      </c>
      <c r="W925" s="26" t="n">
        <v>275.7773530222446</v>
      </c>
      <c r="X925" s="27" t="n">
        <v>0.336414059672242</v>
      </c>
      <c r="Y925" s="26" t="n">
        <v>266.4005917803664</v>
      </c>
      <c r="Z925" s="27" t="n">
        <v>0.3065800665197074</v>
      </c>
      <c r="AA925" s="26" t="n">
        <v>267.258590471803</v>
      </c>
      <c r="AB925" s="27" t="n">
        <v>0.3547717280897969</v>
      </c>
    </row>
    <row r="926">
      <c r="A926" s="26" t="n">
        <v>287.8365676248598</v>
      </c>
      <c r="B926" s="27" t="n">
        <v>0.3270051660775373</v>
      </c>
      <c r="C926" s="26" t="n">
        <v>279.5647390629566</v>
      </c>
      <c r="D926" s="27" t="n">
        <v>0.3362038307657526</v>
      </c>
      <c r="E926" s="26" t="n">
        <v>296.8659210938316</v>
      </c>
      <c r="F926" s="27" t="n">
        <v>0.3130343727823372</v>
      </c>
      <c r="G926" s="26" t="n">
        <v>304.2747650384298</v>
      </c>
      <c r="H926" s="27" t="n">
        <v>0.2959477179814688</v>
      </c>
      <c r="I926" s="26" t="n">
        <v>305.8938592221451</v>
      </c>
      <c r="J926" s="27" t="n">
        <v>0.2951770789829383</v>
      </c>
      <c r="K926" s="26" t="n">
        <v>295.1233109201027</v>
      </c>
      <c r="L926" s="27" t="n">
        <v>0.3083151527341582</v>
      </c>
      <c r="M926" s="26" t="n">
        <v>288.0534219366808</v>
      </c>
      <c r="N926" s="27" t="n">
        <v>0.3230180764257086</v>
      </c>
      <c r="O926" s="26" t="n">
        <v>260.6503373624364</v>
      </c>
      <c r="P926" s="27" t="n">
        <v>0.3481871397693121</v>
      </c>
      <c r="Q926" s="26" t="n">
        <v>274.1899333510446</v>
      </c>
      <c r="R926" s="27" t="n">
        <v>0.3459156669071328</v>
      </c>
      <c r="S926" s="26" t="n">
        <v>266.7940105249369</v>
      </c>
      <c r="T926" s="27" t="n">
        <v>0.3573146558260638</v>
      </c>
      <c r="U926" s="26" t="n">
        <v>275.1657452282013</v>
      </c>
      <c r="V926" s="27" t="n">
        <v>0.3427674904481855</v>
      </c>
      <c r="W926" s="26" t="n">
        <v>275.8555385142975</v>
      </c>
      <c r="X926" s="27" t="n">
        <v>0.3367847462381743</v>
      </c>
      <c r="Y926" s="26" t="n">
        <v>266.5060329469734</v>
      </c>
      <c r="Z926" s="27" t="n">
        <v>0.3076204022123636</v>
      </c>
      <c r="AA926" s="26" t="n">
        <v>267.3387781335097</v>
      </c>
      <c r="AB926" s="27" t="n">
        <v>0.3549791034872793</v>
      </c>
    </row>
    <row r="927">
      <c r="A927" s="26" t="n">
        <v>288.0023292880651</v>
      </c>
      <c r="B927" s="27" t="n">
        <v>0.3271641036175391</v>
      </c>
      <c r="C927" s="26" t="n">
        <v>279.7047885767714</v>
      </c>
      <c r="D927" s="27" t="n">
        <v>0.336403816991719</v>
      </c>
      <c r="E927" s="26" t="n">
        <v>296.9789787481883</v>
      </c>
      <c r="F927" s="27" t="n">
        <v>0.3133412181154697</v>
      </c>
      <c r="G927" s="26" t="n">
        <v>304.3614874690354</v>
      </c>
      <c r="H927" s="27" t="n">
        <v>0.2964760446765825</v>
      </c>
      <c r="I927" s="26" t="n">
        <v>305.9742436506451</v>
      </c>
      <c r="J927" s="27" t="n">
        <v>0.2956933261852582</v>
      </c>
      <c r="K927" s="26" t="n">
        <v>295.199553414459</v>
      </c>
      <c r="L927" s="27" t="n">
        <v>0.3088033751261887</v>
      </c>
      <c r="M927" s="26" t="n">
        <v>288.1447276387666</v>
      </c>
      <c r="N927" s="27" t="n">
        <v>0.3233461592637083</v>
      </c>
      <c r="O927" s="26" t="n">
        <v>260.7747420565249</v>
      </c>
      <c r="P927" s="27" t="n">
        <v>0.3486814293791207</v>
      </c>
      <c r="Q927" s="26" t="n">
        <v>274.2840201266775</v>
      </c>
      <c r="R927" s="27" t="n">
        <v>0.3461036100214804</v>
      </c>
      <c r="S927" s="26" t="n">
        <v>266.9004341329683</v>
      </c>
      <c r="T927" s="27" t="n">
        <v>0.357446609079036</v>
      </c>
      <c r="U927" s="26" t="n">
        <v>275.2507905226537</v>
      </c>
      <c r="V927" s="27" t="n">
        <v>0.343010149801557</v>
      </c>
      <c r="W927" s="26" t="n">
        <v>275.9337240063502</v>
      </c>
      <c r="X927" s="27" t="n">
        <v>0.3371501892811214</v>
      </c>
      <c r="Y927" s="26" t="n">
        <v>266.6114741135802</v>
      </c>
      <c r="Z927" s="27" t="n">
        <v>0.3086569774936635</v>
      </c>
      <c r="AA927" s="26" t="n">
        <v>267.4189657952163</v>
      </c>
      <c r="AB927" s="27" t="n">
        <v>0.3551828667474617</v>
      </c>
    </row>
    <row r="928">
      <c r="A928" s="26" t="n">
        <v>288.1680909512703</v>
      </c>
      <c r="B928" s="27" t="n">
        <v>0.327318968082277</v>
      </c>
      <c r="C928" s="26" t="n">
        <v>279.8448380905862</v>
      </c>
      <c r="D928" s="27" t="n">
        <v>0.3365994806493412</v>
      </c>
      <c r="E928" s="26" t="n">
        <v>297.092036402545</v>
      </c>
      <c r="F928" s="27" t="n">
        <v>0.3136431709694326</v>
      </c>
      <c r="G928" s="26" t="n">
        <v>304.4482098996409</v>
      </c>
      <c r="H928" s="27" t="n">
        <v>0.296998297085427</v>
      </c>
      <c r="I928" s="26" t="n">
        <v>306.054628079145</v>
      </c>
      <c r="J928" s="27" t="n">
        <v>0.2962036121570257</v>
      </c>
      <c r="K928" s="26" t="n">
        <v>295.2757959088153</v>
      </c>
      <c r="L928" s="27" t="n">
        <v>0.3092856594616655</v>
      </c>
      <c r="M928" s="26" t="n">
        <v>288.2360333408524</v>
      </c>
      <c r="N928" s="27" t="n">
        <v>0.3236693101773128</v>
      </c>
      <c r="O928" s="26" t="n">
        <v>260.8991467506135</v>
      </c>
      <c r="P928" s="27" t="n">
        <v>0.3491687258082328</v>
      </c>
      <c r="Q928" s="26" t="n">
        <v>274.3781069023105</v>
      </c>
      <c r="R928" s="27" t="n">
        <v>0.3462879882234782</v>
      </c>
      <c r="S928" s="26" t="n">
        <v>267.0068577409996</v>
      </c>
      <c r="T928" s="27" t="n">
        <v>0.3575754087821356</v>
      </c>
      <c r="U928" s="26" t="n">
        <v>275.3358358171059</v>
      </c>
      <c r="V928" s="27" t="n">
        <v>0.3432487471398489</v>
      </c>
      <c r="W928" s="26" t="n">
        <v>276.011909498403</v>
      </c>
      <c r="X928" s="27" t="n">
        <v>0.337510389273688</v>
      </c>
      <c r="Y928" s="26" t="n">
        <v>266.7169152801872</v>
      </c>
      <c r="Z928" s="27" t="n">
        <v>0.309689589236411</v>
      </c>
      <c r="AA928" s="26" t="n">
        <v>267.4991534569228</v>
      </c>
      <c r="AB928" s="27" t="n">
        <v>0.3553830331533782</v>
      </c>
    </row>
    <row r="929">
      <c r="A929" s="26" t="n">
        <v>288.3338526144756</v>
      </c>
      <c r="B929" s="27" t="n">
        <v>0.3274697746467565</v>
      </c>
      <c r="C929" s="26" t="n">
        <v>279.9848876044009</v>
      </c>
      <c r="D929" s="27" t="n">
        <v>0.3367908357061872</v>
      </c>
      <c r="E929" s="26" t="n">
        <v>297.2050940569018</v>
      </c>
      <c r="F929" s="27" t="n">
        <v>0.3139402343850116</v>
      </c>
      <c r="G929" s="26" t="n">
        <v>304.5349323302465</v>
      </c>
      <c r="H929" s="27" t="n">
        <v>0.2975144317087119</v>
      </c>
      <c r="I929" s="26" t="n">
        <v>306.135012507645</v>
      </c>
      <c r="J929" s="27" t="n">
        <v>0.296707897903799</v>
      </c>
      <c r="K929" s="26" t="n">
        <v>295.3520384031717</v>
      </c>
      <c r="L929" s="27" t="n">
        <v>0.309761978461652</v>
      </c>
      <c r="M929" s="26" t="n">
        <v>288.3273390429383</v>
      </c>
      <c r="N929" s="27" t="n">
        <v>0.3239875325352383</v>
      </c>
      <c r="O929" s="26" t="n">
        <v>261.023551444702</v>
      </c>
      <c r="P929" s="27" t="n">
        <v>0.3496489982278225</v>
      </c>
      <c r="Q929" s="26" t="n">
        <v>274.4721936779434</v>
      </c>
      <c r="R929" s="27" t="n">
        <v>0.3464688170932134</v>
      </c>
      <c r="S929" s="26" t="n">
        <v>267.113281349031</v>
      </c>
      <c r="T929" s="27" t="n">
        <v>0.3577010718453659</v>
      </c>
      <c r="U929" s="26" t="n">
        <v>275.4208811115583</v>
      </c>
      <c r="V929" s="27" t="n">
        <v>0.3434832958480467</v>
      </c>
      <c r="W929" s="26" t="n">
        <v>276.0900949904558</v>
      </c>
      <c r="X929" s="27" t="n">
        <v>0.3378653475683788</v>
      </c>
      <c r="Y929" s="26" t="n">
        <v>266.8223564467941</v>
      </c>
      <c r="Z929" s="27" t="n">
        <v>0.3107180309585263</v>
      </c>
      <c r="AA929" s="26" t="n">
        <v>267.5793411186295</v>
      </c>
      <c r="AB929" s="27" t="n">
        <v>0.3555796183085599</v>
      </c>
    </row>
    <row r="930">
      <c r="A930" s="26" t="n">
        <v>288.499614277681</v>
      </c>
      <c r="B930" s="27" t="n">
        <v>0.3276165389557295</v>
      </c>
      <c r="C930" s="26" t="n">
        <v>280.1249371182157</v>
      </c>
      <c r="D930" s="27" t="n">
        <v>0.3369778966598505</v>
      </c>
      <c r="E930" s="26" t="n">
        <v>297.3181517112585</v>
      </c>
      <c r="F930" s="27" t="n">
        <v>0.3142324122107993</v>
      </c>
      <c r="G930" s="26" t="n">
        <v>304.621654760852</v>
      </c>
      <c r="H930" s="27" t="n">
        <v>0.298024406361978</v>
      </c>
      <c r="I930" s="26" t="n">
        <v>306.2153969361449</v>
      </c>
      <c r="J930" s="27" t="n">
        <v>0.297206145722511</v>
      </c>
      <c r="K930" s="26" t="n">
        <v>295.428280897528</v>
      </c>
      <c r="L930" s="27" t="n">
        <v>0.3102323061060886</v>
      </c>
      <c r="M930" s="26" t="n">
        <v>288.4186447450241</v>
      </c>
      <c r="N930" s="27" t="n">
        <v>0.3243008305082454</v>
      </c>
      <c r="O930" s="26" t="n">
        <v>261.1479561387906</v>
      </c>
      <c r="P930" s="27" t="n">
        <v>0.3501222172908767</v>
      </c>
      <c r="Q930" s="26" t="n">
        <v>274.5662804535764</v>
      </c>
      <c r="R930" s="27" t="n">
        <v>0.3466461125290431</v>
      </c>
      <c r="S930" s="26" t="n">
        <v>267.2197049570623</v>
      </c>
      <c r="T930" s="27" t="n">
        <v>0.3578236153849355</v>
      </c>
      <c r="U930" s="26" t="n">
        <v>275.5059264060105</v>
      </c>
      <c r="V930" s="27" t="n">
        <v>0.3437138097725205</v>
      </c>
      <c r="W930" s="26" t="n">
        <v>276.1682804825086</v>
      </c>
      <c r="X930" s="27" t="n">
        <v>0.3382150663993144</v>
      </c>
      <c r="Y930" s="26" t="n">
        <v>266.927797613401</v>
      </c>
      <c r="Z930" s="27" t="n">
        <v>0.311742092870431</v>
      </c>
      <c r="AA930" s="26" t="n">
        <v>267.659528780336</v>
      </c>
      <c r="AB930" s="27" t="n">
        <v>0.3557726381332819</v>
      </c>
    </row>
    <row r="931">
      <c r="A931" s="26" t="n">
        <v>288.6653759408863</v>
      </c>
      <c r="B931" s="27" t="n">
        <v>0.3277592771198878</v>
      </c>
      <c r="C931" s="26" t="n">
        <v>280.2649866320305</v>
      </c>
      <c r="D931" s="27" t="n">
        <v>0.3371606785343939</v>
      </c>
      <c r="E931" s="26" t="n">
        <v>297.4312093656152</v>
      </c>
      <c r="F931" s="27" t="n">
        <v>0.3145197091039105</v>
      </c>
      <c r="G931" s="26" t="n">
        <v>304.7083771914577</v>
      </c>
      <c r="H931" s="27" t="n">
        <v>0.2985281802071955</v>
      </c>
      <c r="I931" s="26" t="n">
        <v>306.2957813646449</v>
      </c>
      <c r="J931" s="27" t="n">
        <v>0.2976983192295303</v>
      </c>
      <c r="K931" s="26" t="n">
        <v>295.5045233918844</v>
      </c>
      <c r="L931" s="27" t="n">
        <v>0.3106966176532378</v>
      </c>
      <c r="M931" s="26" t="n">
        <v>288.5099504471099</v>
      </c>
      <c r="N931" s="27" t="n">
        <v>0.3246092090695063</v>
      </c>
      <c r="O931" s="26" t="n">
        <v>261.2723608328791</v>
      </c>
      <c r="P931" s="27" t="n">
        <v>0.3505883551559191</v>
      </c>
      <c r="Q931" s="26" t="n">
        <v>274.6603672292093</v>
      </c>
      <c r="R931" s="27" t="n">
        <v>0.3468198907437769</v>
      </c>
      <c r="S931" s="26" t="n">
        <v>267.3261285650937</v>
      </c>
      <c r="T931" s="27" t="n">
        <v>0.3579430567197106</v>
      </c>
      <c r="U931" s="26" t="n">
        <v>275.5909717004629</v>
      </c>
      <c r="V931" s="27" t="n">
        <v>0.343940303217427</v>
      </c>
      <c r="W931" s="26" t="n">
        <v>276.2464659745614</v>
      </c>
      <c r="X931" s="27" t="n">
        <v>0.3385595488835985</v>
      </c>
      <c r="Y931" s="26" t="n">
        <v>267.0332387800079</v>
      </c>
      <c r="Z931" s="27" t="n">
        <v>0.3127615619293253</v>
      </c>
      <c r="AA931" s="26" t="n">
        <v>267.7397164420427</v>
      </c>
      <c r="AB931" s="27" t="n">
        <v>0.3559621088607328</v>
      </c>
    </row>
    <row r="932">
      <c r="A932" s="26" t="n">
        <v>288.8311376040916</v>
      </c>
      <c r="B932" s="27" t="n">
        <v>0.3278980057119038</v>
      </c>
      <c r="C932" s="26" t="n">
        <v>280.4050361458453</v>
      </c>
      <c r="D932" s="27" t="n">
        <v>0.3373391968766145</v>
      </c>
      <c r="E932" s="26" t="n">
        <v>297.5442670199719</v>
      </c>
      <c r="F932" s="27" t="n">
        <v>0.3148021305303711</v>
      </c>
      <c r="G932" s="26" t="n">
        <v>304.7950996220632</v>
      </c>
      <c r="H932" s="27" t="n">
        <v>0.2990257137840212</v>
      </c>
      <c r="I932" s="26" t="n">
        <v>306.3761657931448</v>
      </c>
      <c r="J932" s="27" t="n">
        <v>0.2981843833883532</v>
      </c>
      <c r="K932" s="26" t="n">
        <v>295.5807658862408</v>
      </c>
      <c r="L932" s="27" t="n">
        <v>0.3111548896586704</v>
      </c>
      <c r="M932" s="26" t="n">
        <v>288.6012561491958</v>
      </c>
      <c r="N932" s="27" t="n">
        <v>0.3249126739946555</v>
      </c>
      <c r="O932" s="26" t="n">
        <v>261.3967655269677</v>
      </c>
      <c r="P932" s="27" t="n">
        <v>0.3510473855101966</v>
      </c>
      <c r="Q932" s="26" t="n">
        <v>274.7544540048423</v>
      </c>
      <c r="R932" s="27" t="n">
        <v>0.3469901682607761</v>
      </c>
      <c r="S932" s="26" t="n">
        <v>267.4325521731251</v>
      </c>
      <c r="T932" s="27" t="n">
        <v>0.3580594133676278</v>
      </c>
      <c r="U932" s="26" t="n">
        <v>275.6760169949151</v>
      </c>
      <c r="V932" s="27" t="n">
        <v>0.3441627909409674</v>
      </c>
      <c r="W932" s="26" t="n">
        <v>276.3246514666142</v>
      </c>
      <c r="X932" s="27" t="n">
        <v>0.3388987990223349</v>
      </c>
      <c r="Y932" s="26" t="n">
        <v>267.1386799466148</v>
      </c>
      <c r="Z932" s="27" t="n">
        <v>0.313776221900653</v>
      </c>
      <c r="AA932" s="26" t="n">
        <v>267.8199041037493</v>
      </c>
      <c r="AB932" s="27" t="n">
        <v>0.3561480470331039</v>
      </c>
    </row>
    <row r="933">
      <c r="A933" s="26" t="n">
        <v>288.996899267297</v>
      </c>
      <c r="B933" s="27" t="n">
        <v>0.3280327417623199</v>
      </c>
      <c r="C933" s="26" t="n">
        <v>280.54508565966</v>
      </c>
      <c r="D933" s="27" t="n">
        <v>0.3375134677521304</v>
      </c>
      <c r="E933" s="26" t="n">
        <v>297.6573246743286</v>
      </c>
      <c r="F933" s="27" t="n">
        <v>0.3150796827651828</v>
      </c>
      <c r="G933" s="26" t="n">
        <v>304.8818220526688</v>
      </c>
      <c r="H933" s="27" t="n">
        <v>0.2995169690406915</v>
      </c>
      <c r="I933" s="26" t="n">
        <v>306.4565502216448</v>
      </c>
      <c r="J933" s="27" t="n">
        <v>0.2986643045368889</v>
      </c>
      <c r="K933" s="26" t="n">
        <v>295.6570083805971</v>
      </c>
      <c r="L933" s="27" t="n">
        <v>0.3116070999937692</v>
      </c>
      <c r="M933" s="26" t="n">
        <v>288.6925618512816</v>
      </c>
      <c r="N933" s="27" t="n">
        <v>0.3252112318615209</v>
      </c>
      <c r="O933" s="26" t="n">
        <v>261.5211702210562</v>
      </c>
      <c r="P933" s="27" t="n">
        <v>0.351499283592305</v>
      </c>
      <c r="Q933" s="26" t="n">
        <v>274.8485407804752</v>
      </c>
      <c r="R933" s="27" t="n">
        <v>0.3471569619099763</v>
      </c>
      <c r="S933" s="26" t="n">
        <v>267.5389757811565</v>
      </c>
      <c r="T933" s="27" t="n">
        <v>0.3581727030420709</v>
      </c>
      <c r="U933" s="26" t="n">
        <v>275.7610622893675</v>
      </c>
      <c r="V933" s="27" t="n">
        <v>0.3443812881515042</v>
      </c>
      <c r="W933" s="26" t="n">
        <v>276.4028369586671</v>
      </c>
      <c r="X933" s="27" t="n">
        <v>0.3392328217012855</v>
      </c>
      <c r="Y933" s="26" t="n">
        <v>267.2441211132218</v>
      </c>
      <c r="Z933" s="27" t="n">
        <v>0.3147858534271026</v>
      </c>
      <c r="AA933" s="26" t="n">
        <v>267.9000917654558</v>
      </c>
      <c r="AB933" s="27" t="n">
        <v>0.3563304694976014</v>
      </c>
    </row>
    <row r="934">
      <c r="A934" s="26" t="n">
        <v>289.1626609305022</v>
      </c>
      <c r="B934" s="27" t="n">
        <v>0.3281635027552876</v>
      </c>
      <c r="C934" s="26" t="n">
        <v>280.6851351734748</v>
      </c>
      <c r="D934" s="27" t="n">
        <v>0.337683507741292</v>
      </c>
      <c r="E934" s="26" t="n">
        <v>297.7703823286854</v>
      </c>
      <c r="F934" s="27" t="n">
        <v>0.3153523728920571</v>
      </c>
      <c r="G934" s="26" t="n">
        <v>304.9685444832743</v>
      </c>
      <c r="H934" s="27" t="n">
        <v>0.3000019093645114</v>
      </c>
      <c r="I934" s="26" t="n">
        <v>306.5369346501446</v>
      </c>
      <c r="J934" s="27" t="n">
        <v>0.2991380504143049</v>
      </c>
      <c r="K934" s="26" t="n">
        <v>295.7332508749535</v>
      </c>
      <c r="L934" s="27" t="n">
        <v>0.312053227863723</v>
      </c>
      <c r="M934" s="26" t="n">
        <v>288.7838675533674</v>
      </c>
      <c r="N934" s="27" t="n">
        <v>0.3255048900495317</v>
      </c>
      <c r="O934" s="26" t="n">
        <v>261.6455749151447</v>
      </c>
      <c r="P934" s="27" t="n">
        <v>0.3519440262142239</v>
      </c>
      <c r="Q934" s="26" t="n">
        <v>274.9426275561082</v>
      </c>
      <c r="R934" s="27" t="n">
        <v>0.3473202888238288</v>
      </c>
      <c r="S934" s="26" t="n">
        <v>267.6453993891878</v>
      </c>
      <c r="T934" s="27" t="n">
        <v>0.3582829436482102</v>
      </c>
      <c r="U934" s="26" t="n">
        <v>275.8461075838197</v>
      </c>
      <c r="V934" s="27" t="n">
        <v>0.3445958105035357</v>
      </c>
      <c r="W934" s="26" t="n">
        <v>276.4810224507198</v>
      </c>
      <c r="X934" s="27" t="n">
        <v>0.3395616226911694</v>
      </c>
      <c r="Y934" s="26" t="n">
        <v>267.3495622798287</v>
      </c>
      <c r="Z934" s="27" t="n">
        <v>0.3157902341054291</v>
      </c>
      <c r="AA934" s="26" t="n">
        <v>267.9802794271624</v>
      </c>
      <c r="AB934" s="27" t="n">
        <v>0.3565093934023824</v>
      </c>
    </row>
    <row r="935">
      <c r="A935" s="26" t="n">
        <v>289.3284225937075</v>
      </c>
      <c r="B935" s="27" t="n">
        <v>0.3282903066241544</v>
      </c>
      <c r="C935" s="26" t="n">
        <v>280.8251846872896</v>
      </c>
      <c r="D935" s="27" t="n">
        <v>0.3378493339349137</v>
      </c>
      <c r="E935" s="26" t="n">
        <v>297.8834399830421</v>
      </c>
      <c r="F935" s="27" t="n">
        <v>0.3156202088028164</v>
      </c>
      <c r="G935" s="26" t="n">
        <v>305.0552669138799</v>
      </c>
      <c r="H935" s="27" t="n">
        <v>0.3004804996119003</v>
      </c>
      <c r="I935" s="26" t="n">
        <v>306.6173190786446</v>
      </c>
      <c r="J935" s="27" t="n">
        <v>0.2996055901874052</v>
      </c>
      <c r="K935" s="26" t="n">
        <v>295.8094933693098</v>
      </c>
      <c r="L935" s="27" t="n">
        <v>0.3124932538249882</v>
      </c>
      <c r="M935" s="26" t="n">
        <v>288.8751732554533</v>
      </c>
      <c r="N935" s="27" t="n">
        <v>0.3257936567388007</v>
      </c>
      <c r="O935" s="26" t="n">
        <v>261.7699796092333</v>
      </c>
      <c r="P935" s="27" t="n">
        <v>0.3523815917827282</v>
      </c>
      <c r="Q935" s="26" t="n">
        <v>275.0367143317411</v>
      </c>
      <c r="R935" s="27" t="n">
        <v>0.3474801664331663</v>
      </c>
      <c r="S935" s="26" t="n">
        <v>267.7518229972192</v>
      </c>
      <c r="T935" s="27" t="n">
        <v>0.3583901532793056</v>
      </c>
      <c r="U935" s="26" t="n">
        <v>275.9311528782721</v>
      </c>
      <c r="V935" s="27" t="n">
        <v>0.3448063740935312</v>
      </c>
      <c r="W935" s="26" t="n">
        <v>276.5592079427727</v>
      </c>
      <c r="X935" s="27" t="n">
        <v>0.3398852086475953</v>
      </c>
      <c r="Y935" s="26" t="n">
        <v>267.4550034464356</v>
      </c>
      <c r="Z935" s="27" t="n">
        <v>0.3167891385714619</v>
      </c>
      <c r="AA935" s="26" t="n">
        <v>268.060467088869</v>
      </c>
      <c r="AB935" s="27" t="n">
        <v>0.3566848361924139</v>
      </c>
    </row>
    <row r="936">
      <c r="A936" s="26" t="n">
        <v>289.4941842569128</v>
      </c>
      <c r="B936" s="27" t="n">
        <v>0.3284131717469058</v>
      </c>
      <c r="C936" s="26" t="n">
        <v>280.9652342011044</v>
      </c>
      <c r="D936" s="27" t="n">
        <v>0.3380109639298327</v>
      </c>
      <c r="E936" s="26" t="n">
        <v>297.9964976373988</v>
      </c>
      <c r="F936" s="27" t="n">
        <v>0.315883199196458</v>
      </c>
      <c r="G936" s="26" t="n">
        <v>305.1419893444855</v>
      </c>
      <c r="H936" s="27" t="n">
        <v>0.3009527061379637</v>
      </c>
      <c r="I936" s="26" t="n">
        <v>306.6977035071445</v>
      </c>
      <c r="J936" s="27" t="n">
        <v>0.300066894476501</v>
      </c>
      <c r="K936" s="26" t="n">
        <v>295.8857358636661</v>
      </c>
      <c r="L936" s="27" t="n">
        <v>0.3129271598022005</v>
      </c>
      <c r="M936" s="26" t="n">
        <v>288.9664789575391</v>
      </c>
      <c r="N936" s="27" t="n">
        <v>0.3260775409088787</v>
      </c>
      <c r="O936" s="26" t="n">
        <v>261.8943843033219</v>
      </c>
      <c r="P936" s="27" t="n">
        <v>0.3528119603201512</v>
      </c>
      <c r="Q936" s="26" t="n">
        <v>275.1308011073741</v>
      </c>
      <c r="R936" s="27" t="n">
        <v>0.3476366124629914</v>
      </c>
      <c r="S936" s="26" t="n">
        <v>267.8582466052506</v>
      </c>
      <c r="T936" s="27" t="n">
        <v>0.3584943502129772</v>
      </c>
      <c r="U936" s="26" t="n">
        <v>276.0161981727243</v>
      </c>
      <c r="V936" s="27" t="n">
        <v>0.3450129954556259</v>
      </c>
      <c r="W936" s="26" t="n">
        <v>276.6373934348254</v>
      </c>
      <c r="X936" s="27" t="n">
        <v>0.340203587110627</v>
      </c>
      <c r="Y936" s="26" t="n">
        <v>267.5604446130425</v>
      </c>
      <c r="Z936" s="27" t="n">
        <v>0.3177823385935788</v>
      </c>
      <c r="AA936" s="26" t="n">
        <v>268.1406547505757</v>
      </c>
      <c r="AB936" s="27" t="n">
        <v>0.3568568156052608</v>
      </c>
    </row>
    <row r="937">
      <c r="A937" s="26" t="n">
        <v>289.6599459201182</v>
      </c>
      <c r="B937" s="27" t="n">
        <v>0.3285321169414556</v>
      </c>
      <c r="C937" s="26" t="n">
        <v>281.1052837149191</v>
      </c>
      <c r="D937" s="27" t="n">
        <v>0.3381684158242925</v>
      </c>
      <c r="E937" s="26" t="n">
        <v>298.1095552917556</v>
      </c>
      <c r="F937" s="27" t="n">
        <v>0.3161413535778802</v>
      </c>
      <c r="G937" s="26" t="n">
        <v>305.228711775091</v>
      </c>
      <c r="H937" s="27" t="n">
        <v>0.3014184968255473</v>
      </c>
      <c r="I937" s="26" t="n">
        <v>306.7780879356445</v>
      </c>
      <c r="J937" s="27" t="n">
        <v>0.3005219353807471</v>
      </c>
      <c r="K937" s="26" t="n">
        <v>295.9619783580225</v>
      </c>
      <c r="L937" s="27" t="n">
        <v>0.3133549291045041</v>
      </c>
      <c r="M937" s="26" t="n">
        <v>289.0577846596249</v>
      </c>
      <c r="N937" s="27" t="n">
        <v>0.3263565523371771</v>
      </c>
      <c r="O937" s="26" t="n">
        <v>262.0187889974104</v>
      </c>
      <c r="P937" s="27" t="n">
        <v>0.3532351134844686</v>
      </c>
      <c r="Q937" s="26" t="n">
        <v>275.224887883007</v>
      </c>
      <c r="R937" s="27" t="n">
        <v>0.3477896449281923</v>
      </c>
      <c r="S937" s="26" t="n">
        <v>267.964670213282</v>
      </c>
      <c r="T937" s="27" t="n">
        <v>0.3585955529074403</v>
      </c>
      <c r="U937" s="26" t="n">
        <v>276.1012434671767</v>
      </c>
      <c r="V937" s="27" t="n">
        <v>0.3452156915571787</v>
      </c>
      <c r="W937" s="26" t="n">
        <v>276.7155789268783</v>
      </c>
      <c r="X937" s="27" t="n">
        <v>0.3405167665039754</v>
      </c>
      <c r="Y937" s="26" t="n">
        <v>267.6658857796494</v>
      </c>
      <c r="Z937" s="27" t="n">
        <v>0.3187696031750156</v>
      </c>
      <c r="AA937" s="26" t="n">
        <v>268.2208424122822</v>
      </c>
      <c r="AB937" s="27" t="n">
        <v>0.3570253496667986</v>
      </c>
    </row>
    <row r="938">
      <c r="A938" s="26" t="n">
        <v>289.8257075833235</v>
      </c>
      <c r="B938" s="27" t="n">
        <v>0.3286471614607927</v>
      </c>
      <c r="C938" s="26" t="n">
        <v>281.2453332287339</v>
      </c>
      <c r="D938" s="27" t="n">
        <v>0.3383217082131507</v>
      </c>
      <c r="E938" s="26" t="n">
        <v>298.2226129461122</v>
      </c>
      <c r="F938" s="27" t="n">
        <v>0.3163946822562645</v>
      </c>
      <c r="G938" s="26" t="n">
        <v>305.3154342056966</v>
      </c>
      <c r="H938" s="27" t="n">
        <v>0.3018778411137389</v>
      </c>
      <c r="I938" s="26" t="n">
        <v>306.8584723641444</v>
      </c>
      <c r="J938" s="27" t="n">
        <v>0.3009706865029076</v>
      </c>
      <c r="K938" s="26" t="n">
        <v>296.0382208523788</v>
      </c>
      <c r="L938" s="27" t="n">
        <v>0.3137765464412811</v>
      </c>
      <c r="M938" s="26" t="n">
        <v>289.1490903617108</v>
      </c>
      <c r="N938" s="27" t="n">
        <v>0.326630701597058</v>
      </c>
      <c r="O938" s="26" t="n">
        <v>262.1431936914989</v>
      </c>
      <c r="P938" s="27" t="n">
        <v>0.3536510345886719</v>
      </c>
      <c r="Q938" s="26" t="n">
        <v>275.3189746586399</v>
      </c>
      <c r="R938" s="27" t="n">
        <v>0.3479392821291825</v>
      </c>
      <c r="S938" s="26" t="n">
        <v>268.0710938213134</v>
      </c>
      <c r="T938" s="27" t="n">
        <v>0.3586937799977106</v>
      </c>
      <c r="U938" s="26" t="n">
        <v>276.186288761629</v>
      </c>
      <c r="V938" s="27" t="n">
        <v>0.3454144797941913</v>
      </c>
      <c r="W938" s="26" t="n">
        <v>276.793764418931</v>
      </c>
      <c r="X938" s="27" t="n">
        <v>0.3408247561338162</v>
      </c>
      <c r="Y938" s="26" t="n">
        <v>267.7713269462563</v>
      </c>
      <c r="Z938" s="27" t="n">
        <v>0.3197506986652917</v>
      </c>
      <c r="AA938" s="26" t="n">
        <v>268.3010300739888</v>
      </c>
      <c r="AB938" s="27" t="n">
        <v>0.357190456686855</v>
      </c>
    </row>
    <row r="939">
      <c r="A939" s="26" t="n">
        <v>289.9914692465287</v>
      </c>
      <c r="B939" s="27" t="n">
        <v>0.3287583249879815</v>
      </c>
      <c r="C939" s="26" t="n">
        <v>281.3853827425487</v>
      </c>
      <c r="D939" s="27" t="n">
        <v>0.3384708601829172</v>
      </c>
      <c r="E939" s="26" t="n">
        <v>298.335670600469</v>
      </c>
      <c r="F939" s="27" t="n">
        <v>0.3166431963431158</v>
      </c>
      <c r="G939" s="26" t="n">
        <v>305.4021566363022</v>
      </c>
      <c r="H939" s="27" t="n">
        <v>0.3023307100257805</v>
      </c>
      <c r="I939" s="26" t="n">
        <v>306.9388567926444</v>
      </c>
      <c r="J939" s="27" t="n">
        <v>0.301413122973515</v>
      </c>
      <c r="K939" s="26" t="n">
        <v>296.1144633467352</v>
      </c>
      <c r="L939" s="27" t="n">
        <v>0.3141919979372562</v>
      </c>
      <c r="M939" s="26" t="n">
        <v>289.2403960637967</v>
      </c>
      <c r="N939" s="27" t="n">
        <v>0.3269000000555894</v>
      </c>
      <c r="O939" s="26" t="n">
        <v>262.2675983855875</v>
      </c>
      <c r="P939" s="27" t="n">
        <v>0.3540597086194057</v>
      </c>
      <c r="Q939" s="26" t="n">
        <v>275.4130614342729</v>
      </c>
      <c r="R939" s="27" t="n">
        <v>0.3480855426474695</v>
      </c>
      <c r="S939" s="26" t="n">
        <v>268.1775174293447</v>
      </c>
      <c r="T939" s="27" t="n">
        <v>0.3587890502917755</v>
      </c>
      <c r="U939" s="26" t="n">
        <v>276.2713340560813</v>
      </c>
      <c r="V939" s="27" t="n">
        <v>0.3456093779865946</v>
      </c>
      <c r="W939" s="26" t="n">
        <v>276.8719499109839</v>
      </c>
      <c r="X939" s="27" t="n">
        <v>0.3411275661872289</v>
      </c>
      <c r="Y939" s="26" t="n">
        <v>267.8767681128632</v>
      </c>
      <c r="Z939" s="27" t="n">
        <v>0.3207253888811113</v>
      </c>
      <c r="AA939" s="26" t="n">
        <v>268.3812177356954</v>
      </c>
      <c r="AB939" s="27" t="n">
        <v>0.3573521552547833</v>
      </c>
    </row>
    <row r="940">
      <c r="A940" s="26" t="n">
        <v>290.157230909734</v>
      </c>
      <c r="B940" s="27" t="n">
        <v>0.3288656276310189</v>
      </c>
      <c r="C940" s="26" t="n">
        <v>281.5254322563635</v>
      </c>
      <c r="D940" s="27" t="n">
        <v>0.3386158913066187</v>
      </c>
      <c r="E940" s="26" t="n">
        <v>298.4487282548257</v>
      </c>
      <c r="F940" s="27" t="n">
        <v>0.316886907749955</v>
      </c>
      <c r="G940" s="26" t="n">
        <v>305.4888790669078</v>
      </c>
      <c r="H940" s="27" t="n">
        <v>0.3027770761963491</v>
      </c>
      <c r="I940" s="26" t="n">
        <v>307.0192412211443</v>
      </c>
      <c r="J940" s="27" t="n">
        <v>0.3018492214743922</v>
      </c>
      <c r="K940" s="26" t="n">
        <v>296.1907058410916</v>
      </c>
      <c r="L940" s="27" t="n">
        <v>0.3146012711469531</v>
      </c>
      <c r="M940" s="26" t="n">
        <v>289.3317017658825</v>
      </c>
      <c r="N940" s="27" t="n">
        <v>0.3271644598709623</v>
      </c>
      <c r="O940" s="26" t="n">
        <v>262.392003079676</v>
      </c>
      <c r="P940" s="27" t="n">
        <v>0.3544611222548356</v>
      </c>
      <c r="Q940" s="26" t="n">
        <v>275.5071482099059</v>
      </c>
      <c r="R940" s="27" t="n">
        <v>0.3482284453411544</v>
      </c>
      <c r="S940" s="26" t="n">
        <v>268.2839410373761</v>
      </c>
      <c r="T940" s="27" t="n">
        <v>0.3588813827667385</v>
      </c>
      <c r="U940" s="26" t="n">
        <v>276.3563793505336</v>
      </c>
      <c r="V940" s="27" t="n">
        <v>0.3458004043733971</v>
      </c>
      <c r="W940" s="26" t="n">
        <v>276.9501354030367</v>
      </c>
      <c r="X940" s="27" t="n">
        <v>0.3414252077302533</v>
      </c>
      <c r="Y940" s="26" t="n">
        <v>267.9822092794701</v>
      </c>
      <c r="Z940" s="27" t="n">
        <v>0.3216934352370225</v>
      </c>
      <c r="AA940" s="26" t="n">
        <v>268.461405397402</v>
      </c>
      <c r="AB940" s="27" t="n">
        <v>0.3575104642349647</v>
      </c>
    </row>
    <row r="941">
      <c r="A941" s="26" t="n">
        <v>290.3229925729394</v>
      </c>
      <c r="B941" s="27" t="n">
        <v>0.328969089917549</v>
      </c>
      <c r="C941" s="26" t="n">
        <v>281.6654817701783</v>
      </c>
      <c r="D941" s="27" t="n">
        <v>0.3387568216384941</v>
      </c>
      <c r="E941" s="26" t="n">
        <v>298.5617859091824</v>
      </c>
      <c r="F941" s="27" t="n">
        <v>0.3171258291856627</v>
      </c>
      <c r="G941" s="26" t="n">
        <v>305.5756014975134</v>
      </c>
      <c r="H941" s="27" t="n">
        <v>0.3032169138981704</v>
      </c>
      <c r="I941" s="26" t="n">
        <v>307.0996256496443</v>
      </c>
      <c r="J941" s="27" t="n">
        <v>0.3022789602615029</v>
      </c>
      <c r="K941" s="26" t="n">
        <v>296.2669483354479</v>
      </c>
      <c r="L941" s="27" t="n">
        <v>0.3150043550684799</v>
      </c>
      <c r="M941" s="26" t="n">
        <v>289.4230074679683</v>
      </c>
      <c r="N941" s="27" t="n">
        <v>0.3274240939895695</v>
      </c>
      <c r="O941" s="26" t="n">
        <v>262.5164077737646</v>
      </c>
      <c r="P941" s="27" t="n">
        <v>0.3548552638817206</v>
      </c>
      <c r="Q941" s="26" t="n">
        <v>275.6012349855389</v>
      </c>
      <c r="R941" s="27" t="n">
        <v>0.3483680093403591</v>
      </c>
      <c r="S941" s="26" t="n">
        <v>268.3903646454075</v>
      </c>
      <c r="T941" s="27" t="n">
        <v>0.3589707965649323</v>
      </c>
      <c r="U941" s="26" t="n">
        <v>276.4414246449859</v>
      </c>
      <c r="V941" s="27" t="n">
        <v>0.3459875776077033</v>
      </c>
      <c r="W941" s="26" t="n">
        <v>277.0283208950895</v>
      </c>
      <c r="X941" s="27" t="n">
        <v>0.3417176927055649</v>
      </c>
      <c r="Y941" s="26" t="n">
        <v>268.0876504460771</v>
      </c>
      <c r="Z941" s="27" t="n">
        <v>0.3226545968861768</v>
      </c>
      <c r="AA941" s="26" t="n">
        <v>268.5415930591087</v>
      </c>
      <c r="AB941" s="27" t="n">
        <v>0.3576654027622451</v>
      </c>
    </row>
    <row r="942">
      <c r="A942" s="26" t="n">
        <v>290.4887542361447</v>
      </c>
      <c r="B942" s="27" t="n">
        <v>0.3290687327894378</v>
      </c>
      <c r="C942" s="26" t="n">
        <v>281.805531283993</v>
      </c>
      <c r="D942" s="27" t="n">
        <v>0.3388936717085219</v>
      </c>
      <c r="E942" s="26" t="n">
        <v>298.6748435635392</v>
      </c>
      <c r="F942" s="27" t="n">
        <v>0.3173599741534728</v>
      </c>
      <c r="G942" s="26" t="n">
        <v>305.6623239281189</v>
      </c>
      <c r="H942" s="27" t="n">
        <v>0.3036501990679229</v>
      </c>
      <c r="I942" s="26" t="n">
        <v>307.1800100781442</v>
      </c>
      <c r="J942" s="27" t="n">
        <v>0.3027023191870922</v>
      </c>
      <c r="K942" s="26" t="n">
        <v>296.3431908298043</v>
      </c>
      <c r="L942" s="27" t="n">
        <v>0.3154012401566211</v>
      </c>
      <c r="M942" s="26" t="n">
        <v>289.5143131700542</v>
      </c>
      <c r="N942" s="27" t="n">
        <v>0.3276789161427454</v>
      </c>
      <c r="O942" s="26" t="n">
        <v>262.6408124678531</v>
      </c>
      <c r="P942" s="27" t="n">
        <v>0.3552421236116593</v>
      </c>
      <c r="Q942" s="26" t="n">
        <v>275.6953217611718</v>
      </c>
      <c r="R942" s="27" t="n">
        <v>0.3485042540425885</v>
      </c>
      <c r="S942" s="26" t="n">
        <v>268.4967882534388</v>
      </c>
      <c r="T942" s="27" t="n">
        <v>0.3590573109900054</v>
      </c>
      <c r="U942" s="26" t="n">
        <v>276.5264699394382</v>
      </c>
      <c r="V942" s="27" t="n">
        <v>0.3461709167515993</v>
      </c>
      <c r="W942" s="26" t="n">
        <v>277.1065063871423</v>
      </c>
      <c r="X942" s="27" t="n">
        <v>0.3420050339297601</v>
      </c>
      <c r="Y942" s="26" t="n">
        <v>268.1930916126839</v>
      </c>
      <c r="Z942" s="27" t="n">
        <v>0.3236086308714652</v>
      </c>
      <c r="AA942" s="26" t="n">
        <v>268.6217807208153</v>
      </c>
      <c r="AB942" s="27" t="n">
        <v>0.3578169902373052</v>
      </c>
    </row>
    <row r="943">
      <c r="A943" s="26" t="n">
        <v>290.65451589935</v>
      </c>
      <c r="B943" s="27" t="n">
        <v>0.3291645775972074</v>
      </c>
      <c r="C943" s="26" t="n">
        <v>281.9455807978078</v>
      </c>
      <c r="D943" s="27" t="n">
        <v>0.3390264625167796</v>
      </c>
      <c r="E943" s="26" t="n">
        <v>298.7879012178959</v>
      </c>
      <c r="F943" s="27" t="n">
        <v>0.3175893569476142</v>
      </c>
      <c r="G943" s="26" t="n">
        <v>305.7490463587245</v>
      </c>
      <c r="H943" s="27" t="n">
        <v>0.3040769093313972</v>
      </c>
      <c r="I943" s="26" t="n">
        <v>307.2603945066442</v>
      </c>
      <c r="J943" s="27" t="n">
        <v>0.3031192797210866</v>
      </c>
      <c r="K943" s="26" t="n">
        <v>296.4194333241607</v>
      </c>
      <c r="L943" s="27" t="n">
        <v>0.3157919183352093</v>
      </c>
      <c r="M943" s="26" t="n">
        <v>289.60561887214</v>
      </c>
      <c r="N943" s="27" t="n">
        <v>0.3279289408431621</v>
      </c>
      <c r="O943" s="26" t="n">
        <v>262.7652171619417</v>
      </c>
      <c r="P943" s="27" t="n">
        <v>0.3556216932964834</v>
      </c>
      <c r="Q943" s="26" t="n">
        <v>275.7894085368047</v>
      </c>
      <c r="R943" s="27" t="n">
        <v>0.348637199108025</v>
      </c>
      <c r="S943" s="26" t="n">
        <v>268.6032118614702</v>
      </c>
      <c r="T943" s="27" t="n">
        <v>0.3591409455029816</v>
      </c>
      <c r="U943" s="26" t="n">
        <v>276.6115152338905</v>
      </c>
      <c r="V943" s="27" t="n">
        <v>0.3463504412709101</v>
      </c>
      <c r="W943" s="26" t="n">
        <v>277.184691879195</v>
      </c>
      <c r="X943" s="27" t="n">
        <v>0.3422872450902567</v>
      </c>
      <c r="Y943" s="26" t="n">
        <v>268.2985327792909</v>
      </c>
      <c r="Z943" s="27" t="n">
        <v>0.324555292287349</v>
      </c>
      <c r="AA943" s="26" t="n">
        <v>268.7019683825218</v>
      </c>
      <c r="AB943" s="27" t="n">
        <v>0.3579652463219674</v>
      </c>
    </row>
    <row r="944">
      <c r="A944" s="26" t="n">
        <v>290.8202775625554</v>
      </c>
      <c r="B944" s="27" t="n">
        <v>0.3292566460943354</v>
      </c>
      <c r="C944" s="26" t="n">
        <v>282.0856303116226</v>
      </c>
      <c r="D944" s="27" t="n">
        <v>0.3391552155276385</v>
      </c>
      <c r="E944" s="26" t="n">
        <v>298.9009588722526</v>
      </c>
      <c r="F944" s="27" t="n">
        <v>0.3178139926495995</v>
      </c>
      <c r="G944" s="26" t="n">
        <v>305.8357687893301</v>
      </c>
      <c r="H944" s="27" t="n">
        <v>0.3044970240278665</v>
      </c>
      <c r="I944" s="26" t="n">
        <v>307.340778935144</v>
      </c>
      <c r="J944" s="27" t="n">
        <v>0.303529824971719</v>
      </c>
      <c r="K944" s="26" t="n">
        <v>296.4956758185169</v>
      </c>
      <c r="L944" s="27" t="n">
        <v>0.3161763830087643</v>
      </c>
      <c r="M944" s="26" t="n">
        <v>289.6969245742258</v>
      </c>
      <c r="N944" s="27" t="n">
        <v>0.3281741833808849</v>
      </c>
      <c r="O944" s="26" t="n">
        <v>262.8896218560302</v>
      </c>
      <c r="P944" s="27" t="n">
        <v>0.3559939665427651</v>
      </c>
      <c r="Q944" s="26" t="n">
        <v>275.8834953124377</v>
      </c>
      <c r="R944" s="27" t="n">
        <v>0.3487668644547588</v>
      </c>
      <c r="S944" s="26" t="n">
        <v>268.7096354695017</v>
      </c>
      <c r="T944" s="27" t="n">
        <v>0.3592217197182961</v>
      </c>
      <c r="U944" s="26" t="n">
        <v>276.6965605283428</v>
      </c>
      <c r="V944" s="27" t="n">
        <v>0.3465261710298255</v>
      </c>
      <c r="W944" s="26" t="n">
        <v>277.2628773712479</v>
      </c>
      <c r="X944" s="27" t="n">
        <v>0.3425643407418019</v>
      </c>
      <c r="Y944" s="26" t="n">
        <v>268.4039739458977</v>
      </c>
      <c r="Z944" s="27" t="n">
        <v>0.3254943344526554</v>
      </c>
      <c r="AA944" s="26" t="n">
        <v>268.7821560442284</v>
      </c>
      <c r="AB944" s="27" t="n">
        <v>0.3581101909344383</v>
      </c>
    </row>
    <row r="945">
      <c r="A945" s="26" t="n">
        <v>290.9860392257606</v>
      </c>
      <c r="B945" s="27" t="n">
        <v>0.3293449604314169</v>
      </c>
      <c r="C945" s="26" t="n">
        <v>282.2256798254374</v>
      </c>
      <c r="D945" s="27" t="n">
        <v>0.3392799526637947</v>
      </c>
      <c r="E945" s="26" t="n">
        <v>299.0140165266093</v>
      </c>
      <c r="F945" s="27" t="n">
        <v>0.3180338971241584</v>
      </c>
      <c r="G945" s="26" t="n">
        <v>305.9224912199356</v>
      </c>
      <c r="H945" s="27" t="n">
        <v>0.3049105242336297</v>
      </c>
      <c r="I945" s="26" t="n">
        <v>307.421163363644</v>
      </c>
      <c r="J945" s="27" t="n">
        <v>0.3039339397053413</v>
      </c>
      <c r="K945" s="26" t="n">
        <v>296.5719183128733</v>
      </c>
      <c r="L945" s="27" t="n">
        <v>0.3165546290733627</v>
      </c>
      <c r="M945" s="26" t="n">
        <v>289.7882302763117</v>
      </c>
      <c r="N945" s="27" t="n">
        <v>0.3284146598190841</v>
      </c>
      <c r="O945" s="26" t="n">
        <v>263.0140265501187</v>
      </c>
      <c r="P945" s="27" t="n">
        <v>0.3563589387254169</v>
      </c>
      <c r="Q945" s="26" t="n">
        <v>275.9775820880706</v>
      </c>
      <c r="R945" s="27" t="n">
        <v>0.348893270253955</v>
      </c>
      <c r="S945" s="26" t="n">
        <v>268.816059077533</v>
      </c>
      <c r="T945" s="27" t="n">
        <v>0.3592996533998034</v>
      </c>
      <c r="U945" s="26" t="n">
        <v>276.7816058227951</v>
      </c>
      <c r="V945" s="27" t="n">
        <v>0.3466981262854039</v>
      </c>
      <c r="W945" s="26" t="n">
        <v>277.3410628633006</v>
      </c>
      <c r="X945" s="27" t="n">
        <v>0.3428363363025894</v>
      </c>
      <c r="Y945" s="26" t="n">
        <v>268.5094151125047</v>
      </c>
      <c r="Z945" s="27" t="n">
        <v>0.3264255090946166</v>
      </c>
      <c r="AA945" s="26" t="n">
        <v>268.862343705935</v>
      </c>
      <c r="AB945" s="27" t="n">
        <v>0.358251844244492</v>
      </c>
    </row>
    <row r="946">
      <c r="A946" s="26" t="n">
        <v>291.1518008889659</v>
      </c>
      <c r="B946" s="27" t="n">
        <v>0.3294295431501943</v>
      </c>
      <c r="C946" s="26" t="n">
        <v>282.3657293392522</v>
      </c>
      <c r="D946" s="27" t="n">
        <v>0.3394006963001387</v>
      </c>
      <c r="E946" s="26" t="n">
        <v>299.127074180966</v>
      </c>
      <c r="F946" s="27" t="n">
        <v>0.3182490870148169</v>
      </c>
      <c r="G946" s="26" t="n">
        <v>306.0092136505412</v>
      </c>
      <c r="H946" s="27" t="n">
        <v>0.3053173927846933</v>
      </c>
      <c r="I946" s="26" t="n">
        <v>307.5015477921439</v>
      </c>
      <c r="J946" s="27" t="n">
        <v>0.3043316103653935</v>
      </c>
      <c r="K946" s="26" t="n">
        <v>296.6481608072297</v>
      </c>
      <c r="L946" s="27" t="n">
        <v>0.3169266529267301</v>
      </c>
      <c r="M946" s="26" t="n">
        <v>289.8795359783975</v>
      </c>
      <c r="N946" s="27" t="n">
        <v>0.3286503869894027</v>
      </c>
      <c r="O946" s="26" t="n">
        <v>263.1384312442073</v>
      </c>
      <c r="P946" s="27" t="n">
        <v>0.3567166070003504</v>
      </c>
      <c r="Q946" s="26" t="n">
        <v>276.0716688637036</v>
      </c>
      <c r="R946" s="27" t="n">
        <v>0.349016436924959</v>
      </c>
      <c r="S946" s="26" t="n">
        <v>268.9224826855644</v>
      </c>
      <c r="T946" s="27" t="n">
        <v>0.359374766456767</v>
      </c>
      <c r="U946" s="26" t="n">
        <v>276.8666511172474</v>
      </c>
      <c r="V946" s="27" t="n">
        <v>0.3468663276819489</v>
      </c>
      <c r="W946" s="26" t="n">
        <v>277.4192483553535</v>
      </c>
      <c r="X946" s="27" t="n">
        <v>0.3431032480499833</v>
      </c>
      <c r="Y946" s="26" t="n">
        <v>268.6148562791116</v>
      </c>
      <c r="Z946" s="27" t="n">
        <v>0.3273485665444072</v>
      </c>
      <c r="AA946" s="26" t="n">
        <v>268.9425313676415</v>
      </c>
      <c r="AB946" s="27" t="n">
        <v>0.3583902266685927</v>
      </c>
    </row>
    <row r="947">
      <c r="A947" s="26" t="n">
        <v>291.3175625521712</v>
      </c>
      <c r="B947" s="27" t="n">
        <v>0.3295104171774549</v>
      </c>
      <c r="C947" s="26" t="n">
        <v>282.5057788530669</v>
      </c>
      <c r="D947" s="27" t="n">
        <v>0.3395174692574658</v>
      </c>
      <c r="E947" s="26" t="n">
        <v>299.2401318353228</v>
      </c>
      <c r="F947" s="27" t="n">
        <v>0.3184595797391204</v>
      </c>
      <c r="G947" s="26" t="n">
        <v>306.0959360811468</v>
      </c>
      <c r="H947" s="27" t="n">
        <v>0.3057176142985397</v>
      </c>
      <c r="I947" s="26" t="n">
        <v>307.5819322206439</v>
      </c>
      <c r="J947" s="27" t="n">
        <v>0.3047228250904925</v>
      </c>
      <c r="K947" s="26" t="n">
        <v>296.724403301586</v>
      </c>
      <c r="L947" s="27" t="n">
        <v>0.317292452477526</v>
      </c>
      <c r="M947" s="26" t="n">
        <v>289.9708416804833</v>
      </c>
      <c r="N947" s="27" t="n">
        <v>0.328881382486981</v>
      </c>
      <c r="O947" s="26" t="n">
        <v>263.2628359382958</v>
      </c>
      <c r="P947" s="27" t="n">
        <v>0.3570669703161687</v>
      </c>
      <c r="Q947" s="26" t="n">
        <v>276.1657556393365</v>
      </c>
      <c r="R947" s="27" t="n">
        <v>0.3491363851303423</v>
      </c>
      <c r="S947" s="26" t="n">
        <v>269.0289062935958</v>
      </c>
      <c r="T947" s="27" t="n">
        <v>0.359447078939825</v>
      </c>
      <c r="U947" s="26" t="n">
        <v>276.9516964116997</v>
      </c>
      <c r="V947" s="27" t="n">
        <v>0.3470307962452642</v>
      </c>
      <c r="W947" s="26" t="n">
        <v>277.4974338474062</v>
      </c>
      <c r="X947" s="27" t="n">
        <v>0.3433650931158468</v>
      </c>
      <c r="Y947" s="26" t="n">
        <v>268.7202974457185</v>
      </c>
      <c r="Z947" s="27" t="n">
        <v>0.3282632559444226</v>
      </c>
      <c r="AA947" s="26" t="n">
        <v>269.0227190293482</v>
      </c>
      <c r="AB947" s="27" t="n">
        <v>0.3585253588649593</v>
      </c>
    </row>
    <row r="948">
      <c r="A948" s="26" t="n">
        <v>291.4833242153766</v>
      </c>
      <c r="B948" s="27" t="n">
        <v>0.3295876058188003</v>
      </c>
      <c r="C948" s="26" t="n">
        <v>282.6458283668817</v>
      </c>
      <c r="D948" s="27" t="n">
        <v>0.3396302947960273</v>
      </c>
      <c r="E948" s="26" t="n">
        <v>299.3531894896795</v>
      </c>
      <c r="F948" s="27" t="n">
        <v>0.3186653934834995</v>
      </c>
      <c r="G948" s="26" t="n">
        <v>306.1826585117524</v>
      </c>
      <c r="H948" s="27" t="n">
        <v>0.3061111751949565</v>
      </c>
      <c r="I948" s="26" t="n">
        <v>307.6623166491438</v>
      </c>
      <c r="J948" s="27" t="n">
        <v>0.3051075737316087</v>
      </c>
      <c r="K948" s="26" t="n">
        <v>296.8006457959424</v>
      </c>
      <c r="L948" s="27" t="n">
        <v>0.3176520271538019</v>
      </c>
      <c r="M948" s="26" t="n">
        <v>290.0621473825692</v>
      </c>
      <c r="N948" s="27" t="n">
        <v>0.3291076646651366</v>
      </c>
      <c r="O948" s="26" t="n">
        <v>263.3872406323844</v>
      </c>
      <c r="P948" s="27" t="n">
        <v>0.3574100294248663</v>
      </c>
      <c r="Q948" s="26" t="n">
        <v>276.2598424149695</v>
      </c>
      <c r="R948" s="27" t="n">
        <v>0.3492531357708901</v>
      </c>
      <c r="S948" s="26" t="n">
        <v>269.1353299016271</v>
      </c>
      <c r="T948" s="27" t="n">
        <v>0.3595166110369344</v>
      </c>
      <c r="U948" s="26" t="n">
        <v>277.036741706152</v>
      </c>
      <c r="V948" s="27" t="n">
        <v>0.3471915533767869</v>
      </c>
      <c r="W948" s="26" t="n">
        <v>277.5756193394591</v>
      </c>
      <c r="X948" s="27" t="n">
        <v>0.3436218894814779</v>
      </c>
      <c r="Y948" s="26" t="n">
        <v>268.8257386123254</v>
      </c>
      <c r="Z948" s="27" t="n">
        <v>0.3291693254675141</v>
      </c>
      <c r="AA948" s="26" t="n">
        <v>269.1029066910548</v>
      </c>
      <c r="AB948" s="27" t="n">
        <v>0.3586572617285747</v>
      </c>
    </row>
    <row r="949">
      <c r="A949" s="26" t="n">
        <v>291.6490858785819</v>
      </c>
      <c r="B949" s="27" t="n">
        <v>0.3296611327522879</v>
      </c>
      <c r="C949" s="26" t="n">
        <v>282.7858778806965</v>
      </c>
      <c r="D949" s="27" t="n">
        <v>0.3397391966089288</v>
      </c>
      <c r="E949" s="26" t="n">
        <v>299.4662471440362</v>
      </c>
      <c r="F949" s="27" t="n">
        <v>0.3188665471977818</v>
      </c>
      <c r="G949" s="26" t="n">
        <v>306.2693809423579</v>
      </c>
      <c r="H949" s="27" t="n">
        <v>0.3064980637158762</v>
      </c>
      <c r="I949" s="26" t="n">
        <v>307.7427010776438</v>
      </c>
      <c r="J949" s="27" t="n">
        <v>0.3054858478682942</v>
      </c>
      <c r="K949" s="26" t="n">
        <v>296.8768882902987</v>
      </c>
      <c r="L949" s="27" t="n">
        <v>0.3180053779106137</v>
      </c>
      <c r="M949" s="26" t="n">
        <v>290.153453084655</v>
      </c>
      <c r="N949" s="27" t="n">
        <v>0.3293292526297012</v>
      </c>
      <c r="O949" s="26" t="n">
        <v>263.5116453264729</v>
      </c>
      <c r="P949" s="27" t="n">
        <v>0.3577457868915069</v>
      </c>
      <c r="Q949" s="26" t="n">
        <v>276.3539291906024</v>
      </c>
      <c r="R949" s="27" t="n">
        <v>0.349366709980532</v>
      </c>
      <c r="S949" s="26" t="n">
        <v>269.2417535096585</v>
      </c>
      <c r="T949" s="27" t="n">
        <v>0.3595833830692982</v>
      </c>
      <c r="U949" s="26" t="n">
        <v>277.1217870006043</v>
      </c>
      <c r="V949" s="27" t="n">
        <v>0.347348620847604</v>
      </c>
      <c r="W949" s="26" t="n">
        <v>277.6538048315119</v>
      </c>
      <c r="X949" s="27" t="n">
        <v>0.3438736559721473</v>
      </c>
      <c r="Y949" s="26" t="n">
        <v>268.9311797789323</v>
      </c>
      <c r="Z949" s="27" t="n">
        <v>0.3300665225483836</v>
      </c>
      <c r="AA949" s="26" t="n">
        <v>269.1830943527614</v>
      </c>
      <c r="AB949" s="27" t="n">
        <v>0.3587859563861393</v>
      </c>
    </row>
    <row r="950">
      <c r="A950" s="26" t="n">
        <v>291.8148475417871</v>
      </c>
      <c r="B950" s="27" t="n">
        <v>0.3297310220219479</v>
      </c>
      <c r="C950" s="26" t="n">
        <v>282.9259273945113</v>
      </c>
      <c r="D950" s="27" t="n">
        <v>0.3398441988153736</v>
      </c>
      <c r="E950" s="26" t="n">
        <v>299.579304798393</v>
      </c>
      <c r="F950" s="27" t="n">
        <v>0.3190630605893454</v>
      </c>
      <c r="G950" s="26" t="n">
        <v>306.3561033729635</v>
      </c>
      <c r="H950" s="27" t="n">
        <v>0.3068782699441945</v>
      </c>
      <c r="I950" s="26" t="n">
        <v>307.8230855061437</v>
      </c>
      <c r="J950" s="27" t="n">
        <v>0.3058576408239321</v>
      </c>
      <c r="K950" s="26" t="n">
        <v>296.9531307846551</v>
      </c>
      <c r="L950" s="27" t="n">
        <v>0.3183525072367667</v>
      </c>
      <c r="M950" s="26" t="n">
        <v>290.2447587867408</v>
      </c>
      <c r="N950" s="27" t="n">
        <v>0.3295461662330135</v>
      </c>
      <c r="O950" s="26" t="n">
        <v>263.6360500205615</v>
      </c>
      <c r="P950" s="27" t="n">
        <v>0.3580742471028579</v>
      </c>
      <c r="Q950" s="26" t="n">
        <v>276.4480159662353</v>
      </c>
      <c r="R950" s="27" t="n">
        <v>0.3494771291212191</v>
      </c>
      <c r="S950" s="26" t="n">
        <v>269.3481771176898</v>
      </c>
      <c r="T950" s="27" t="n">
        <v>0.3596474154872737</v>
      </c>
      <c r="U950" s="26" t="n">
        <v>277.2068322950566</v>
      </c>
      <c r="V950" s="27" t="n">
        <v>0.347502020792351</v>
      </c>
      <c r="W950" s="26" t="n">
        <v>277.7319903235647</v>
      </c>
      <c r="X950" s="27" t="n">
        <v>0.3441204122512437</v>
      </c>
      <c r="Y950" s="26" t="n">
        <v>269.0366209455392</v>
      </c>
      <c r="Z950" s="27" t="n">
        <v>0.3309545941273099</v>
      </c>
      <c r="AA950" s="26" t="n">
        <v>269.263282014468</v>
      </c>
      <c r="AB950" s="27" t="n">
        <v>0.3589114641909731</v>
      </c>
    </row>
    <row r="951">
      <c r="A951" s="26" t="n">
        <v>291.9806092049924</v>
      </c>
      <c r="B951" s="27" t="n">
        <v>0.3297972980311782</v>
      </c>
      <c r="C951" s="26" t="n">
        <v>283.065976908326</v>
      </c>
      <c r="D951" s="27" t="n">
        <v>0.3399453259537568</v>
      </c>
      <c r="E951" s="26" t="n">
        <v>299.6923624527496</v>
      </c>
      <c r="F951" s="27" t="n">
        <v>0.3192549541169183</v>
      </c>
      <c r="G951" s="26" t="n">
        <v>306.4428258035691</v>
      </c>
      <c r="H951" s="27" t="n">
        <v>0.3072517858215222</v>
      </c>
      <c r="I951" s="26" t="n">
        <v>307.9034699346437</v>
      </c>
      <c r="J951" s="27" t="n">
        <v>0.306222947679971</v>
      </c>
      <c r="K951" s="26" t="n">
        <v>297.0293732790115</v>
      </c>
      <c r="L951" s="27" t="n">
        <v>0.318693419160673</v>
      </c>
      <c r="M951" s="26" t="n">
        <v>290.3360644888267</v>
      </c>
      <c r="N951" s="27" t="n">
        <v>0.3297584260675697</v>
      </c>
      <c r="O951" s="26" t="n">
        <v>263.76045471465</v>
      </c>
      <c r="P951" s="27" t="n">
        <v>0.3583954162749507</v>
      </c>
      <c r="Q951" s="26" t="n">
        <v>276.5421027418683</v>
      </c>
      <c r="R951" s="27" t="n">
        <v>0.3495844147777473</v>
      </c>
      <c r="S951" s="26" t="n">
        <v>269.4546007257212</v>
      </c>
      <c r="T951" s="27" t="n">
        <v>0.3597087288662636</v>
      </c>
      <c r="U951" s="26" t="n">
        <v>277.2918775895089</v>
      </c>
      <c r="V951" s="27" t="n">
        <v>0.3476517757029967</v>
      </c>
      <c r="W951" s="26" t="n">
        <v>277.8101758156175</v>
      </c>
      <c r="X951" s="27" t="n">
        <v>0.3443621788140206</v>
      </c>
      <c r="Y951" s="26" t="n">
        <v>269.1420621121462</v>
      </c>
      <c r="Z951" s="27" t="n">
        <v>0.3318332869063517</v>
      </c>
      <c r="AA951" s="26" t="n">
        <v>269.3434696761745</v>
      </c>
      <c r="AB951" s="27" t="n">
        <v>0.3590338067178662</v>
      </c>
    </row>
    <row r="952">
      <c r="A952" s="26" t="n">
        <v>292.1463708681978</v>
      </c>
      <c r="B952" s="27" t="n">
        <v>0.3298599855360189</v>
      </c>
      <c r="C952" s="26" t="n">
        <v>283.2060264221408</v>
      </c>
      <c r="D952" s="27" t="n">
        <v>0.3400426029746104</v>
      </c>
      <c r="E952" s="26" t="n">
        <v>299.8054201071064</v>
      </c>
      <c r="F952" s="27" t="n">
        <v>0.3194422489840223</v>
      </c>
      <c r="G952" s="26" t="n">
        <v>306.5295482341746</v>
      </c>
      <c r="H952" s="27" t="n">
        <v>0.3076186051648364</v>
      </c>
      <c r="I952" s="26" t="n">
        <v>307.9838543631436</v>
      </c>
      <c r="J952" s="27" t="n">
        <v>0.3065817652891131</v>
      </c>
      <c r="K952" s="26" t="n">
        <v>297.1056157733677</v>
      </c>
      <c r="L952" s="27" t="n">
        <v>0.319028119255305</v>
      </c>
      <c r="M952" s="26" t="n">
        <v>290.4273701909125</v>
      </c>
      <c r="N952" s="27" t="n">
        <v>0.3299660534593333</v>
      </c>
      <c r="O952" s="26" t="n">
        <v>263.8848594087385</v>
      </c>
      <c r="P952" s="27" t="n">
        <v>0.3587093024595459</v>
      </c>
      <c r="Q952" s="26" t="n">
        <v>276.6361895175013</v>
      </c>
      <c r="R952" s="27" t="n">
        <v>0.3496885887525293</v>
      </c>
      <c r="S952" s="26" t="n">
        <v>269.5610243337526</v>
      </c>
      <c r="T952" s="27" t="n">
        <v>0.3597673439025923</v>
      </c>
      <c r="U952" s="26" t="n">
        <v>277.3769228839612</v>
      </c>
      <c r="V952" s="27" t="n">
        <v>0.3477979084225172</v>
      </c>
      <c r="W952" s="26" t="n">
        <v>277.8883613076703</v>
      </c>
      <c r="X952" s="27" t="n">
        <v>0.3445989769809499</v>
      </c>
      <c r="Y952" s="26" t="n">
        <v>269.247503278753</v>
      </c>
      <c r="Z952" s="27" t="n">
        <v>0.332702347618144</v>
      </c>
      <c r="AA952" s="26" t="n">
        <v>269.4236573378812</v>
      </c>
      <c r="AB952" s="27" t="n">
        <v>0.3591530057578787</v>
      </c>
    </row>
    <row r="953">
      <c r="A953" s="26" t="n">
        <v>292.3121325314031</v>
      </c>
      <c r="B953" s="27" t="n">
        <v>0.3299191096383098</v>
      </c>
      <c r="C953" s="26" t="n">
        <v>283.3460759359556</v>
      </c>
      <c r="D953" s="27" t="n">
        <v>0.3401360552334039</v>
      </c>
      <c r="E953" s="26" t="n">
        <v>299.9184777614631</v>
      </c>
      <c r="F953" s="27" t="n">
        <v>0.3196249671320632</v>
      </c>
      <c r="G953" s="26" t="n">
        <v>306.6162706647802</v>
      </c>
      <c r="H953" s="27" t="n">
        <v>0.3079787236819909</v>
      </c>
      <c r="I953" s="26" t="n">
        <v>308.0642387916436</v>
      </c>
      <c r="J953" s="27" t="n">
        <v>0.3069340922874244</v>
      </c>
      <c r="K953" s="26" t="n">
        <v>297.1818582677241</v>
      </c>
      <c r="L953" s="27" t="n">
        <v>0.3193566146422209</v>
      </c>
      <c r="M953" s="26" t="n">
        <v>290.5186758929984</v>
      </c>
      <c r="N953" s="27" t="n">
        <v>0.330169070460704</v>
      </c>
      <c r="O953" s="26" t="n">
        <v>264.0092641028271</v>
      </c>
      <c r="P953" s="27" t="n">
        <v>0.3590159155494773</v>
      </c>
      <c r="Q953" s="26" t="n">
        <v>276.7302762931342</v>
      </c>
      <c r="R953" s="27" t="n">
        <v>0.3497896730603178</v>
      </c>
      <c r="S953" s="26" t="n">
        <v>269.667447941784</v>
      </c>
      <c r="T953" s="27" t="n">
        <v>0.3598232814093681</v>
      </c>
      <c r="U953" s="26" t="n">
        <v>277.4619681784136</v>
      </c>
      <c r="V953" s="27" t="n">
        <v>0.3479404421384579</v>
      </c>
      <c r="W953" s="26" t="n">
        <v>277.9665467997231</v>
      </c>
      <c r="X953" s="27" t="n">
        <v>0.344830828890681</v>
      </c>
      <c r="Y953" s="26" t="n">
        <v>269.35294444536</v>
      </c>
      <c r="Z953" s="27" t="n">
        <v>0.3335615233073706</v>
      </c>
      <c r="AA953" s="26" t="n">
        <v>269.5038449995877</v>
      </c>
      <c r="AB953" s="27" t="n">
        <v>0.3592690833130959</v>
      </c>
    </row>
    <row r="954">
      <c r="A954" s="26" t="n">
        <v>292.4778941946084</v>
      </c>
      <c r="B954" s="27" t="n">
        <v>0.3299746957787328</v>
      </c>
      <c r="C954" s="26" t="n">
        <v>283.4861254497704</v>
      </c>
      <c r="D954" s="27" t="n">
        <v>0.3402257084832013</v>
      </c>
      <c r="E954" s="26" t="n">
        <v>300.0315354158198</v>
      </c>
      <c r="F954" s="27" t="n">
        <v>0.3198031312330689</v>
      </c>
      <c r="G954" s="26" t="n">
        <v>306.7029930953858</v>
      </c>
      <c r="H954" s="27" t="n">
        <v>0.3083321389860493</v>
      </c>
      <c r="I954" s="26" t="n">
        <v>308.1446232201434</v>
      </c>
      <c r="J954" s="27" t="n">
        <v>0.3072799291053335</v>
      </c>
      <c r="K954" s="26" t="n">
        <v>297.2581007620805</v>
      </c>
      <c r="L954" s="27" t="n">
        <v>0.3196789139946503</v>
      </c>
      <c r="M954" s="26" t="n">
        <v>290.6099815950842</v>
      </c>
      <c r="N954" s="27" t="n">
        <v>0.3303674998431472</v>
      </c>
      <c r="O954" s="26" t="n">
        <v>264.1336687969157</v>
      </c>
      <c r="P954" s="27" t="n">
        <v>0.3593152672828543</v>
      </c>
      <c r="Q954" s="26" t="n">
        <v>276.8243630687671</v>
      </c>
      <c r="R954" s="27" t="n">
        <v>0.3498876899228818</v>
      </c>
      <c r="S954" s="26" t="n">
        <v>269.7738715498153</v>
      </c>
      <c r="T954" s="27" t="n">
        <v>0.3598765623123315</v>
      </c>
      <c r="U954" s="26" t="n">
        <v>277.5470134728658</v>
      </c>
      <c r="V954" s="27" t="n">
        <v>0.3480794003763905</v>
      </c>
      <c r="W954" s="26" t="n">
        <v>278.0447322917759</v>
      </c>
      <c r="X954" s="27" t="n">
        <v>0.3450577574926058</v>
      </c>
      <c r="Y954" s="26" t="n">
        <v>269.4583856119668</v>
      </c>
      <c r="Z954" s="27" t="n">
        <v>0.3344105616249552</v>
      </c>
      <c r="AA954" s="26" t="n">
        <v>269.5840326612944</v>
      </c>
      <c r="AB954" s="27" t="n">
        <v>0.3593820615913357</v>
      </c>
    </row>
    <row r="955">
      <c r="A955" s="26" t="n">
        <v>292.6436558578137</v>
      </c>
      <c r="B955" s="27" t="n">
        <v>0.3300267697297425</v>
      </c>
      <c r="C955" s="26" t="n">
        <v>283.6261749635852</v>
      </c>
      <c r="D955" s="27" t="n">
        <v>0.3403115888671796</v>
      </c>
      <c r="E955" s="26" t="n">
        <v>300.1445930701766</v>
      </c>
      <c r="F955" s="27" t="n">
        <v>0.3199767646820756</v>
      </c>
      <c r="G955" s="26" t="n">
        <v>306.7897155259914</v>
      </c>
      <c r="H955" s="27" t="n">
        <v>0.3086788506083986</v>
      </c>
      <c r="I955" s="26" t="n">
        <v>308.2250076486434</v>
      </c>
      <c r="J955" s="27" t="n">
        <v>0.3076192779774909</v>
      </c>
      <c r="K955" s="26" t="n">
        <v>297.3343432564368</v>
      </c>
      <c r="L955" s="27" t="n">
        <v>0.3199950275396203</v>
      </c>
      <c r="M955" s="26" t="n">
        <v>290.70128729717</v>
      </c>
      <c r="N955" s="27" t="n">
        <v>0.3305613650894889</v>
      </c>
      <c r="O955" s="26" t="n">
        <v>264.2580734910042</v>
      </c>
      <c r="P955" s="27" t="n">
        <v>0.359607371246094</v>
      </c>
      <c r="Q955" s="26" t="n">
        <v>276.9184498444001</v>
      </c>
      <c r="R955" s="27" t="n">
        <v>0.3499826617636363</v>
      </c>
      <c r="S955" s="26" t="n">
        <v>269.8802951578467</v>
      </c>
      <c r="T955" s="27" t="n">
        <v>0.3599272076456936</v>
      </c>
      <c r="U955" s="26" t="n">
        <v>277.6320587673182</v>
      </c>
      <c r="V955" s="27" t="n">
        <v>0.3482148069932657</v>
      </c>
      <c r="W955" s="26" t="n">
        <v>278.1229177838287</v>
      </c>
      <c r="X955" s="27" t="n">
        <v>0.3452797865390337</v>
      </c>
      <c r="Y955" s="26" t="n">
        <v>269.5638267785738</v>
      </c>
      <c r="Z955" s="27" t="n">
        <v>0.3352492111349806</v>
      </c>
      <c r="AA955" s="26" t="n">
        <v>269.664220323001</v>
      </c>
      <c r="AB955" s="27" t="n">
        <v>0.3594919630008129</v>
      </c>
    </row>
    <row r="956">
      <c r="A956" s="26" t="n">
        <v>292.809417521019</v>
      </c>
      <c r="B956" s="27" t="n">
        <v>0.3300753575883876</v>
      </c>
      <c r="C956" s="26" t="n">
        <v>283.7662244773999</v>
      </c>
      <c r="D956" s="27" t="n">
        <v>0.3403937229110091</v>
      </c>
      <c r="E956" s="26" t="n">
        <v>300.2576507245333</v>
      </c>
      <c r="F956" s="27" t="n">
        <v>0.3201458915891663</v>
      </c>
      <c r="G956" s="26" t="n">
        <v>306.8764379565969</v>
      </c>
      <c r="H956" s="27" t="n">
        <v>0.3090188600106161</v>
      </c>
      <c r="I956" s="26" t="n">
        <v>308.3053920771433</v>
      </c>
      <c r="J956" s="27" t="n">
        <v>0.3079521429514547</v>
      </c>
      <c r="K956" s="26" t="n">
        <v>297.4105857507932</v>
      </c>
      <c r="L956" s="27" t="n">
        <v>0.3203049670591026</v>
      </c>
      <c r="M956" s="26" t="n">
        <v>290.7925929992559</v>
      </c>
      <c r="N956" s="27" t="n">
        <v>0.3307506903858723</v>
      </c>
      <c r="O956" s="26" t="n">
        <v>264.3824781850927</v>
      </c>
      <c r="P956" s="27" t="n">
        <v>0.3598922428757704</v>
      </c>
      <c r="Q956" s="26" t="n">
        <v>277.012536620033</v>
      </c>
      <c r="R956" s="27" t="n">
        <v>0.3500746112022298</v>
      </c>
      <c r="S956" s="26" t="n">
        <v>269.9867187658781</v>
      </c>
      <c r="T956" s="27" t="n">
        <v>0.359975238547962</v>
      </c>
      <c r="U956" s="26" t="n">
        <v>277.7171040617704</v>
      </c>
      <c r="V956" s="27" t="n">
        <v>0.3483466861706611</v>
      </c>
      <c r="W956" s="26" t="n">
        <v>278.2011032758815</v>
      </c>
      <c r="X956" s="27" t="n">
        <v>0.3454969405769731</v>
      </c>
      <c r="Y956" s="26" t="n">
        <v>269.6692679451806</v>
      </c>
      <c r="Z956" s="27" t="n">
        <v>0.3360772216342933</v>
      </c>
      <c r="AA956" s="26" t="n">
        <v>269.7444079847075</v>
      </c>
      <c r="AB956" s="27" t="n">
        <v>0.3595988101447619</v>
      </c>
    </row>
    <row r="957">
      <c r="A957" s="26" t="n">
        <v>292.9751791842243</v>
      </c>
      <c r="B957" s="27" t="n">
        <v>0.3301204857690255</v>
      </c>
      <c r="C957" s="26" t="n">
        <v>283.9062739912147</v>
      </c>
      <c r="D957" s="27" t="n">
        <v>0.3404721375151007</v>
      </c>
      <c r="E957" s="26" t="n">
        <v>300.3707083788901</v>
      </c>
      <c r="F957" s="27" t="n">
        <v>0.3203105367711611</v>
      </c>
      <c r="G957" s="26" t="n">
        <v>306.9631603872025</v>
      </c>
      <c r="H957" s="27" t="n">
        <v>0.3093521705950434</v>
      </c>
      <c r="I957" s="26" t="n">
        <v>308.3857765056433</v>
      </c>
      <c r="J957" s="27" t="n">
        <v>0.3082785298951764</v>
      </c>
      <c r="K957" s="26" t="n">
        <v>297.4868282451496</v>
      </c>
      <c r="L957" s="27" t="n">
        <v>0.3206087458901702</v>
      </c>
      <c r="M957" s="26" t="n">
        <v>290.8838987013417</v>
      </c>
      <c r="N957" s="27" t="n">
        <v>0.3309355006133854</v>
      </c>
      <c r="O957" s="26" t="n">
        <v>264.5068828791813</v>
      </c>
      <c r="P957" s="27" t="n">
        <v>0.36016989945925</v>
      </c>
      <c r="Q957" s="26" t="n">
        <v>277.106623395666</v>
      </c>
      <c r="R957" s="27" t="n">
        <v>0.3501635610490885</v>
      </c>
      <c r="S957" s="26" t="n">
        <v>270.0931423739095</v>
      </c>
      <c r="T957" s="27" t="n">
        <v>0.3600206762577602</v>
      </c>
      <c r="U957" s="26" t="n">
        <v>277.8021493562228</v>
      </c>
      <c r="V957" s="27" t="n">
        <v>0.348475062407933</v>
      </c>
      <c r="W957" s="26" t="n">
        <v>278.2792887679343</v>
      </c>
      <c r="X957" s="27" t="n">
        <v>0.3457092449395295</v>
      </c>
      <c r="Y957" s="26" t="n">
        <v>269.7747091117876</v>
      </c>
      <c r="Z957" s="27" t="n">
        <v>0.3368943444847126</v>
      </c>
      <c r="AA957" s="26" t="n">
        <v>269.8245956464142</v>
      </c>
      <c r="AB957" s="27" t="n">
        <v>0.3597026258160197</v>
      </c>
    </row>
    <row r="958">
      <c r="A958" s="26" t="n">
        <v>293.1409408474296</v>
      </c>
      <c r="B958" s="27" t="n">
        <v>0.3301621809959336</v>
      </c>
      <c r="C958" s="26" t="n">
        <v>284.0463235050295</v>
      </c>
      <c r="D958" s="27" t="n">
        <v>0.3405468599467226</v>
      </c>
      <c r="E958" s="26" t="n">
        <v>300.4837660332468</v>
      </c>
      <c r="F958" s="27" t="n">
        <v>0.3204707257429638</v>
      </c>
      <c r="G958" s="26" t="n">
        <v>307.0498828178081</v>
      </c>
      <c r="H958" s="27" t="n">
        <v>0.3096787877140417</v>
      </c>
      <c r="I958" s="26" t="n">
        <v>308.4661609341432</v>
      </c>
      <c r="J958" s="27" t="n">
        <v>0.3085984465032566</v>
      </c>
      <c r="K958" s="26" t="n">
        <v>297.5630707395059</v>
      </c>
      <c r="L958" s="27" t="n">
        <v>0.3209063789241481</v>
      </c>
      <c r="M958" s="26" t="n">
        <v>290.9752044034275</v>
      </c>
      <c r="N958" s="27" t="n">
        <v>0.3311158213393566</v>
      </c>
      <c r="O958" s="26" t="n">
        <v>264.6312875732698</v>
      </c>
      <c r="P958" s="27" t="n">
        <v>0.3604403601341028</v>
      </c>
      <c r="Q958" s="26" t="n">
        <v>277.2007101712989</v>
      </c>
      <c r="R958" s="27" t="n">
        <v>0.3502495342999221</v>
      </c>
      <c r="S958" s="26" t="n">
        <v>270.1995659819409</v>
      </c>
      <c r="T958" s="27" t="n">
        <v>0.3600635421096371</v>
      </c>
      <c r="U958" s="26" t="n">
        <v>277.887194650675</v>
      </c>
      <c r="V958" s="27" t="n">
        <v>0.3485999605152696</v>
      </c>
      <c r="W958" s="26" t="n">
        <v>278.3574742599872</v>
      </c>
      <c r="X958" s="27" t="n">
        <v>0.3459167257369132</v>
      </c>
      <c r="Y958" s="26" t="n">
        <v>269.8801502783945</v>
      </c>
      <c r="Z958" s="27" t="n">
        <v>0.3377003329577055</v>
      </c>
      <c r="AA958" s="26" t="n">
        <v>269.9047833081207</v>
      </c>
      <c r="AB958" s="27" t="n">
        <v>0.3598034329915703</v>
      </c>
    </row>
    <row r="959">
      <c r="A959" s="26" t="n">
        <v>293.306702510635</v>
      </c>
      <c r="B959" s="27" t="n">
        <v>0.3302004702958206</v>
      </c>
      <c r="C959" s="26" t="n">
        <v>284.1863730188443</v>
      </c>
      <c r="D959" s="27" t="n">
        <v>0.3406179178319887</v>
      </c>
      <c r="E959" s="26" t="n">
        <v>300.5968236876034</v>
      </c>
      <c r="F959" s="27" t="n">
        <v>0.3206264847085672</v>
      </c>
      <c r="G959" s="26" t="n">
        <v>307.1366052484136</v>
      </c>
      <c r="H959" s="27" t="n">
        <v>0.3099987186778858</v>
      </c>
      <c r="I959" s="26" t="n">
        <v>308.5465453626432</v>
      </c>
      <c r="J959" s="27" t="n">
        <v>0.3089119023019419</v>
      </c>
      <c r="K959" s="26" t="n">
        <v>297.6393132338623</v>
      </c>
      <c r="L959" s="27" t="n">
        <v>0.3211978826047404</v>
      </c>
      <c r="M959" s="26" t="n">
        <v>291.0665101055134</v>
      </c>
      <c r="N959" s="27" t="n">
        <v>0.3312916788083246</v>
      </c>
      <c r="O959" s="26" t="n">
        <v>264.7556922673584</v>
      </c>
      <c r="P959" s="27" t="n">
        <v>0.360703645886265</v>
      </c>
      <c r="Q959" s="26" t="n">
        <v>277.2947969469319</v>
      </c>
      <c r="R959" s="27" t="n">
        <v>0.3503325541301923</v>
      </c>
      <c r="S959" s="26" t="n">
        <v>270.3059895899722</v>
      </c>
      <c r="T959" s="27" t="n">
        <v>0.3601038575298708</v>
      </c>
      <c r="U959" s="26" t="n">
        <v>277.9722399451274</v>
      </c>
      <c r="V959" s="27" t="n">
        <v>0.3487214056066509</v>
      </c>
      <c r="W959" s="26" t="n">
        <v>278.4356597520399</v>
      </c>
      <c r="X959" s="27" t="n">
        <v>0.3461194098470662</v>
      </c>
      <c r="Y959" s="26" t="n">
        <v>269.9855914450014</v>
      </c>
      <c r="Z959" s="27" t="n">
        <v>0.3384949425913428</v>
      </c>
      <c r="AA959" s="26" t="n">
        <v>269.9849709698274</v>
      </c>
      <c r="AB959" s="27" t="n">
        <v>0.3599012548270535</v>
      </c>
    </row>
    <row r="960">
      <c r="A960" s="26" t="n">
        <v>293.4724641738403</v>
      </c>
      <c r="B960" s="27" t="n">
        <v>0.3302353809902393</v>
      </c>
      <c r="C960" s="26" t="n">
        <v>284.326422532659</v>
      </c>
      <c r="D960" s="27" t="n">
        <v>0.3406853391477241</v>
      </c>
      <c r="E960" s="26" t="n">
        <v>300.7098813419602</v>
      </c>
      <c r="F960" s="27" t="n">
        <v>0.3207778405517186</v>
      </c>
      <c r="G960" s="26" t="n">
        <v>307.2233276790192</v>
      </c>
      <c r="H960" s="27" t="n">
        <v>0.3103119727612713</v>
      </c>
      <c r="I960" s="26" t="n">
        <v>308.6269297911431</v>
      </c>
      <c r="J960" s="27" t="n">
        <v>0.3092189086528391</v>
      </c>
      <c r="K960" s="26" t="n">
        <v>297.7155557282186</v>
      </c>
      <c r="L960" s="27" t="n">
        <v>0.3214832749251241</v>
      </c>
      <c r="M960" s="26" t="n">
        <v>291.1578158075992</v>
      </c>
      <c r="N960" s="27" t="n">
        <v>0.3314630999326829</v>
      </c>
      <c r="O960" s="26" t="n">
        <v>264.880096961447</v>
      </c>
      <c r="P960" s="27" t="n">
        <v>0.3609597795469364</v>
      </c>
      <c r="Q960" s="26" t="n">
        <v>277.3888837225648</v>
      </c>
      <c r="R960" s="27" t="n">
        <v>0.3504126438895442</v>
      </c>
      <c r="S960" s="26" t="n">
        <v>270.4124131980036</v>
      </c>
      <c r="T960" s="27" t="n">
        <v>0.3601416440322684</v>
      </c>
      <c r="U960" s="26" t="n">
        <v>278.0572852395796</v>
      </c>
      <c r="V960" s="27" t="n">
        <v>0.3488394230927176</v>
      </c>
      <c r="W960" s="26" t="n">
        <v>278.5138452440927</v>
      </c>
      <c r="X960" s="27" t="n">
        <v>0.3463173249059089</v>
      </c>
      <c r="Y960" s="26" t="n">
        <v>270.0910326116083</v>
      </c>
      <c r="Z960" s="27" t="n">
        <v>0.3392779315592827</v>
      </c>
      <c r="AA960" s="26" t="n">
        <v>270.0651586315339</v>
      </c>
      <c r="AB960" s="27" t="n">
        <v>0.3599961146512397</v>
      </c>
    </row>
    <row r="961">
      <c r="A961" s="26" t="n">
        <v>293.6382258370455</v>
      </c>
      <c r="B961" s="27" t="n">
        <v>0.3302669406879072</v>
      </c>
      <c r="C961" s="26" t="n">
        <v>284.4664720464738</v>
      </c>
      <c r="D961" s="27" t="n">
        <v>0.3407491522132096</v>
      </c>
      <c r="E961" s="26" t="n">
        <v>300.8229389963169</v>
      </c>
      <c r="F961" s="27" t="n">
        <v>0.3209248208262512</v>
      </c>
      <c r="G961" s="26" t="n">
        <v>307.3100501096247</v>
      </c>
      <c r="H961" s="27" t="n">
        <v>0.3106185612083985</v>
      </c>
      <c r="I961" s="26" t="n">
        <v>308.7073142196431</v>
      </c>
      <c r="J961" s="27" t="n">
        <v>0.3095194787553172</v>
      </c>
      <c r="K961" s="26" t="n">
        <v>297.7917982225749</v>
      </c>
      <c r="L961" s="27" t="n">
        <v>0.3217625754239968</v>
      </c>
      <c r="M961" s="26" t="n">
        <v>291.2491215096851</v>
      </c>
      <c r="N961" s="27" t="n">
        <v>0.3316301122830067</v>
      </c>
      <c r="O961" s="26" t="n">
        <v>265.0045016555355</v>
      </c>
      <c r="P961" s="27" t="n">
        <v>0.361208785788197</v>
      </c>
      <c r="Q961" s="26" t="n">
        <v>277.4829704981977</v>
      </c>
      <c r="R961" s="27" t="n">
        <v>0.3504898270962056</v>
      </c>
      <c r="S961" s="26" t="n">
        <v>270.518836806035</v>
      </c>
      <c r="T961" s="27" t="n">
        <v>0.3601769232139601</v>
      </c>
      <c r="U961" s="26" t="n">
        <v>278.142330534032</v>
      </c>
      <c r="V961" s="27" t="n">
        <v>0.3489540386735517</v>
      </c>
      <c r="W961" s="26" t="n">
        <v>278.5920307361455</v>
      </c>
      <c r="X961" s="27" t="n">
        <v>0.3465104992972103</v>
      </c>
      <c r="Y961" s="26" t="n">
        <v>270.1964737782152</v>
      </c>
      <c r="Z961" s="27" t="n">
        <v>0.3400490610514797</v>
      </c>
      <c r="AA961" s="26" t="n">
        <v>270.1453462932406</v>
      </c>
      <c r="AB961" s="27" t="n">
        <v>0.3600880359604726</v>
      </c>
    </row>
    <row r="962">
      <c r="A962" s="26" t="n">
        <v>293.8039875002509</v>
      </c>
      <c r="B962" s="27" t="n">
        <v>0.3302951772769334</v>
      </c>
      <c r="C962" s="26" t="n">
        <v>284.6065215602886</v>
      </c>
      <c r="D962" s="27" t="n">
        <v>0.3408093856818081</v>
      </c>
      <c r="E962" s="26" t="n">
        <v>300.9359966506737</v>
      </c>
      <c r="F962" s="27" t="n">
        <v>0.3210674537460836</v>
      </c>
      <c r="G962" s="26" t="n">
        <v>307.3967725402304</v>
      </c>
      <c r="H962" s="27" t="n">
        <v>0.3109184972366019</v>
      </c>
      <c r="I962" s="26" t="n">
        <v>308.787698648143</v>
      </c>
      <c r="J962" s="27" t="n">
        <v>0.3098136276475755</v>
      </c>
      <c r="K962" s="26" t="n">
        <v>297.8680407169313</v>
      </c>
      <c r="L962" s="27" t="n">
        <v>0.3220358051805649</v>
      </c>
      <c r="M962" s="26" t="n">
        <v>291.3404272117709</v>
      </c>
      <c r="N962" s="27" t="n">
        <v>0.3317927440780607</v>
      </c>
      <c r="O962" s="26" t="n">
        <v>265.128906349624</v>
      </c>
      <c r="P962" s="27" t="n">
        <v>0.3614506911173283</v>
      </c>
      <c r="Q962" s="26" t="n">
        <v>277.5770572738307</v>
      </c>
      <c r="R962" s="27" t="n">
        <v>0.3505641274313545</v>
      </c>
      <c r="S962" s="26" t="n">
        <v>270.6252604140664</v>
      </c>
      <c r="T962" s="27" t="n">
        <v>0.3602097167511922</v>
      </c>
      <c r="U962" s="26" t="n">
        <v>278.2273758284843</v>
      </c>
      <c r="V962" s="27" t="n">
        <v>0.3490652783313716</v>
      </c>
      <c r="W962" s="26" t="n">
        <v>278.6702162281983</v>
      </c>
      <c r="X962" s="27" t="n">
        <v>0.3466989621420828</v>
      </c>
      <c r="Y962" s="26" t="n">
        <v>270.3019149448221</v>
      </c>
      <c r="Z962" s="27" t="n">
        <v>0.3408080956662451</v>
      </c>
      <c r="AA962" s="26" t="n">
        <v>270.2255339549471</v>
      </c>
      <c r="AB962" s="27" t="n">
        <v>0.3601770424130823</v>
      </c>
    </row>
    <row r="963">
      <c r="A963" s="26" t="n">
        <v>293.9697491634562</v>
      </c>
      <c r="B963" s="27" t="n">
        <v>0.3303201189169604</v>
      </c>
      <c r="C963" s="26" t="n">
        <v>284.7465710741034</v>
      </c>
      <c r="D963" s="27" t="n">
        <v>0.3408660685324795</v>
      </c>
      <c r="E963" s="26" t="n">
        <v>301.0490543050304</v>
      </c>
      <c r="F963" s="27" t="n">
        <v>0.3212057681748913</v>
      </c>
      <c r="G963" s="26" t="n">
        <v>307.483494970836</v>
      </c>
      <c r="H963" s="27" t="n">
        <v>0.3112117960384986</v>
      </c>
      <c r="I963" s="26" t="n">
        <v>308.868083076643</v>
      </c>
      <c r="J963" s="27" t="n">
        <v>0.3101013722063521</v>
      </c>
      <c r="K963" s="26" t="n">
        <v>297.9442832112876</v>
      </c>
      <c r="L963" s="27" t="n">
        <v>0.3223029868084653</v>
      </c>
      <c r="M963" s="26" t="n">
        <v>291.4317329138567</v>
      </c>
      <c r="N963" s="27" t="n">
        <v>0.3319510241744963</v>
      </c>
      <c r="O963" s="26" t="n">
        <v>265.2533110437125</v>
      </c>
      <c r="P963" s="27" t="n">
        <v>0.3616855238698233</v>
      </c>
      <c r="Q963" s="26" t="n">
        <v>277.6711440494637</v>
      </c>
      <c r="R963" s="27" t="n">
        <v>0.3506355687334559</v>
      </c>
      <c r="S963" s="26" t="n">
        <v>270.7316840220977</v>
      </c>
      <c r="T963" s="27" t="n">
        <v>0.3602400463951189</v>
      </c>
      <c r="U963" s="26" t="n">
        <v>278.3124211229366</v>
      </c>
      <c r="V963" s="27" t="n">
        <v>0.349173168323147</v>
      </c>
      <c r="W963" s="26" t="n">
        <v>278.7484017202511</v>
      </c>
      <c r="X963" s="27" t="n">
        <v>0.3468827432881113</v>
      </c>
      <c r="Y963" s="26" t="n">
        <v>270.4073561114291</v>
      </c>
      <c r="Z963" s="27" t="n">
        <v>0.3415548038132126</v>
      </c>
      <c r="AA963" s="26" t="n">
        <v>270.3057216166537</v>
      </c>
      <c r="AB963" s="27" t="n">
        <v>0.3602631578237694</v>
      </c>
    </row>
    <row r="964">
      <c r="A964" s="26" t="n">
        <v>294.1355108266615</v>
      </c>
      <c r="B964" s="27" t="n">
        <v>0.3303417940312205</v>
      </c>
      <c r="C964" s="26" t="n">
        <v>284.8866205879182</v>
      </c>
      <c r="D964" s="27" t="n">
        <v>0.3409192300611841</v>
      </c>
      <c r="E964" s="26" t="n">
        <v>301.1621119593871</v>
      </c>
      <c r="F964" s="27" t="n">
        <v>0.3213397936154557</v>
      </c>
      <c r="G964" s="26" t="n">
        <v>307.5702174014415</v>
      </c>
      <c r="H964" s="27" t="n">
        <v>0.3114984747826253</v>
      </c>
      <c r="I964" s="26" t="n">
        <v>308.9484675051428</v>
      </c>
      <c r="J964" s="27" t="n">
        <v>0.3103827311452529</v>
      </c>
      <c r="K964" s="26" t="n">
        <v>298.020525705644</v>
      </c>
      <c r="L964" s="27" t="n">
        <v>0.3225641444486085</v>
      </c>
      <c r="M964" s="26" t="n">
        <v>291.5230386159425</v>
      </c>
      <c r="N964" s="27" t="n">
        <v>0.3321049820562397</v>
      </c>
      <c r="O964" s="26" t="n">
        <v>265.3777157378011</v>
      </c>
      <c r="P964" s="27" t="n">
        <v>0.3619133142010725</v>
      </c>
      <c r="Q964" s="26" t="n">
        <v>277.7652308250966</v>
      </c>
      <c r="R964" s="27" t="n">
        <v>0.3507041749925737</v>
      </c>
      <c r="S964" s="26" t="n">
        <v>270.8381076301291</v>
      </c>
      <c r="T964" s="27" t="n">
        <v>0.3602679339675928</v>
      </c>
      <c r="U964" s="26" t="n">
        <v>278.397466417389</v>
      </c>
      <c r="V964" s="27" t="n">
        <v>0.3492777351731316</v>
      </c>
      <c r="W964" s="26" t="n">
        <v>278.8265872123039</v>
      </c>
      <c r="X964" s="27" t="n">
        <v>0.3470618732981148</v>
      </c>
      <c r="Y964" s="26" t="n">
        <v>270.5127972780359</v>
      </c>
      <c r="Z964" s="27" t="n">
        <v>0.3422889581267022</v>
      </c>
      <c r="AA964" s="26" t="n">
        <v>270.3859092783604</v>
      </c>
      <c r="AB964" s="27" t="n">
        <v>0.360346406157965</v>
      </c>
    </row>
    <row r="965">
      <c r="A965" s="26" t="n">
        <v>294.3012724898668</v>
      </c>
      <c r="B965" s="27" t="n">
        <v>0.3303602312985116</v>
      </c>
      <c r="C965" s="26" t="n">
        <v>285.0266701017329</v>
      </c>
      <c r="D965" s="27" t="n">
        <v>0.3409688998721805</v>
      </c>
      <c r="E965" s="26" t="n">
        <v>301.2751696137439</v>
      </c>
      <c r="F965" s="27" t="n">
        <v>0.3214695601986932</v>
      </c>
      <c r="G965" s="26" t="n">
        <v>307.6569398320471</v>
      </c>
      <c r="H965" s="27" t="n">
        <v>0.3117785526125366</v>
      </c>
      <c r="I965" s="26" t="n">
        <v>309.0288519336428</v>
      </c>
      <c r="J965" s="27" t="n">
        <v>0.3106577250116777</v>
      </c>
      <c r="K965" s="26" t="n">
        <v>298.0967682000004</v>
      </c>
      <c r="L965" s="27" t="n">
        <v>0.3228193037609348</v>
      </c>
      <c r="M965" s="26" t="n">
        <v>291.6143443180284</v>
      </c>
      <c r="N965" s="27" t="n">
        <v>0.3322546478235769</v>
      </c>
      <c r="O965" s="26" t="n">
        <v>265.5021204318897</v>
      </c>
      <c r="P965" s="27" t="n">
        <v>0.3621340940767182</v>
      </c>
      <c r="Q965" s="26" t="n">
        <v>277.8593176007296</v>
      </c>
      <c r="R965" s="27" t="n">
        <v>0.3507699703446555</v>
      </c>
      <c r="S965" s="26" t="n">
        <v>270.9445312381604</v>
      </c>
      <c r="T965" s="27" t="n">
        <v>0.3602934013569593</v>
      </c>
      <c r="U965" s="26" t="n">
        <v>278.4825117118412</v>
      </c>
      <c r="V965" s="27" t="n">
        <v>0.3493790056653234</v>
      </c>
      <c r="W965" s="26" t="n">
        <v>278.9047727043568</v>
      </c>
      <c r="X965" s="27" t="n">
        <v>0.3472363834385496</v>
      </c>
      <c r="Y965" s="26" t="n">
        <v>270.6182384446429</v>
      </c>
      <c r="Z965" s="27" t="n">
        <v>0.3430103358888863</v>
      </c>
      <c r="AA965" s="26" t="n">
        <v>270.4660969400669</v>
      </c>
      <c r="AB965" s="27" t="n">
        <v>0.3604268115261655</v>
      </c>
    </row>
    <row r="966">
      <c r="A966" s="26" t="n">
        <v>294.4670341530721</v>
      </c>
      <c r="B966" s="27" t="n">
        <v>0.3303754596450952</v>
      </c>
      <c r="C966" s="26" t="n">
        <v>285.1667196155477</v>
      </c>
      <c r="D966" s="27" t="n">
        <v>0.3410151078692229</v>
      </c>
      <c r="E966" s="26" t="n">
        <v>301.3882272681005</v>
      </c>
      <c r="F966" s="27" t="n">
        <v>0.3215950986723713</v>
      </c>
      <c r="G966" s="26" t="n">
        <v>307.7436622626526</v>
      </c>
      <c r="H966" s="27" t="n">
        <v>0.3120520506443412</v>
      </c>
      <c r="I966" s="26" t="n">
        <v>309.1092363621427</v>
      </c>
      <c r="J966" s="27" t="n">
        <v>0.3109263761823261</v>
      </c>
      <c r="K966" s="26" t="n">
        <v>298.1730106943567</v>
      </c>
      <c r="L966" s="27" t="n">
        <v>0.323068491915081</v>
      </c>
      <c r="M966" s="26" t="n">
        <v>291.7056500201142</v>
      </c>
      <c r="N966" s="27" t="n">
        <v>0.3324000521819404</v>
      </c>
      <c r="O966" s="26" t="n">
        <v>265.6265251259782</v>
      </c>
      <c r="P966" s="27" t="n">
        <v>0.3623478972616621</v>
      </c>
      <c r="Q966" s="26" t="n">
        <v>277.9534043763625</v>
      </c>
      <c r="R966" s="27" t="n">
        <v>0.3508329790657948</v>
      </c>
      <c r="S966" s="26" t="n">
        <v>271.0509548461918</v>
      </c>
      <c r="T966" s="27" t="n">
        <v>0.3603164705138513</v>
      </c>
      <c r="U966" s="26" t="n">
        <v>278.5675570062936</v>
      </c>
      <c r="V966" s="27" t="n">
        <v>0.3494770068358499</v>
      </c>
      <c r="W966" s="26" t="n">
        <v>278.9829581964096</v>
      </c>
      <c r="X966" s="27" t="n">
        <v>0.3474063056675573</v>
      </c>
      <c r="Y966" s="26" t="n">
        <v>270.7236796112497</v>
      </c>
      <c r="Z966" s="27" t="n">
        <v>0.3437187194620975</v>
      </c>
      <c r="AA966" s="26" t="n">
        <v>270.5462846017736</v>
      </c>
      <c r="AB966" s="27" t="n">
        <v>0.3605043981782463</v>
      </c>
    </row>
    <row r="967">
      <c r="A967" s="26" t="n">
        <v>294.6327958162774</v>
      </c>
      <c r="B967" s="27" t="n">
        <v>0.3303875082365218</v>
      </c>
      <c r="C967" s="26" t="n">
        <v>285.3067691293625</v>
      </c>
      <c r="D967" s="27" t="n">
        <v>0.3410578842466576</v>
      </c>
      <c r="E967" s="26" t="n">
        <v>301.5012849224573</v>
      </c>
      <c r="F967" s="27" t="n">
        <v>0.3217164403895166</v>
      </c>
      <c r="G967" s="26" t="n">
        <v>307.8303846932582</v>
      </c>
      <c r="H967" s="27" t="n">
        <v>0.3123189919626507</v>
      </c>
      <c r="I967" s="26" t="n">
        <v>309.1896207906427</v>
      </c>
      <c r="J967" s="27" t="n">
        <v>0.3111887088572637</v>
      </c>
      <c r="K967" s="26" t="n">
        <v>298.2492531887131</v>
      </c>
      <c r="L967" s="27" t="n">
        <v>0.3233117375799461</v>
      </c>
      <c r="M967" s="26" t="n">
        <v>291.7969557222</v>
      </c>
      <c r="N967" s="27" t="n">
        <v>0.332541226430402</v>
      </c>
      <c r="O967" s="26" t="n">
        <v>265.7509298200667</v>
      </c>
      <c r="P967" s="27" t="n">
        <v>0.362554759307721</v>
      </c>
      <c r="Q967" s="26" t="n">
        <v>278.0474911519955</v>
      </c>
      <c r="R967" s="27" t="n">
        <v>0.3508932255664735</v>
      </c>
      <c r="S967" s="26" t="n">
        <v>271.1573784542232</v>
      </c>
      <c r="T967" s="27" t="n">
        <v>0.3603371634469901</v>
      </c>
      <c r="U967" s="26" t="n">
        <v>278.6526023007458</v>
      </c>
      <c r="V967" s="27" t="n">
        <v>0.349571765965285</v>
      </c>
      <c r="W967" s="26" t="n">
        <v>279.0611436884624</v>
      </c>
      <c r="X967" s="27" t="n">
        <v>0.3475716726226621</v>
      </c>
      <c r="Y967" s="26" t="n">
        <v>270.8291207778567</v>
      </c>
      <c r="Z967" s="27" t="n">
        <v>0.3444138967295192</v>
      </c>
      <c r="AA967" s="26" t="n">
        <v>270.6264722634801</v>
      </c>
      <c r="AB967" s="27" t="n">
        <v>0.3605791904977556</v>
      </c>
    </row>
    <row r="968">
      <c r="A968" s="26" t="n">
        <v>294.7985574794827</v>
      </c>
      <c r="B968" s="27" t="n">
        <v>0.3303964064693854</v>
      </c>
      <c r="C968" s="26" t="n">
        <v>285.4468186431773</v>
      </c>
      <c r="D968" s="27" t="n">
        <v>0.3410972594804283</v>
      </c>
      <c r="E968" s="26" t="n">
        <v>301.614342576814</v>
      </c>
      <c r="F968" s="27" t="n">
        <v>0.3218336172965167</v>
      </c>
      <c r="G968" s="26" t="n">
        <v>307.9171071238638</v>
      </c>
      <c r="H968" s="27" t="n">
        <v>0.3125794016149189</v>
      </c>
      <c r="I968" s="26" t="n">
        <v>309.2700052191426</v>
      </c>
      <c r="J968" s="27" t="n">
        <v>0.3114447490525337</v>
      </c>
      <c r="K968" s="26" t="n">
        <v>298.3254956830694</v>
      </c>
      <c r="L968" s="27" t="n">
        <v>0.3235490709121539</v>
      </c>
      <c r="M968" s="26" t="n">
        <v>291.8882614242859</v>
      </c>
      <c r="N968" s="27" t="n">
        <v>0.3326782024498778</v>
      </c>
      <c r="O968" s="26" t="n">
        <v>265.8753345141553</v>
      </c>
      <c r="P968" s="27" t="n">
        <v>0.3627547175399241</v>
      </c>
      <c r="Q968" s="26" t="n">
        <v>278.1415779276284</v>
      </c>
      <c r="R968" s="27" t="n">
        <v>0.3509507343857838</v>
      </c>
      <c r="S968" s="26" t="n">
        <v>271.2638020622546</v>
      </c>
      <c r="T968" s="27" t="n">
        <v>0.3603555022189903</v>
      </c>
      <c r="U968" s="26" t="n">
        <v>278.7376475951982</v>
      </c>
      <c r="V968" s="27" t="n">
        <v>0.3496633105708998</v>
      </c>
      <c r="W968" s="26" t="n">
        <v>279.1393291805151</v>
      </c>
      <c r="X968" s="27" t="n">
        <v>0.3477325176081259</v>
      </c>
      <c r="Y968" s="26" t="n">
        <v>270.9345619444636</v>
      </c>
      <c r="Z968" s="27" t="n">
        <v>0.3450956615434305</v>
      </c>
      <c r="AA968" s="26" t="n">
        <v>270.7066599251867</v>
      </c>
      <c r="AB968" s="27" t="n">
        <v>0.3606512129961914</v>
      </c>
    </row>
    <row r="969">
      <c r="A969" s="26" t="n">
        <v>294.9643191426881</v>
      </c>
      <c r="B969" s="27" t="n">
        <v>0.3304021839630119</v>
      </c>
      <c r="C969" s="26" t="n">
        <v>285.5868681569921</v>
      </c>
      <c r="D969" s="27" t="n">
        <v>0.3411332643189897</v>
      </c>
      <c r="E969" s="26" t="n">
        <v>301.7274002311707</v>
      </c>
      <c r="F969" s="27" t="n">
        <v>0.3219466619209288</v>
      </c>
      <c r="G969" s="26" t="n">
        <v>308.0038295544693</v>
      </c>
      <c r="H969" s="27" t="n">
        <v>0.3128333066041525</v>
      </c>
      <c r="I969" s="26" t="n">
        <v>309.3503896476426</v>
      </c>
      <c r="J969" s="27" t="n">
        <v>0.3116945245912969</v>
      </c>
      <c r="K969" s="26" t="n">
        <v>298.4017381774257</v>
      </c>
      <c r="L969" s="27" t="n">
        <v>0.3237805235434117</v>
      </c>
      <c r="M969" s="26" t="n">
        <v>291.9795671263718</v>
      </c>
      <c r="N969" s="27" t="n">
        <v>0.3328110126910517</v>
      </c>
      <c r="O969" s="26" t="n">
        <v>265.9997392082438</v>
      </c>
      <c r="P969" s="27" t="n">
        <v>0.3629478110414433</v>
      </c>
      <c r="Q969" s="26" t="n">
        <v>278.2356647032614</v>
      </c>
      <c r="R969" s="27" t="n">
        <v>0.3510055301856354</v>
      </c>
      <c r="S969" s="26" t="n">
        <v>271.3702256702859</v>
      </c>
      <c r="T969" s="27" t="n">
        <v>0.3603715089421714</v>
      </c>
      <c r="U969" s="26" t="n">
        <v>278.8226928896504</v>
      </c>
      <c r="V969" s="27" t="n">
        <v>0.349751668398851</v>
      </c>
      <c r="W969" s="26" t="n">
        <v>279.217514672568</v>
      </c>
      <c r="X969" s="27" t="n">
        <v>0.3478888745819648</v>
      </c>
      <c r="Y969" s="26" t="n">
        <v>271.0400031110705</v>
      </c>
      <c r="Z969" s="27" t="n">
        <v>0.3457638141800811</v>
      </c>
      <c r="AA969" s="26" t="n">
        <v>270.7868475868933</v>
      </c>
      <c r="AB969" s="27" t="n">
        <v>0.360720490307263</v>
      </c>
    </row>
    <row r="970">
      <c r="A970" s="26" t="n">
        <v>295.1300808058934</v>
      </c>
      <c r="B970" s="27" t="n">
        <v>0.3304048705510849</v>
      </c>
      <c r="C970" s="26" t="n">
        <v>285.7269176708068</v>
      </c>
      <c r="D970" s="27" t="n">
        <v>0.341165929774136</v>
      </c>
      <c r="E970" s="26" t="n">
        <v>301.8404578855275</v>
      </c>
      <c r="F970" s="27" t="n">
        <v>0.3220556073589939</v>
      </c>
      <c r="G970" s="26" t="n">
        <v>308.090551985075</v>
      </c>
      <c r="H970" s="27" t="n">
        <v>0.3130807358799742</v>
      </c>
      <c r="I970" s="26" t="n">
        <v>309.4307740761425</v>
      </c>
      <c r="J970" s="27" t="n">
        <v>0.3119380650934902</v>
      </c>
      <c r="K970" s="26" t="n">
        <v>298.4779806717821</v>
      </c>
      <c r="L970" s="27" t="n">
        <v>0.324006128566757</v>
      </c>
      <c r="M970" s="26" t="n">
        <v>292.0708728284576</v>
      </c>
      <c r="N970" s="27" t="n">
        <v>0.3329396901620216</v>
      </c>
      <c r="O970" s="26" t="n">
        <v>266.1241439023324</v>
      </c>
      <c r="P970" s="27" t="n">
        <v>0.3631340806371565</v>
      </c>
      <c r="Q970" s="26" t="n">
        <v>278.3297514788943</v>
      </c>
      <c r="R970" s="27" t="n">
        <v>0.3510576377449471</v>
      </c>
      <c r="S970" s="26" t="n">
        <v>271.4766492783173</v>
      </c>
      <c r="T970" s="27" t="n">
        <v>0.3603852057743797</v>
      </c>
      <c r="U970" s="26" t="n">
        <v>278.9077381841028</v>
      </c>
      <c r="V970" s="27" t="n">
        <v>0.3498368674163093</v>
      </c>
      <c r="W970" s="26" t="n">
        <v>279.2957001646207</v>
      </c>
      <c r="X970" s="27" t="n">
        <v>0.3480407781426337</v>
      </c>
      <c r="Y970" s="26" t="n">
        <v>271.1454442776774</v>
      </c>
      <c r="Z970" s="27" t="n">
        <v>0.3464181618001767</v>
      </c>
      <c r="AA970" s="26" t="n">
        <v>270.8670352485999</v>
      </c>
      <c r="AB970" s="27" t="n">
        <v>0.3607870471811387</v>
      </c>
    </row>
    <row r="971">
      <c r="A971" s="26" t="n">
        <v>295.2958424690987</v>
      </c>
      <c r="B971" s="27" t="n">
        <v>0.3304044962732129</v>
      </c>
      <c r="C971" s="26" t="n">
        <v>285.8669671846216</v>
      </c>
      <c r="D971" s="27" t="n">
        <v>0.3411952871117491</v>
      </c>
      <c r="E971" s="26" t="n">
        <v>301.9535155398842</v>
      </c>
      <c r="F971" s="27" t="n">
        <v>0.3221604872628672</v>
      </c>
      <c r="G971" s="26" t="n">
        <v>308.1772744156805</v>
      </c>
      <c r="H971" s="27" t="n">
        <v>0.3133217203280216</v>
      </c>
      <c r="I971" s="26" t="n">
        <v>309.5111585046425</v>
      </c>
      <c r="J971" s="27" t="n">
        <v>0.3121754019639895</v>
      </c>
      <c r="K971" s="26" t="n">
        <v>298.5542231661384</v>
      </c>
      <c r="L971" s="27" t="n">
        <v>0.3242259205216982</v>
      </c>
      <c r="M971" s="26" t="n">
        <v>292.1621785305434</v>
      </c>
      <c r="N971" s="27" t="n">
        <v>0.3330642684156767</v>
      </c>
      <c r="O971" s="26" t="n">
        <v>266.248548596421</v>
      </c>
      <c r="P971" s="27" t="n">
        <v>0.3633135688758401</v>
      </c>
      <c r="Q971" s="26" t="n">
        <v>278.4238382545273</v>
      </c>
      <c r="R971" s="27" t="n">
        <v>0.351107081953828</v>
      </c>
      <c r="S971" s="26" t="n">
        <v>271.5830728863487</v>
      </c>
      <c r="T971" s="27" t="n">
        <v>0.3603966149148158</v>
      </c>
      <c r="U971" s="26" t="n">
        <v>278.992783478555</v>
      </c>
      <c r="V971" s="27" t="n">
        <v>0.349918935803533</v>
      </c>
      <c r="W971" s="26" t="n">
        <v>279.3738856566736</v>
      </c>
      <c r="X971" s="27" t="n">
        <v>0.3481882635153879</v>
      </c>
      <c r="Y971" s="26" t="n">
        <v>271.2508854442843</v>
      </c>
      <c r="Z971" s="27" t="n">
        <v>0.3470585189138795</v>
      </c>
      <c r="AA971" s="26" t="n">
        <v>270.9472229103066</v>
      </c>
      <c r="AB971" s="27" t="n">
        <v>0.3608509084786833</v>
      </c>
    </row>
    <row r="972">
      <c r="A972" s="26" t="n">
        <v>295.4616041323039</v>
      </c>
      <c r="B972" s="27" t="n">
        <v>0.3304010913664415</v>
      </c>
      <c r="C972" s="26" t="n">
        <v>286.0070166984364</v>
      </c>
      <c r="D972" s="27" t="n">
        <v>0.3412213678424676</v>
      </c>
      <c r="E972" s="26" t="n">
        <v>302.0665731942408</v>
      </c>
      <c r="F972" s="27" t="n">
        <v>0.3222613358275698</v>
      </c>
      <c r="G972" s="26" t="n">
        <v>308.2639968462861</v>
      </c>
      <c r="H972" s="27" t="n">
        <v>0.3135562927576677</v>
      </c>
      <c r="I972" s="26" t="n">
        <v>309.5915429331424</v>
      </c>
      <c r="J972" s="27" t="n">
        <v>0.3124065683792681</v>
      </c>
      <c r="K972" s="26" t="n">
        <v>298.6304656604948</v>
      </c>
      <c r="L972" s="27" t="n">
        <v>0.3244399353782449</v>
      </c>
      <c r="M972" s="26" t="n">
        <v>292.2534842326293</v>
      </c>
      <c r="N972" s="27" t="n">
        <v>0.3331847815368113</v>
      </c>
      <c r="O972" s="26" t="n">
        <v>266.3729532905095</v>
      </c>
      <c r="P972" s="27" t="n">
        <v>0.3634863200109898</v>
      </c>
      <c r="Q972" s="26" t="n">
        <v>278.5179250301602</v>
      </c>
      <c r="R972" s="27" t="n">
        <v>0.3511538878077463</v>
      </c>
      <c r="S972" s="26" t="n">
        <v>271.6894964943801</v>
      </c>
      <c r="T972" s="27" t="n">
        <v>0.3604057585998761</v>
      </c>
      <c r="U972" s="26" t="n">
        <v>279.0778287730074</v>
      </c>
      <c r="V972" s="27" t="n">
        <v>0.3499979019458891</v>
      </c>
      <c r="W972" s="26" t="n">
        <v>279.4520711487264</v>
      </c>
      <c r="X972" s="27" t="n">
        <v>0.3483313665383247</v>
      </c>
      <c r="Y972" s="26" t="n">
        <v>271.3563266108912</v>
      </c>
      <c r="Z972" s="27" t="n">
        <v>0.3476847078491159</v>
      </c>
      <c r="AA972" s="26" t="n">
        <v>271.0274105720131</v>
      </c>
      <c r="AB972" s="27" t="n">
        <v>0.3609120991656868</v>
      </c>
    </row>
    <row r="973">
      <c r="A973" s="26" t="n">
        <v>295.6273657955093</v>
      </c>
      <c r="B973" s="27" t="n">
        <v>0.330394686256714</v>
      </c>
      <c r="C973" s="26" t="n">
        <v>286.1470662122512</v>
      </c>
      <c r="D973" s="27" t="n">
        <v>0.3412442037122863</v>
      </c>
      <c r="E973" s="26" t="n">
        <v>302.1796308485976</v>
      </c>
      <c r="F973" s="27" t="n">
        <v>0.3223581877776696</v>
      </c>
      <c r="G973" s="26" t="n">
        <v>308.3507192768916</v>
      </c>
      <c r="H973" s="27" t="n">
        <v>0.3137844878880511</v>
      </c>
      <c r="I973" s="26" t="n">
        <v>309.6719273616424</v>
      </c>
      <c r="J973" s="27" t="n">
        <v>0.3126315992725456</v>
      </c>
      <c r="K973" s="26" t="n">
        <v>298.7067081548512</v>
      </c>
      <c r="L973" s="27" t="n">
        <v>0.3246482105198316</v>
      </c>
      <c r="M973" s="26" t="n">
        <v>292.3447899347151</v>
      </c>
      <c r="N973" s="27" t="n">
        <v>0.333301264128982</v>
      </c>
      <c r="O973" s="26" t="n">
        <v>266.497357984598</v>
      </c>
      <c r="P973" s="27" t="n">
        <v>0.3636523799802726</v>
      </c>
      <c r="Q973" s="26" t="n">
        <v>278.6120118057931</v>
      </c>
      <c r="R973" s="27" t="n">
        <v>0.3511980804016926</v>
      </c>
      <c r="S973" s="26" t="n">
        <v>271.7959201024115</v>
      </c>
      <c r="T973" s="27" t="n">
        <v>0.3604126590990048</v>
      </c>
      <c r="U973" s="26" t="n">
        <v>279.1628740674596</v>
      </c>
      <c r="V973" s="27" t="n">
        <v>0.3500737944258253</v>
      </c>
      <c r="W973" s="26" t="n">
        <v>279.5302566407792</v>
      </c>
      <c r="X973" s="27" t="n">
        <v>0.348470123648118</v>
      </c>
      <c r="Y973" s="26" t="n">
        <v>271.4617677774982</v>
      </c>
      <c r="Z973" s="27" t="n">
        <v>0.3482965592218992</v>
      </c>
      <c r="AA973" s="26" t="n">
        <v>271.1075982337197</v>
      </c>
      <c r="AB973" s="27" t="n">
        <v>0.3609706443070856</v>
      </c>
    </row>
    <row r="974">
      <c r="A974" s="26" t="n">
        <v>295.7931274587146</v>
      </c>
      <c r="B974" s="27" t="n">
        <v>0.3303853115502865</v>
      </c>
      <c r="C974" s="26" t="n">
        <v>286.2871157260658</v>
      </c>
      <c r="D974" s="27" t="n">
        <v>0.3412638266930838</v>
      </c>
      <c r="E974" s="26" t="n">
        <v>302.2926885029543</v>
      </c>
      <c r="F974" s="27" t="n">
        <v>0.322451078353698</v>
      </c>
      <c r="G974" s="26" t="n">
        <v>308.4374417074972</v>
      </c>
      <c r="H974" s="27" t="n">
        <v>0.3140063423324052</v>
      </c>
      <c r="I974" s="26" t="n">
        <v>309.7523117901422</v>
      </c>
      <c r="J974" s="27" t="n">
        <v>0.312850531317417</v>
      </c>
      <c r="K974" s="26" t="n">
        <v>298.7829506492075</v>
      </c>
      <c r="L974" s="27" t="n">
        <v>0.3248507847251397</v>
      </c>
      <c r="M974" s="26" t="n">
        <v>292.4360956368009</v>
      </c>
      <c r="N974" s="27" t="n">
        <v>0.3334137513011161</v>
      </c>
      <c r="O974" s="26" t="n">
        <v>266.6217626786865</v>
      </c>
      <c r="P974" s="27" t="n">
        <v>0.3638117963836126</v>
      </c>
      <c r="Q974" s="26" t="n">
        <v>278.7060985814261</v>
      </c>
      <c r="R974" s="27" t="n">
        <v>0.3512396849243376</v>
      </c>
      <c r="S974" s="26" t="n">
        <v>271.9023437104428</v>
      </c>
      <c r="T974" s="27" t="n">
        <v>0.360417338710559</v>
      </c>
      <c r="U974" s="26" t="n">
        <v>279.247919361912</v>
      </c>
      <c r="V974" s="27" t="n">
        <v>0.3501466420147976</v>
      </c>
      <c r="W974" s="26" t="n">
        <v>279.608442132832</v>
      </c>
      <c r="X974" s="27" t="n">
        <v>0.3486045718654478</v>
      </c>
      <c r="Y974" s="26" t="n">
        <v>271.567208944105</v>
      </c>
      <c r="Z974" s="27" t="n">
        <v>0.348893912407277</v>
      </c>
      <c r="AA974" s="26" t="n">
        <v>271.1877858954263</v>
      </c>
      <c r="AB974" s="27" t="n">
        <v>0.3610265690611806</v>
      </c>
    </row>
    <row r="975">
      <c r="A975" s="26" t="n">
        <v>295.9588891219199</v>
      </c>
      <c r="B975" s="27" t="n">
        <v>0.3303729980250983</v>
      </c>
      <c r="C975" s="26" t="n">
        <v>286.4271652398807</v>
      </c>
      <c r="D975" s="27" t="n">
        <v>0.3412802689730915</v>
      </c>
      <c r="E975" s="26" t="n">
        <v>302.4057461573111</v>
      </c>
      <c r="F975" s="27" t="n">
        <v>0.3225400432983098</v>
      </c>
      <c r="G975" s="26" t="n">
        <v>308.5241641381028</v>
      </c>
      <c r="H975" s="27" t="n">
        <v>0.3142218945806798</v>
      </c>
      <c r="I975" s="26" t="n">
        <v>309.8326962186422</v>
      </c>
      <c r="J975" s="27" t="n">
        <v>0.3130634029099645</v>
      </c>
      <c r="K975" s="26" t="n">
        <v>298.8591931435639</v>
      </c>
      <c r="L975" s="27" t="n">
        <v>0.3250476981488201</v>
      </c>
      <c r="M975" s="26" t="n">
        <v>292.5274013388868</v>
      </c>
      <c r="N975" s="27" t="n">
        <v>0.3335222786538772</v>
      </c>
      <c r="O975" s="26" t="n">
        <v>266.7461673727751</v>
      </c>
      <c r="P975" s="27" t="n">
        <v>0.3639646184599144</v>
      </c>
      <c r="Q975" s="26" t="n">
        <v>278.800185357059</v>
      </c>
      <c r="R975" s="27" t="n">
        <v>0.3512787266521856</v>
      </c>
      <c r="S975" s="26" t="n">
        <v>272.0087673184742</v>
      </c>
      <c r="T975" s="27" t="n">
        <v>0.3604198197576887</v>
      </c>
      <c r="U975" s="26" t="n">
        <v>279.3329646563643</v>
      </c>
      <c r="V975" s="27" t="n">
        <v>0.3502164736651559</v>
      </c>
      <c r="W975" s="26" t="n">
        <v>279.6866276248847</v>
      </c>
      <c r="X975" s="27" t="n">
        <v>0.3487347487801376</v>
      </c>
      <c r="Y975" s="26" t="n">
        <v>271.672650110712</v>
      </c>
      <c r="Z975" s="27" t="n">
        <v>0.3494766160094169</v>
      </c>
      <c r="AA975" s="26" t="n">
        <v>271.2679735571329</v>
      </c>
      <c r="AB975" s="27" t="n">
        <v>0.3610798986738517</v>
      </c>
    </row>
    <row r="976">
      <c r="A976" s="26" t="n">
        <v>296.1246507851253</v>
      </c>
      <c r="B976" s="27" t="n">
        <v>0.3303577766221046</v>
      </c>
      <c r="C976" s="26" t="n">
        <v>286.5672147536955</v>
      </c>
      <c r="D976" s="27" t="n">
        <v>0.3412935629472996</v>
      </c>
      <c r="E976" s="26" t="n">
        <v>302.5188038116678</v>
      </c>
      <c r="F976" s="27" t="n">
        <v>0.3226251188421951</v>
      </c>
      <c r="G976" s="26" t="n">
        <v>308.6108865687083</v>
      </c>
      <c r="H976" s="27" t="n">
        <v>0.3144311849804475</v>
      </c>
      <c r="I976" s="26" t="n">
        <v>309.9130806471421</v>
      </c>
      <c r="J976" s="27" t="n">
        <v>0.3132702541493439</v>
      </c>
      <c r="K976" s="26" t="n">
        <v>298.9354356379202</v>
      </c>
      <c r="L976" s="27" t="n">
        <v>0.3252389923011232</v>
      </c>
      <c r="M976" s="26" t="n">
        <v>292.6187070409726</v>
      </c>
      <c r="N976" s="27" t="n">
        <v>0.3336268822657977</v>
      </c>
      <c r="O976" s="26" t="n">
        <v>266.8705720668636</v>
      </c>
      <c r="P976" s="27" t="n">
        <v>0.3641108970624346</v>
      </c>
      <c r="Q976" s="26" t="n">
        <v>278.894272132692</v>
      </c>
      <c r="R976" s="27" t="n">
        <v>0.351315230943728</v>
      </c>
      <c r="S976" s="26" t="n">
        <v>272.1151909265056</v>
      </c>
      <c r="T976" s="27" t="n">
        <v>0.3604201245842332</v>
      </c>
      <c r="U976" s="26" t="n">
        <v>279.4180099508166</v>
      </c>
      <c r="V976" s="27" t="n">
        <v>0.350283318501993</v>
      </c>
      <c r="W976" s="26" t="n">
        <v>279.7648131169376</v>
      </c>
      <c r="X976" s="27" t="n">
        <v>0.3488606925360035</v>
      </c>
      <c r="Y976" s="26" t="n">
        <v>271.7780912773188</v>
      </c>
      <c r="Z976" s="27" t="n">
        <v>0.3500445283292448</v>
      </c>
      <c r="AA976" s="26" t="n">
        <v>271.3481612188395</v>
      </c>
      <c r="AB976" s="27" t="n">
        <v>0.3611306584727728</v>
      </c>
    </row>
    <row r="977">
      <c r="A977" s="26" t="n">
        <v>296.2904124483305</v>
      </c>
      <c r="B977" s="27" t="n">
        <v>0.3303396784365736</v>
      </c>
      <c r="C977" s="26" t="n">
        <v>286.7072642675103</v>
      </c>
      <c r="D977" s="27" t="n">
        <v>0.3413037412078108</v>
      </c>
      <c r="E977" s="26" t="n">
        <v>302.6318614660245</v>
      </c>
      <c r="F977" s="27" t="n">
        <v>0.32270634168975</v>
      </c>
      <c r="G977" s="26" t="n">
        <v>308.697608999314</v>
      </c>
      <c r="H977" s="27" t="n">
        <v>0.3146342557160963</v>
      </c>
      <c r="I977" s="26" t="n">
        <v>309.9934650756421</v>
      </c>
      <c r="J977" s="27" t="n">
        <v>0.3134711268168529</v>
      </c>
      <c r="K977" s="26" t="n">
        <v>299.0116781322765</v>
      </c>
      <c r="L977" s="27" t="n">
        <v>0.3254247100264471</v>
      </c>
      <c r="M977" s="26" t="n">
        <v>292.7100127430584</v>
      </c>
      <c r="N977" s="27" t="n">
        <v>0.3337275986791841</v>
      </c>
      <c r="O977" s="26" t="n">
        <v>266.9949767609522</v>
      </c>
      <c r="P977" s="27" t="n">
        <v>0.3642506846328047</v>
      </c>
      <c r="Q977" s="26" t="n">
        <v>278.988358908325</v>
      </c>
      <c r="R977" s="27" t="n">
        <v>0.351349223233598</v>
      </c>
      <c r="S977" s="26" t="n">
        <v>272.221614534537</v>
      </c>
      <c r="T977" s="27" t="n">
        <v>0.3604182755506329</v>
      </c>
      <c r="U977" s="26" t="n">
        <v>279.5030552452689</v>
      </c>
      <c r="V977" s="27" t="n">
        <v>0.3503472058149581</v>
      </c>
      <c r="W977" s="26" t="n">
        <v>279.8429986089904</v>
      </c>
      <c r="X977" s="27" t="n">
        <v>0.348982441815429</v>
      </c>
      <c r="Y977" s="26" t="n">
        <v>271.8835324439258</v>
      </c>
      <c r="Z977" s="27" t="n">
        <v>0.3505975178279634</v>
      </c>
      <c r="AA977" s="26" t="n">
        <v>271.4283488805461</v>
      </c>
      <c r="AB977" s="27" t="n">
        <v>0.3611788738616295</v>
      </c>
    </row>
    <row r="978">
      <c r="A978" s="26" t="n">
        <v>296.4561741115358</v>
      </c>
      <c r="B978" s="27" t="n">
        <v>0.3303187347093532</v>
      </c>
      <c r="C978" s="26" t="n">
        <v>286.8473137813251</v>
      </c>
      <c r="D978" s="27" t="n">
        <v>0.3413108365341455</v>
      </c>
      <c r="E978" s="26" t="n">
        <v>302.7449191203813</v>
      </c>
      <c r="F978" s="27" t="n">
        <v>0.3227837490045153</v>
      </c>
      <c r="G978" s="26" t="n">
        <v>308.7843314299195</v>
      </c>
      <c r="H978" s="27" t="n">
        <v>0.3148311507863032</v>
      </c>
      <c r="I978" s="26" t="n">
        <v>310.073849504142</v>
      </c>
      <c r="J978" s="27" t="n">
        <v>0.3136660643534792</v>
      </c>
      <c r="K978" s="26" t="n">
        <v>299.0879206266329</v>
      </c>
      <c r="L978" s="27" t="n">
        <v>0.3256048954808087</v>
      </c>
      <c r="M978" s="26" t="n">
        <v>292.8013184451443</v>
      </c>
      <c r="N978" s="27" t="n">
        <v>0.3338244648858044</v>
      </c>
      <c r="O978" s="26" t="n">
        <v>267.1193814550408</v>
      </c>
      <c r="P978" s="27" t="n">
        <v>0.3643840351737226</v>
      </c>
      <c r="Q978" s="26" t="n">
        <v>279.0824456839579</v>
      </c>
      <c r="R978" s="27" t="n">
        <v>0.3513807290267283</v>
      </c>
      <c r="S978" s="26" t="n">
        <v>272.3280381425683</v>
      </c>
      <c r="T978" s="27" t="n">
        <v>0.3604142950298617</v>
      </c>
      <c r="U978" s="26" t="n">
        <v>279.5881005397212</v>
      </c>
      <c r="V978" s="27" t="n">
        <v>0.3504081650500411</v>
      </c>
      <c r="W978" s="26" t="n">
        <v>279.9211841010432</v>
      </c>
      <c r="X978" s="27" t="n">
        <v>0.3491000358236696</v>
      </c>
      <c r="Y978" s="26" t="n">
        <v>271.9889736105327</v>
      </c>
      <c r="Z978" s="27" t="n">
        <v>0.3511354635846788</v>
      </c>
      <c r="AA978" s="26" t="n">
        <v>271.5085365422527</v>
      </c>
      <c r="AB978" s="27" t="n">
        <v>0.3612245703143402</v>
      </c>
    </row>
    <row r="979">
      <c r="A979" s="26" t="n">
        <v>296.6219357747411</v>
      </c>
      <c r="B979" s="27" t="n">
        <v>0.3302949768181113</v>
      </c>
      <c r="C979" s="26" t="n">
        <v>286.9873632951397</v>
      </c>
      <c r="D979" s="27" t="n">
        <v>0.3413148818835001</v>
      </c>
      <c r="E979" s="26" t="n">
        <v>302.8579767747379</v>
      </c>
      <c r="F979" s="27" t="n">
        <v>0.3228573783943927</v>
      </c>
      <c r="G979" s="26" t="n">
        <v>308.8710538605251</v>
      </c>
      <c r="H979" s="27" t="n">
        <v>0.3150219159797926</v>
      </c>
      <c r="I979" s="26" t="n">
        <v>310.154233932642</v>
      </c>
      <c r="J979" s="27" t="n">
        <v>0.3138551118359356</v>
      </c>
      <c r="K979" s="26" t="n">
        <v>299.1641631209893</v>
      </c>
      <c r="L979" s="27" t="n">
        <v>0.3257795941082516</v>
      </c>
      <c r="M979" s="26" t="n">
        <v>292.8926241472301</v>
      </c>
      <c r="N979" s="27" t="n">
        <v>0.3339175183123657</v>
      </c>
      <c r="O979" s="26" t="n">
        <v>267.2437861491293</v>
      </c>
      <c r="P979" s="27" t="n">
        <v>0.3645110042203194</v>
      </c>
      <c r="Q979" s="26" t="n">
        <v>279.1765324595909</v>
      </c>
      <c r="R979" s="27" t="n">
        <v>0.3514097738925158</v>
      </c>
      <c r="S979" s="26" t="n">
        <v>272.4344617505997</v>
      </c>
      <c r="T979" s="27" t="n">
        <v>0.360408205403377</v>
      </c>
      <c r="U979" s="26" t="n">
        <v>279.6731458341735</v>
      </c>
      <c r="V979" s="27" t="n">
        <v>0.3504662258013302</v>
      </c>
      <c r="W979" s="26" t="n">
        <v>279.999369593096</v>
      </c>
      <c r="X979" s="27" t="n">
        <v>0.3492135142728984</v>
      </c>
      <c r="Y979" s="26" t="n">
        <v>272.0944147771396</v>
      </c>
      <c r="Z979" s="27" t="n">
        <v>0.3516582557462738</v>
      </c>
      <c r="AA979" s="26" t="n">
        <v>271.5887242039593</v>
      </c>
      <c r="AB979" s="27" t="n">
        <v>0.3612677733692837</v>
      </c>
    </row>
    <row r="980">
      <c r="A980" s="26" t="n">
        <v>296.7876974379465</v>
      </c>
      <c r="B980" s="27" t="n">
        <v>0.3302684362685536</v>
      </c>
      <c r="C980" s="26" t="n">
        <v>287.1274128089545</v>
      </c>
      <c r="D980" s="27" t="n">
        <v>0.3413159103809688</v>
      </c>
      <c r="E980" s="26" t="n">
        <v>302.9710344290947</v>
      </c>
      <c r="F980" s="27" t="n">
        <v>0.3229272678966446</v>
      </c>
      <c r="G980" s="26" t="n">
        <v>308.9577762911306</v>
      </c>
      <c r="H980" s="27" t="n">
        <v>0.3152065988493873</v>
      </c>
      <c r="I980" s="26" t="n">
        <v>310.2346183611419</v>
      </c>
      <c r="J980" s="27" t="n">
        <v>0.3140383159511915</v>
      </c>
      <c r="K980" s="26" t="n">
        <v>299.2404056153456</v>
      </c>
      <c r="L980" s="27" t="n">
        <v>0.3259488526162034</v>
      </c>
      <c r="M980" s="26" t="n">
        <v>292.9839298493159</v>
      </c>
      <c r="N980" s="27" t="n">
        <v>0.3340067968057913</v>
      </c>
      <c r="O980" s="26" t="n">
        <v>267.3681908432178</v>
      </c>
      <c r="P980" s="27" t="n">
        <v>0.3646316488102213</v>
      </c>
      <c r="Q980" s="26" t="n">
        <v>279.2706192352238</v>
      </c>
      <c r="R980" s="27" t="n">
        <v>0.3514363834589938</v>
      </c>
      <c r="S980" s="26" t="n">
        <v>272.5408853586311</v>
      </c>
      <c r="T980" s="27" t="n">
        <v>0.3604000290570922</v>
      </c>
      <c r="U980" s="26" t="n">
        <v>279.7581911286258</v>
      </c>
      <c r="V980" s="27" t="n">
        <v>0.350521417802747</v>
      </c>
      <c r="W980" s="26" t="n">
        <v>280.0775550851488</v>
      </c>
      <c r="X980" s="27" t="n">
        <v>0.3493229173660058</v>
      </c>
      <c r="Y980" s="26" t="n">
        <v>272.1998559437465</v>
      </c>
      <c r="Z980" s="27" t="n">
        <v>0.3521657959675933</v>
      </c>
      <c r="AA980" s="26" t="n">
        <v>271.6689118656659</v>
      </c>
      <c r="AB980" s="27" t="n">
        <v>0.3613085086235368</v>
      </c>
    </row>
    <row r="981">
      <c r="A981" s="26" t="n">
        <v>296.9534591011518</v>
      </c>
      <c r="B981" s="27" t="n">
        <v>0.3302391446856228</v>
      </c>
      <c r="C981" s="26" t="n">
        <v>287.2674623227693</v>
      </c>
      <c r="D981" s="27" t="n">
        <v>0.3413139553097272</v>
      </c>
      <c r="E981" s="26" t="n">
        <v>303.0840920834514</v>
      </c>
      <c r="F981" s="27" t="n">
        <v>0.3229934559626904</v>
      </c>
      <c r="G981" s="26" t="n">
        <v>309.0444987217362</v>
      </c>
      <c r="H981" s="27" t="n">
        <v>0.3153852486843555</v>
      </c>
      <c r="I981" s="26" t="n">
        <v>310.3150027896419</v>
      </c>
      <c r="J981" s="27" t="n">
        <v>0.3142157249695063</v>
      </c>
      <c r="K981" s="26" t="n">
        <v>299.316648109702</v>
      </c>
      <c r="L981" s="27" t="n">
        <v>0.3261127189497942</v>
      </c>
      <c r="M981" s="26" t="n">
        <v>293.0752355514018</v>
      </c>
      <c r="N981" s="27" t="n">
        <v>0.3340923386183035</v>
      </c>
      <c r="O981" s="26" t="n">
        <v>267.4925955373064</v>
      </c>
      <c r="P981" s="27" t="n">
        <v>0.3647460274523186</v>
      </c>
      <c r="Q981" s="26" t="n">
        <v>279.3647060108568</v>
      </c>
      <c r="R981" s="27" t="n">
        <v>0.351460583407014</v>
      </c>
      <c r="S981" s="26" t="n">
        <v>272.6473089666625</v>
      </c>
      <c r="T981" s="27" t="n">
        <v>0.36038978837737</v>
      </c>
      <c r="U981" s="26" t="n">
        <v>279.8432364230781</v>
      </c>
      <c r="V981" s="27" t="n">
        <v>0.3505737709197623</v>
      </c>
      <c r="W981" s="26" t="n">
        <v>280.1557405772016</v>
      </c>
      <c r="X981" s="27" t="n">
        <v>0.3494282857801551</v>
      </c>
      <c r="Y981" s="26" t="n">
        <v>272.3052971103534</v>
      </c>
      <c r="Z981" s="27" t="n">
        <v>0.3526579978398972</v>
      </c>
      <c r="AA981" s="26" t="n">
        <v>271.7490995273725</v>
      </c>
      <c r="AB981" s="27" t="n">
        <v>0.3613468017271208</v>
      </c>
    </row>
    <row r="982">
      <c r="A982" s="26" t="n">
        <v>297.1192207643571</v>
      </c>
      <c r="B982" s="27" t="n">
        <v>0.3302071338046854</v>
      </c>
      <c r="C982" s="26" t="n">
        <v>287.4075118365841</v>
      </c>
      <c r="D982" s="27" t="n">
        <v>0.3413090501011892</v>
      </c>
      <c r="E982" s="26" t="n">
        <v>303.1971497378081</v>
      </c>
      <c r="F982" s="27" t="n">
        <v>0.3230559814427059</v>
      </c>
      <c r="G982" s="26" t="n">
        <v>309.1312211523418</v>
      </c>
      <c r="H982" s="27" t="n">
        <v>0.3155579164810663</v>
      </c>
      <c r="I982" s="26" t="n">
        <v>310.3953872181418</v>
      </c>
      <c r="J982" s="27" t="n">
        <v>0.3143873887159809</v>
      </c>
      <c r="K982" s="26" t="n">
        <v>299.3928906040583</v>
      </c>
      <c r="L982" s="27" t="n">
        <v>0.3262712422651536</v>
      </c>
      <c r="M982" s="26" t="n">
        <v>293.1665412534877</v>
      </c>
      <c r="N982" s="27" t="n">
        <v>0.3341741823923259</v>
      </c>
      <c r="O982" s="26" t="n">
        <v>267.617000231395</v>
      </c>
      <c r="P982" s="27" t="n">
        <v>0.3648542000942659</v>
      </c>
      <c r="Q982" s="26" t="n">
        <v>279.4587927864897</v>
      </c>
      <c r="R982" s="27" t="n">
        <v>0.3514823994644423</v>
      </c>
      <c r="S982" s="26" t="n">
        <v>272.7537325746939</v>
      </c>
      <c r="T982" s="27" t="n">
        <v>0.3603775057470399</v>
      </c>
      <c r="U982" s="26" t="n">
        <v>279.9282817175304</v>
      </c>
      <c r="V982" s="27" t="n">
        <v>0.350623315141097</v>
      </c>
      <c r="W982" s="26" t="n">
        <v>280.2339260692544</v>
      </c>
      <c r="X982" s="27" t="n">
        <v>0.3495296606501133</v>
      </c>
      <c r="Y982" s="26" t="n">
        <v>272.4107382769603</v>
      </c>
      <c r="Z982" s="27" t="n">
        <v>0.3531347873055011</v>
      </c>
      <c r="AA982" s="26" t="n">
        <v>271.8292871890791</v>
      </c>
      <c r="AB982" s="27" t="n">
        <v>0.3613826783772629</v>
      </c>
    </row>
    <row r="983">
      <c r="A983" s="26" t="n">
        <v>297.2849824275623</v>
      </c>
      <c r="B983" s="27" t="n">
        <v>0.3301724354627068</v>
      </c>
      <c r="C983" s="26" t="n">
        <v>287.5475613503989</v>
      </c>
      <c r="D983" s="27" t="n">
        <v>0.3413012283251361</v>
      </c>
      <c r="E983" s="26" t="n">
        <v>303.3102073921649</v>
      </c>
      <c r="F983" s="27" t="n">
        <v>0.3231148835700363</v>
      </c>
      <c r="G983" s="26" t="n">
        <v>309.2179435829473</v>
      </c>
      <c r="H983" s="27" t="n">
        <v>0.3157246549119672</v>
      </c>
      <c r="I983" s="26" t="n">
        <v>310.4757716466418</v>
      </c>
      <c r="J983" s="27" t="n">
        <v>0.3145533585406405</v>
      </c>
      <c r="K983" s="26" t="n">
        <v>299.4691330984147</v>
      </c>
      <c r="L983" s="27" t="n">
        <v>0.3264244729017036</v>
      </c>
      <c r="M983" s="26" t="n">
        <v>293.2578469555735</v>
      </c>
      <c r="N983" s="27" t="n">
        <v>0.3342523671452102</v>
      </c>
      <c r="O983" s="26" t="n">
        <v>267.7414049254835</v>
      </c>
      <c r="P983" s="27" t="n">
        <v>0.3649562280887284</v>
      </c>
      <c r="Q983" s="26" t="n">
        <v>279.5528795621227</v>
      </c>
      <c r="R983" s="27" t="n">
        <v>0.3515018574003689</v>
      </c>
      <c r="S983" s="26" t="n">
        <v>272.8601561827252</v>
      </c>
      <c r="T983" s="27" t="n">
        <v>0.3603632035414396</v>
      </c>
      <c r="U983" s="26" t="n">
        <v>280.0133270119827</v>
      </c>
      <c r="V983" s="27" t="n">
        <v>0.3506700805704129</v>
      </c>
      <c r="W983" s="26" t="n">
        <v>280.3121115613072</v>
      </c>
      <c r="X983" s="27" t="n">
        <v>0.3496270835513613</v>
      </c>
      <c r="Y983" s="26" t="n">
        <v>272.5161794435672</v>
      </c>
      <c r="Z983" s="27" t="n">
        <v>0.3535961030564116</v>
      </c>
      <c r="AA983" s="26" t="n">
        <v>271.9094748507857</v>
      </c>
      <c r="AB983" s="27" t="n">
        <v>0.3614161643126717</v>
      </c>
    </row>
    <row r="984">
      <c r="A984" s="26" t="n">
        <v>297.4507440907677</v>
      </c>
      <c r="B984" s="27" t="n">
        <v>0.330135081589423</v>
      </c>
      <c r="C984" s="26" t="n">
        <v>287.6876108642136</v>
      </c>
      <c r="D984" s="27" t="n">
        <v>0.3412905236798291</v>
      </c>
      <c r="E984" s="26" t="n">
        <v>303.4232650465216</v>
      </c>
      <c r="F984" s="27" t="n">
        <v>0.3231702019454332</v>
      </c>
      <c r="G984" s="26" t="n">
        <v>309.3046660135529</v>
      </c>
      <c r="H984" s="27" t="n">
        <v>0.3158855182928982</v>
      </c>
      <c r="I984" s="26" t="n">
        <v>310.5561560751416</v>
      </c>
      <c r="J984" s="27" t="n">
        <v>0.3147136872870656</v>
      </c>
      <c r="K984" s="26" t="n">
        <v>299.5453755927711</v>
      </c>
      <c r="L984" s="27" t="n">
        <v>0.3265724623534635</v>
      </c>
      <c r="M984" s="26" t="n">
        <v>293.3491526576593</v>
      </c>
      <c r="N984" s="27" t="n">
        <v>0.3343269322537991</v>
      </c>
      <c r="O984" s="26" t="n">
        <v>267.865809619572</v>
      </c>
      <c r="P984" s="27" t="n">
        <v>0.3650521741584025</v>
      </c>
      <c r="Q984" s="26" t="n">
        <v>279.6469663377556</v>
      </c>
      <c r="R984" s="27" t="n">
        <v>0.351518983019335</v>
      </c>
      <c r="S984" s="26" t="n">
        <v>272.9665797907566</v>
      </c>
      <c r="T984" s="27" t="n">
        <v>0.3603469041244835</v>
      </c>
      <c r="U984" s="26" t="n">
        <v>280.098372306435</v>
      </c>
      <c r="V984" s="27" t="n">
        <v>0.3507140974179948</v>
      </c>
      <c r="W984" s="26" t="n">
        <v>280.39029705336</v>
      </c>
      <c r="X984" s="27" t="n">
        <v>0.3497205964829972</v>
      </c>
      <c r="Y984" s="26" t="n">
        <v>272.6216206101741</v>
      </c>
      <c r="Z984" s="27" t="n">
        <v>0.3540418969147442</v>
      </c>
      <c r="AA984" s="26" t="n">
        <v>271.9896625124923</v>
      </c>
      <c r="AB984" s="27" t="n">
        <v>0.3614472853078309</v>
      </c>
    </row>
    <row r="985">
      <c r="A985" s="26" t="n">
        <v>297.616505753973</v>
      </c>
      <c r="B985" s="27" t="n">
        <v>0.3300951041985106</v>
      </c>
      <c r="C985" s="26" t="n">
        <v>287.8276603780284</v>
      </c>
      <c r="D985" s="27" t="n">
        <v>0.3412769699821037</v>
      </c>
      <c r="E985" s="26" t="n">
        <v>303.5363227008784</v>
      </c>
      <c r="F985" s="27" t="n">
        <v>0.3232219765211255</v>
      </c>
      <c r="G985" s="26" t="n">
        <v>309.3913884441585</v>
      </c>
      <c r="H985" s="27" t="n">
        <v>0.3160405625487631</v>
      </c>
      <c r="I985" s="26" t="n">
        <v>310.6365405036416</v>
      </c>
      <c r="J985" s="27" t="n">
        <v>0.3148684292595916</v>
      </c>
      <c r="K985" s="26" t="n">
        <v>299.6216180871273</v>
      </c>
      <c r="L985" s="27" t="n">
        <v>0.3267152632393912</v>
      </c>
      <c r="M985" s="26" t="n">
        <v>293.4404583597452</v>
      </c>
      <c r="N985" s="27" t="n">
        <v>0.334397917438834</v>
      </c>
      <c r="O985" s="26" t="n">
        <v>267.9902143136605</v>
      </c>
      <c r="P985" s="27" t="n">
        <v>0.3651421023598317</v>
      </c>
      <c r="Q985" s="26" t="n">
        <v>279.7410531133885</v>
      </c>
      <c r="R985" s="27" t="n">
        <v>0.3515338021555798</v>
      </c>
      <c r="S985" s="26" t="n">
        <v>273.0730033987879</v>
      </c>
      <c r="T985" s="27" t="n">
        <v>0.3603286298447558</v>
      </c>
      <c r="U985" s="26" t="n">
        <v>280.1834176008873</v>
      </c>
      <c r="V985" s="27" t="n">
        <v>0.3507553959924304</v>
      </c>
      <c r="W985" s="26" t="n">
        <v>280.4684825454128</v>
      </c>
      <c r="X985" s="27" t="n">
        <v>0.3498102418504426</v>
      </c>
      <c r="Y985" s="26" t="n">
        <v>272.7270617767811</v>
      </c>
      <c r="Z985" s="27" t="n">
        <v>0.3544721341926202</v>
      </c>
      <c r="AA985" s="26" t="n">
        <v>272.0698501741989</v>
      </c>
      <c r="AB985" s="27" t="n">
        <v>0.361476067167312</v>
      </c>
    </row>
    <row r="986">
      <c r="A986" s="26" t="n">
        <v>297.7822674171783</v>
      </c>
      <c r="B986" s="27" t="n">
        <v>0.3300525353787598</v>
      </c>
      <c r="C986" s="26" t="n">
        <v>287.9677098918432</v>
      </c>
      <c r="D986" s="27" t="n">
        <v>0.3412606011574572</v>
      </c>
      <c r="E986" s="26" t="n">
        <v>303.6493803552351</v>
      </c>
      <c r="F986" s="27" t="n">
        <v>0.3232702475847342</v>
      </c>
      <c r="G986" s="26" t="n">
        <v>309.4781108747641</v>
      </c>
      <c r="H986" s="27" t="n">
        <v>0.3161898451775781</v>
      </c>
      <c r="I986" s="26" t="n">
        <v>310.7169249321415</v>
      </c>
      <c r="J986" s="27" t="n">
        <v>0.3150176401890978</v>
      </c>
      <c r="K986" s="26" t="n">
        <v>299.6978605814837</v>
      </c>
      <c r="L986" s="27" t="n">
        <v>0.3268529292727786</v>
      </c>
      <c r="M986" s="26" t="n">
        <v>293.531764061831</v>
      </c>
      <c r="N986" s="27" t="n">
        <v>0.3344653627492203</v>
      </c>
      <c r="O986" s="26" t="n">
        <v>268.1146190077491</v>
      </c>
      <c r="P986" s="27" t="n">
        <v>0.3652260780460467</v>
      </c>
      <c r="Q986" s="26" t="n">
        <v>279.8351398890215</v>
      </c>
      <c r="R986" s="27" t="n">
        <v>0.3515463406673085</v>
      </c>
      <c r="S986" s="26" t="n">
        <v>273.1794270068193</v>
      </c>
      <c r="T986" s="27" t="n">
        <v>0.3603084030316344</v>
      </c>
      <c r="U986" s="26" t="n">
        <v>280.2684628953396</v>
      </c>
      <c r="V986" s="27" t="n">
        <v>0.3507940066922899</v>
      </c>
      <c r="W986" s="26" t="n">
        <v>280.5466680374656</v>
      </c>
      <c r="X986" s="27" t="n">
        <v>0.3498960624479641</v>
      </c>
      <c r="Y986" s="26" t="n">
        <v>272.832502943388</v>
      </c>
      <c r="Z986" s="27" t="n">
        <v>0.3548867940292325</v>
      </c>
      <c r="AA986" s="26" t="n">
        <v>272.1500378359055</v>
      </c>
      <c r="AB986" s="27" t="n">
        <v>0.3615025357201089</v>
      </c>
    </row>
    <row r="987">
      <c r="A987" s="26" t="n">
        <v>297.9480290803837</v>
      </c>
      <c r="B987" s="27" t="n">
        <v>0.3300074072852557</v>
      </c>
      <c r="C987" s="26" t="n">
        <v>288.107759405658</v>
      </c>
      <c r="D987" s="27" t="n">
        <v>0.3412414512301292</v>
      </c>
      <c r="E987" s="26" t="n">
        <v>303.7624380095917</v>
      </c>
      <c r="F987" s="27" t="n">
        <v>0.323315055743042</v>
      </c>
      <c r="G987" s="26" t="n">
        <v>309.5648333053696</v>
      </c>
      <c r="H987" s="27" t="n">
        <v>0.3163334252129257</v>
      </c>
      <c r="I987" s="26" t="n">
        <v>310.7973093606415</v>
      </c>
      <c r="J987" s="27" t="n">
        <v>0.3151613771974136</v>
      </c>
      <c r="K987" s="26" t="n">
        <v>299.7741030758401</v>
      </c>
      <c r="L987" s="27" t="n">
        <v>0.326985515229728</v>
      </c>
      <c r="M987" s="26" t="n">
        <v>293.6230697639168</v>
      </c>
      <c r="N987" s="27" t="n">
        <v>0.334529308546155</v>
      </c>
      <c r="O987" s="26" t="n">
        <v>268.2390237018377</v>
      </c>
      <c r="P987" s="27" t="n">
        <v>0.3653041678280584</v>
      </c>
      <c r="Q987" s="26" t="n">
        <v>279.9292266646545</v>
      </c>
      <c r="R987" s="27" t="n">
        <v>0.3515566244309846</v>
      </c>
      <c r="S987" s="26" t="n">
        <v>273.2858506148507</v>
      </c>
      <c r="T987" s="27" t="n">
        <v>0.3602862459914422</v>
      </c>
      <c r="U987" s="26" t="n">
        <v>280.3535081897919</v>
      </c>
      <c r="V987" s="27" t="n">
        <v>0.3508299599978114</v>
      </c>
      <c r="W987" s="26" t="n">
        <v>280.6248535295184</v>
      </c>
      <c r="X987" s="27" t="n">
        <v>0.3499781014410202</v>
      </c>
      <c r="Y987" s="26" t="n">
        <v>272.9379441099949</v>
      </c>
      <c r="Z987" s="27" t="n">
        <v>0.3552858697027086</v>
      </c>
      <c r="AA987" s="26" t="n">
        <v>272.2302254976121</v>
      </c>
      <c r="AB987" s="27" t="n">
        <v>0.3615267168139971</v>
      </c>
    </row>
    <row r="988">
      <c r="A988" s="26" t="n">
        <v>298.1137907435889</v>
      </c>
      <c r="B988" s="27" t="n">
        <v>0.3299597521305717</v>
      </c>
      <c r="C988" s="26" t="n">
        <v>288.2478089194727</v>
      </c>
      <c r="D988" s="27" t="n">
        <v>0.3412195543131851</v>
      </c>
      <c r="E988" s="26" t="n">
        <v>303.8754956639485</v>
      </c>
      <c r="F988" s="27" t="n">
        <v>0.323356441905628</v>
      </c>
      <c r="G988" s="26" t="n">
        <v>309.6515557359752</v>
      </c>
      <c r="H988" s="27" t="n">
        <v>0.3164713631848367</v>
      </c>
      <c r="I988" s="26" t="n">
        <v>310.8776937891414</v>
      </c>
      <c r="J988" s="27" t="n">
        <v>0.3152996987603646</v>
      </c>
      <c r="K988" s="26" t="n">
        <v>299.8503455701964</v>
      </c>
      <c r="L988" s="27" t="n">
        <v>0.327113076916732</v>
      </c>
      <c r="M988" s="26" t="n">
        <v>293.7143754660027</v>
      </c>
      <c r="N988" s="27" t="n">
        <v>0.3345897954871331</v>
      </c>
      <c r="O988" s="26" t="n">
        <v>268.3634283959262</v>
      </c>
      <c r="P988" s="27" t="n">
        <v>0.365376439535235</v>
      </c>
      <c r="Q988" s="26" t="n">
        <v>280.0233134402874</v>
      </c>
      <c r="R988" s="27" t="n">
        <v>0.3515646793356469</v>
      </c>
      <c r="S988" s="26" t="n">
        <v>273.3922742228821</v>
      </c>
      <c r="T988" s="27" t="n">
        <v>0.3602621810036296</v>
      </c>
      <c r="U988" s="26" t="n">
        <v>280.4385534842443</v>
      </c>
      <c r="V988" s="27" t="n">
        <v>0.3508632864625933</v>
      </c>
      <c r="W988" s="26" t="n">
        <v>280.7030390215713</v>
      </c>
      <c r="X988" s="27" t="n">
        <v>0.3500564023484473</v>
      </c>
      <c r="Y988" s="26" t="n">
        <v>273.0433852766018</v>
      </c>
      <c r="Z988" s="27" t="n">
        <v>0.355669368914409</v>
      </c>
      <c r="AA988" s="26" t="n">
        <v>272.3104131593186</v>
      </c>
      <c r="AB988" s="27" t="n">
        <v>0.3615486363099178</v>
      </c>
    </row>
    <row r="989">
      <c r="A989" s="26" t="n">
        <v>298.2795524067942</v>
      </c>
      <c r="B989" s="27" t="n">
        <v>0.3299096021759783</v>
      </c>
      <c r="C989" s="26" t="n">
        <v>288.3878584332875</v>
      </c>
      <c r="D989" s="27" t="n">
        <v>0.3411949445986025</v>
      </c>
      <c r="E989" s="26" t="n">
        <v>303.9885533183052</v>
      </c>
      <c r="F989" s="27" t="n">
        <v>0.3233944472683794</v>
      </c>
      <c r="G989" s="26" t="n">
        <v>309.7382781665808</v>
      </c>
      <c r="H989" s="27" t="n">
        <v>0.3166037210791378</v>
      </c>
      <c r="I989" s="26" t="n">
        <v>310.9580782176414</v>
      </c>
      <c r="J989" s="27" t="n">
        <v>0.3154326646694933</v>
      </c>
      <c r="K989" s="26" t="n">
        <v>299.9265880645528</v>
      </c>
      <c r="L989" s="27" t="n">
        <v>0.3272356711373853</v>
      </c>
      <c r="M989" s="26" t="n">
        <v>293.8056811680885</v>
      </c>
      <c r="N989" s="27" t="n">
        <v>0.3346468645098384</v>
      </c>
      <c r="O989" s="26" t="n">
        <v>268.4878330900148</v>
      </c>
      <c r="P989" s="27" t="n">
        <v>0.3654429621745948</v>
      </c>
      <c r="Q989" s="26" t="n">
        <v>280.1174002159203</v>
      </c>
      <c r="R989" s="27" t="n">
        <v>0.3515705312772562</v>
      </c>
      <c r="S989" s="26" t="n">
        <v>273.4986978309134</v>
      </c>
      <c r="T989" s="27" t="n">
        <v>0.3602362303169887</v>
      </c>
      <c r="U989" s="26" t="n">
        <v>280.5235987786965</v>
      </c>
      <c r="V989" s="27" t="n">
        <v>0.3508940167053002</v>
      </c>
      <c r="W989" s="26" t="n">
        <v>280.781224513624</v>
      </c>
      <c r="X989" s="27" t="n">
        <v>0.3501310090244951</v>
      </c>
      <c r="Y989" s="26" t="n">
        <v>273.1488264432087</v>
      </c>
      <c r="Z989" s="27" t="n">
        <v>0.3560373140432645</v>
      </c>
      <c r="AA989" s="26" t="n">
        <v>272.3906008210253</v>
      </c>
      <c r="AB989" s="27" t="n">
        <v>0.361568320076391</v>
      </c>
    </row>
    <row r="990">
      <c r="A990" s="26" t="n">
        <v>298.4453140699995</v>
      </c>
      <c r="B990" s="27" t="n">
        <v>0.3298569897226742</v>
      </c>
      <c r="C990" s="26" t="n">
        <v>288.5279079471023</v>
      </c>
      <c r="D990" s="27" t="n">
        <v>0.3411676563473705</v>
      </c>
      <c r="E990" s="26" t="n">
        <v>304.101610972662</v>
      </c>
      <c r="F990" s="27" t="n">
        <v>0.3234291132968908</v>
      </c>
      <c r="G990" s="26" t="n">
        <v>309.8250005971864</v>
      </c>
      <c r="H990" s="27" t="n">
        <v>0.3167305622952928</v>
      </c>
      <c r="I990" s="26" t="n">
        <v>311.0384626461413</v>
      </c>
      <c r="J990" s="27" t="n">
        <v>0.3155603359924826</v>
      </c>
      <c r="K990" s="26" t="n">
        <v>300.0028305589091</v>
      </c>
      <c r="L990" s="27" t="n">
        <v>0.3273533556582556</v>
      </c>
      <c r="M990" s="26" t="n">
        <v>293.8969868701743</v>
      </c>
      <c r="N990" s="27" t="n">
        <v>0.3347005568159326</v>
      </c>
      <c r="O990" s="26" t="n">
        <v>268.6122377841033</v>
      </c>
      <c r="P990" s="27" t="n">
        <v>0.3655038058890524</v>
      </c>
      <c r="Q990" s="26" t="n">
        <v>280.2114869915533</v>
      </c>
      <c r="R990" s="27" t="n">
        <v>0.3515742061530718</v>
      </c>
      <c r="S990" s="26" t="n">
        <v>273.6051214389448</v>
      </c>
      <c r="T990" s="27" t="n">
        <v>0.3602084161459</v>
      </c>
      <c r="U990" s="26" t="n">
        <v>280.6086440731489</v>
      </c>
      <c r="V990" s="27" t="n">
        <v>0.3509221814013842</v>
      </c>
      <c r="W990" s="26" t="n">
        <v>280.8594100056769</v>
      </c>
      <c r="X990" s="27" t="n">
        <v>0.3502019656407245</v>
      </c>
      <c r="Y990" s="26" t="n">
        <v>273.2542676098157</v>
      </c>
      <c r="Z990" s="27" t="n">
        <v>0.3563897423678014</v>
      </c>
      <c r="AA990" s="26" t="n">
        <v>272.4707884827319</v>
      </c>
      <c r="AB990" s="27" t="n">
        <v>0.3615857939839588</v>
      </c>
    </row>
    <row r="991">
      <c r="A991" s="26" t="n">
        <v>298.6110757332049</v>
      </c>
      <c r="B991" s="27" t="n">
        <v>0.3298019471030413</v>
      </c>
      <c r="C991" s="26" t="n">
        <v>288.6679574609171</v>
      </c>
      <c r="D991" s="27" t="n">
        <v>0.3411377238796043</v>
      </c>
      <c r="E991" s="26" t="n">
        <v>304.2146686270187</v>
      </c>
      <c r="F991" s="27" t="n">
        <v>0.323460481709762</v>
      </c>
      <c r="G991" s="26" t="n">
        <v>309.9117230277919</v>
      </c>
      <c r="H991" s="27" t="n">
        <v>0.3168519516027776</v>
      </c>
      <c r="I991" s="26" t="n">
        <v>311.1188470746413</v>
      </c>
      <c r="J991" s="27" t="n">
        <v>0.3156827750323195</v>
      </c>
      <c r="K991" s="26" t="n">
        <v>300.0790730532655</v>
      </c>
      <c r="L991" s="27" t="n">
        <v>0.327466189173943</v>
      </c>
      <c r="M991" s="26" t="n">
        <v>293.9882925722601</v>
      </c>
      <c r="N991" s="27" t="n">
        <v>0.3347509138547515</v>
      </c>
      <c r="O991" s="26" t="n">
        <v>268.7366424781918</v>
      </c>
      <c r="P991" s="27" t="n">
        <v>0.3655590419146531</v>
      </c>
      <c r="Q991" s="26" t="n">
        <v>280.3055737671862</v>
      </c>
      <c r="R991" s="27" t="n">
        <v>0.35157572985606</v>
      </c>
      <c r="S991" s="26" t="n">
        <v>273.7115450469762</v>
      </c>
      <c r="T991" s="27" t="n">
        <v>0.360178760666613</v>
      </c>
      <c r="U991" s="26" t="n">
        <v>280.6936893676011</v>
      </c>
      <c r="V991" s="27" t="n">
        <v>0.3509478112748274</v>
      </c>
      <c r="W991" s="26" t="n">
        <v>280.9375954977296</v>
      </c>
      <c r="X991" s="27" t="n">
        <v>0.3502693166677799</v>
      </c>
      <c r="Y991" s="26" t="n">
        <v>273.3597087764225</v>
      </c>
      <c r="Z991" s="27" t="n">
        <v>0.3567267062534974</v>
      </c>
      <c r="AA991" s="26" t="n">
        <v>272.5509761444385</v>
      </c>
      <c r="AB991" s="27" t="n">
        <v>0.3616010838996609</v>
      </c>
    </row>
    <row r="992">
      <c r="A992" s="26" t="n">
        <v>298.7768373964102</v>
      </c>
      <c r="B992" s="27" t="n">
        <v>0.3297445066719297</v>
      </c>
      <c r="C992" s="26" t="n">
        <v>288.8080069747319</v>
      </c>
      <c r="D992" s="27" t="n">
        <v>0.3411051815646799</v>
      </c>
      <c r="E992" s="26" t="n">
        <v>304.3277262813754</v>
      </c>
      <c r="F992" s="27" t="n">
        <v>0.3234885944618062</v>
      </c>
      <c r="G992" s="26" t="n">
        <v>309.9984454583975</v>
      </c>
      <c r="H992" s="27" t="n">
        <v>0.3169679550960292</v>
      </c>
      <c r="I992" s="26" t="n">
        <v>311.1992315031412</v>
      </c>
      <c r="J992" s="27" t="n">
        <v>0.3158000452852365</v>
      </c>
      <c r="K992" s="26" t="n">
        <v>300.1553155476219</v>
      </c>
      <c r="L992" s="27" t="n">
        <v>0.3275742312713612</v>
      </c>
      <c r="M992" s="26" t="n">
        <v>294.079598274346</v>
      </c>
      <c r="N992" s="27" t="n">
        <v>0.3347979773069202</v>
      </c>
      <c r="O992" s="26" t="n">
        <v>268.8610471722804</v>
      </c>
      <c r="P992" s="27" t="n">
        <v>0.365608742536836</v>
      </c>
      <c r="Q992" s="26" t="n">
        <v>280.3996605428192</v>
      </c>
      <c r="R992" s="27" t="n">
        <v>0.3515751282693379</v>
      </c>
      <c r="S992" s="26" t="n">
        <v>273.8179686550076</v>
      </c>
      <c r="T992" s="27" t="n">
        <v>0.3601472860135619</v>
      </c>
      <c r="U992" s="26" t="n">
        <v>280.7787346620535</v>
      </c>
      <c r="V992" s="27" t="n">
        <v>0.3509709370899082</v>
      </c>
      <c r="W992" s="26" t="n">
        <v>281.0157809897825</v>
      </c>
      <c r="X992" s="27" t="n">
        <v>0.3503331068570494</v>
      </c>
      <c r="Y992" s="26" t="n">
        <v>273.4651499430295</v>
      </c>
      <c r="Z992" s="27" t="n">
        <v>0.3570482733031801</v>
      </c>
      <c r="AA992" s="26" t="n">
        <v>272.6311638061451</v>
      </c>
      <c r="AB992" s="27" t="n">
        <v>0.3616142156815441</v>
      </c>
    </row>
    <row r="993">
      <c r="A993" s="26" t="n">
        <v>298.9425990596155</v>
      </c>
      <c r="B993" s="27" t="n">
        <v>0.3296847007979761</v>
      </c>
      <c r="C993" s="26" t="n">
        <v>288.9480564885466</v>
      </c>
      <c r="D993" s="27" t="n">
        <v>0.3410700638113971</v>
      </c>
      <c r="E993" s="26" t="n">
        <v>304.4407839357322</v>
      </c>
      <c r="F993" s="27" t="n">
        <v>0.3235134937271807</v>
      </c>
      <c r="G993" s="26" t="n">
        <v>310.0851678890031</v>
      </c>
      <c r="H993" s="27" t="n">
        <v>0.3170786401480093</v>
      </c>
      <c r="I993" s="26" t="n">
        <v>311.2796159316412</v>
      </c>
      <c r="J993" s="27" t="n">
        <v>0.315912211397469</v>
      </c>
      <c r="K993" s="26" t="n">
        <v>300.2315580419782</v>
      </c>
      <c r="L993" s="27" t="n">
        <v>0.3276775423932698</v>
      </c>
      <c r="M993" s="26" t="n">
        <v>294.1709039764318</v>
      </c>
      <c r="N993" s="27" t="n">
        <v>0.3348417890678984</v>
      </c>
      <c r="O993" s="26" t="n">
        <v>268.9854518663689</v>
      </c>
      <c r="P993" s="27" t="n">
        <v>0.3656529810457657</v>
      </c>
      <c r="Q993" s="26" t="n">
        <v>280.4937473184521</v>
      </c>
      <c r="R993" s="27" t="n">
        <v>0.3515724272606536</v>
      </c>
      <c r="S993" s="26" t="n">
        <v>273.924392263039</v>
      </c>
      <c r="T993" s="27" t="n">
        <v>0.3601140142757164</v>
      </c>
      <c r="U993" s="26" t="n">
        <v>280.8637799565057</v>
      </c>
      <c r="V993" s="27" t="n">
        <v>0.3509915896429945</v>
      </c>
      <c r="W993" s="26" t="n">
        <v>281.0939664818352</v>
      </c>
      <c r="X993" s="27" t="n">
        <v>0.3503933812222252</v>
      </c>
      <c r="Y993" s="26" t="n">
        <v>273.5705911096363</v>
      </c>
      <c r="Z993" s="27" t="n">
        <v>0.3573545264682307</v>
      </c>
      <c r="AA993" s="26" t="n">
        <v>272.7113514678516</v>
      </c>
      <c r="AB993" s="27" t="n">
        <v>0.3616252151732097</v>
      </c>
    </row>
    <row r="994">
      <c r="A994" s="26" t="n">
        <v>299.1083607228207</v>
      </c>
      <c r="B994" s="27" t="n">
        <v>0.3296225618549606</v>
      </c>
      <c r="C994" s="26" t="n">
        <v>289.0881060023614</v>
      </c>
      <c r="D994" s="27" t="n">
        <v>0.3410324050581713</v>
      </c>
      <c r="E994" s="26" t="n">
        <v>304.5538415900888</v>
      </c>
      <c r="F994" s="27" t="n">
        <v>0.323535221882451</v>
      </c>
      <c r="G994" s="26" t="n">
        <v>310.1718903196087</v>
      </c>
      <c r="H994" s="27" t="n">
        <v>0.3171840753624325</v>
      </c>
      <c r="I994" s="26" t="n">
        <v>311.360000360141</v>
      </c>
      <c r="J994" s="27" t="n">
        <v>0.3160193391208719</v>
      </c>
      <c r="K994" s="26" t="n">
        <v>300.3078005363345</v>
      </c>
      <c r="L994" s="27" t="n">
        <v>0.3277761838010959</v>
      </c>
      <c r="M994" s="26" t="n">
        <v>294.2622096785176</v>
      </c>
      <c r="N994" s="27" t="n">
        <v>0.3348823912314667</v>
      </c>
      <c r="O994" s="26" t="n">
        <v>269.1098565604575</v>
      </c>
      <c r="P994" s="27" t="n">
        <v>0.3656918316907766</v>
      </c>
      <c r="Q994" s="26" t="n">
        <v>280.5878340940851</v>
      </c>
      <c r="R994" s="27" t="n">
        <v>0.3515676526769055</v>
      </c>
      <c r="S994" s="26" t="n">
        <v>274.0308158710703</v>
      </c>
      <c r="T994" s="27" t="n">
        <v>0.3600789674929718</v>
      </c>
      <c r="U994" s="26" t="n">
        <v>280.9488252509581</v>
      </c>
      <c r="V994" s="27" t="n">
        <v>0.3510097997543715</v>
      </c>
      <c r="W994" s="26" t="n">
        <v>281.172151973888</v>
      </c>
      <c r="X994" s="27" t="n">
        <v>0.3504501850207765</v>
      </c>
      <c r="Y994" s="26" t="n">
        <v>273.6760322762433</v>
      </c>
      <c r="Z994" s="27" t="n">
        <v>0.3576455641184415</v>
      </c>
      <c r="AA994" s="26" t="n">
        <v>272.7915391295583</v>
      </c>
      <c r="AB994" s="27" t="n">
        <v>0.3616341081983983</v>
      </c>
    </row>
    <row r="995">
      <c r="A995" s="26" t="n">
        <v>299.2741223860261</v>
      </c>
      <c r="B995" s="27" t="n">
        <v>0.329558122213206</v>
      </c>
      <c r="C995" s="26" t="n">
        <v>289.2281555161762</v>
      </c>
      <c r="D995" s="27" t="n">
        <v>0.340992239763264</v>
      </c>
      <c r="E995" s="26" t="n">
        <v>304.6668992444455</v>
      </c>
      <c r="F995" s="27" t="n">
        <v>0.323553821489601</v>
      </c>
      <c r="G995" s="26" t="n">
        <v>310.2586127502142</v>
      </c>
      <c r="H995" s="27" t="n">
        <v>0.3172843305247037</v>
      </c>
      <c r="I995" s="26" t="n">
        <v>311.440384788641</v>
      </c>
      <c r="J995" s="27" t="n">
        <v>0.3161214952674426</v>
      </c>
      <c r="K995" s="26" t="n">
        <v>300.3840430306909</v>
      </c>
      <c r="L995" s="27" t="n">
        <v>0.3278702175370755</v>
      </c>
      <c r="M995" s="26" t="n">
        <v>294.3535153806035</v>
      </c>
      <c r="N995" s="27" t="n">
        <v>0.3349198260731656</v>
      </c>
      <c r="O995" s="26" t="n">
        <v>269.234261254546</v>
      </c>
      <c r="P995" s="27" t="n">
        <v>0.3657253696339742</v>
      </c>
      <c r="Q995" s="26" t="n">
        <v>280.681920869718</v>
      </c>
      <c r="R995" s="27" t="n">
        <v>0.3515608303387025</v>
      </c>
      <c r="S995" s="26" t="n">
        <v>274.1372394791017</v>
      </c>
      <c r="T995" s="27" t="n">
        <v>0.3600421676525741</v>
      </c>
      <c r="U995" s="26" t="n">
        <v>281.0338705454103</v>
      </c>
      <c r="V995" s="27" t="n">
        <v>0.3510255982601024</v>
      </c>
      <c r="W995" s="26" t="n">
        <v>281.2503374659408</v>
      </c>
      <c r="X995" s="27" t="n">
        <v>0.3505035637353494</v>
      </c>
      <c r="Y995" s="26" t="n">
        <v>273.7814734428501</v>
      </c>
      <c r="Z995" s="27" t="n">
        <v>0.3579215000684817</v>
      </c>
      <c r="AA995" s="26" t="n">
        <v>272.8717267912648</v>
      </c>
      <c r="AB995" s="27" t="n">
        <v>0.3616409205556145</v>
      </c>
    </row>
    <row r="996">
      <c r="A996" s="26" t="n">
        <v>299.4398840492314</v>
      </c>
      <c r="B996" s="27" t="n">
        <v>0.3294914142310232</v>
      </c>
      <c r="C996" s="26" t="n">
        <v>289.368205029991</v>
      </c>
      <c r="D996" s="27" t="n">
        <v>0.3409496023950538</v>
      </c>
      <c r="E996" s="26" t="n">
        <v>304.7799568988023</v>
      </c>
      <c r="F996" s="27" t="n">
        <v>0.3235693352790005</v>
      </c>
      <c r="G996" s="26" t="n">
        <v>310.3453351808197</v>
      </c>
      <c r="H996" s="27" t="n">
        <v>0.3173794765516199</v>
      </c>
      <c r="I996" s="26" t="n">
        <v>311.5207692171409</v>
      </c>
      <c r="J996" s="27" t="n">
        <v>0.3162187476627934</v>
      </c>
      <c r="K996" s="26" t="n">
        <v>300.4602855250472</v>
      </c>
      <c r="L996" s="27" t="n">
        <v>0.3279597063857582</v>
      </c>
      <c r="M996" s="26" t="n">
        <v>294.4448210826893</v>
      </c>
      <c r="N996" s="27" t="n">
        <v>0.3349541360336974</v>
      </c>
      <c r="O996" s="26" t="n">
        <v>269.3586659486346</v>
      </c>
      <c r="P996" s="27" t="n">
        <v>0.3657536709030397</v>
      </c>
      <c r="Q996" s="26" t="n">
        <v>280.7760076453509</v>
      </c>
      <c r="R996" s="27" t="n">
        <v>0.3515519860349674</v>
      </c>
      <c r="S996" s="26" t="n">
        <v>274.2436630871331</v>
      </c>
      <c r="T996" s="27" t="n">
        <v>0.3600036366855874</v>
      </c>
      <c r="U996" s="26" t="n">
        <v>281.1189158398627</v>
      </c>
      <c r="V996" s="27" t="n">
        <v>0.3510390160039309</v>
      </c>
      <c r="W996" s="26" t="n">
        <v>281.3285229579936</v>
      </c>
      <c r="X996" s="27" t="n">
        <v>0.3505535630551063</v>
      </c>
      <c r="Y996" s="26" t="n">
        <v>273.8869146094571</v>
      </c>
      <c r="Z996" s="27" t="n">
        <v>0.3581824635590493</v>
      </c>
      <c r="AA996" s="26" t="n">
        <v>272.9519144529714</v>
      </c>
      <c r="AB996" s="27" t="n">
        <v>0.361645678012797</v>
      </c>
    </row>
    <row r="997">
      <c r="A997" s="26" t="n">
        <v>299.6056457124367</v>
      </c>
      <c r="B997" s="27" t="n">
        <v>0.3294224702462086</v>
      </c>
      <c r="C997" s="26" t="n">
        <v>289.5082545438057</v>
      </c>
      <c r="D997" s="27" t="n">
        <v>0.3409045274223548</v>
      </c>
      <c r="E997" s="26" t="n">
        <v>304.893014553159</v>
      </c>
      <c r="F997" s="27" t="n">
        <v>0.3235818061323428</v>
      </c>
      <c r="G997" s="26" t="n">
        <v>310.4320576114253</v>
      </c>
      <c r="H997" s="27" t="n">
        <v>0.3174695854398898</v>
      </c>
      <c r="I997" s="26" t="n">
        <v>311.6011536456409</v>
      </c>
      <c r="J997" s="27" t="n">
        <v>0.3163111650986272</v>
      </c>
      <c r="K997" s="26" t="n">
        <v>300.5365280194036</v>
      </c>
      <c r="L997" s="27" t="n">
        <v>0.3280447138349075</v>
      </c>
      <c r="M997" s="26" t="n">
        <v>294.5361267847751</v>
      </c>
      <c r="N997" s="27" t="n">
        <v>0.3349853637023051</v>
      </c>
      <c r="O997" s="26" t="n">
        <v>269.4830706427231</v>
      </c>
      <c r="P997" s="27" t="n">
        <v>0.3657768123432865</v>
      </c>
      <c r="Q997" s="26" t="n">
        <v>280.8700944209839</v>
      </c>
      <c r="R997" s="27" t="n">
        <v>0.3515411455175843</v>
      </c>
      <c r="S997" s="26" t="n">
        <v>274.3500866951644</v>
      </c>
      <c r="T997" s="27" t="n">
        <v>0.3599633964633983</v>
      </c>
      <c r="U997" s="26" t="n">
        <v>281.2039611343149</v>
      </c>
      <c r="V997" s="27" t="n">
        <v>0.3510500838292266</v>
      </c>
      <c r="W997" s="26" t="n">
        <v>281.4067084500465</v>
      </c>
      <c r="X997" s="27" t="n">
        <v>0.3506002288570179</v>
      </c>
      <c r="Y997" s="26" t="n">
        <v>273.992355776064</v>
      </c>
      <c r="Z997" s="27" t="n">
        <v>0.3584285991909318</v>
      </c>
      <c r="AA997" s="26" t="n">
        <v>273.032102114678</v>
      </c>
      <c r="AB997" s="27" t="n">
        <v>0.3616484063020294</v>
      </c>
    </row>
    <row r="998">
      <c r="A998" s="26" t="n">
        <v>299.7714073756421</v>
      </c>
      <c r="B998" s="27" t="n">
        <v>0.3293513225675951</v>
      </c>
      <c r="C998" s="26" t="n">
        <v>289.6483040576205</v>
      </c>
      <c r="D998" s="27" t="n">
        <v>0.3408570493047856</v>
      </c>
      <c r="E998" s="26" t="n">
        <v>305.0060722075158</v>
      </c>
      <c r="F998" s="27" t="n">
        <v>0.3235912770655646</v>
      </c>
      <c r="G998" s="26" t="n">
        <v>310.5187800420309</v>
      </c>
      <c r="H998" s="27" t="n">
        <v>0.31755473021353</v>
      </c>
      <c r="I998" s="26" t="n">
        <v>311.6815380741408</v>
      </c>
      <c r="J998" s="27" t="n">
        <v>0.316398817284266</v>
      </c>
      <c r="K998" s="26" t="n">
        <v>300.61277051376</v>
      </c>
      <c r="L998" s="27" t="n">
        <v>0.3281253040358393</v>
      </c>
      <c r="M998" s="26" t="n">
        <v>294.627432486861</v>
      </c>
      <c r="N998" s="27" t="n">
        <v>0.3350135518001376</v>
      </c>
      <c r="O998" s="26" t="n">
        <v>269.6074753368117</v>
      </c>
      <c r="P998" s="27" t="n">
        <v>0.3657948715690185</v>
      </c>
      <c r="Q998" s="26" t="n">
        <v>280.9641811966169</v>
      </c>
      <c r="R998" s="27" t="n">
        <v>0.3515283344960952</v>
      </c>
      <c r="S998" s="26" t="n">
        <v>274.4565103031958</v>
      </c>
      <c r="T998" s="27" t="n">
        <v>0.3599214687942648</v>
      </c>
      <c r="U998" s="26" t="n">
        <v>281.2890064287673</v>
      </c>
      <c r="V998" s="27" t="n">
        <v>0.3510588325709777</v>
      </c>
      <c r="W998" s="26" t="n">
        <v>281.4848939420992</v>
      </c>
      <c r="X998" s="27" t="n">
        <v>0.3506436071871227</v>
      </c>
      <c r="Y998" s="26" t="n">
        <v>274.0977969426709</v>
      </c>
      <c r="Z998" s="27" t="n">
        <v>0.358660066810374</v>
      </c>
      <c r="AA998" s="26" t="n">
        <v>273.1122897763846</v>
      </c>
      <c r="AB998" s="27" t="n">
        <v>0.3616491311143012</v>
      </c>
    </row>
    <row r="999">
      <c r="A999" s="26" t="n">
        <v>299.9371690388473</v>
      </c>
      <c r="B999" s="27" t="n">
        <v>0.3292780034666641</v>
      </c>
      <c r="C999" s="26" t="n">
        <v>289.7883535714353</v>
      </c>
      <c r="D999" s="27" t="n">
        <v>0.3408072024831968</v>
      </c>
      <c r="E999" s="26" t="n">
        <v>305.1191298618725</v>
      </c>
      <c r="F999" s="27" t="n">
        <v>0.3235977912117596</v>
      </c>
      <c r="G999" s="26" t="n">
        <v>310.6055024726365</v>
      </c>
      <c r="H999" s="27" t="n">
        <v>0.3176349848701975</v>
      </c>
      <c r="I999" s="26" t="n">
        <v>311.7619225026408</v>
      </c>
      <c r="J999" s="27" t="n">
        <v>0.316481774797288</v>
      </c>
      <c r="K999" s="26" t="n">
        <v>300.6890130081163</v>
      </c>
      <c r="L999" s="27" t="n">
        <v>0.3282015417632402</v>
      </c>
      <c r="M999" s="26" t="n">
        <v>294.7187381889469</v>
      </c>
      <c r="N999" s="27" t="n">
        <v>0.3350387431636131</v>
      </c>
      <c r="O999" s="26" t="n">
        <v>269.7318800309002</v>
      </c>
      <c r="P999" s="27" t="n">
        <v>0.3658079269142434</v>
      </c>
      <c r="Q999" s="26" t="n">
        <v>281.0582679722498</v>
      </c>
      <c r="R999" s="27" t="n">
        <v>0.351513578632443</v>
      </c>
      <c r="S999" s="26" t="n">
        <v>274.5629339112272</v>
      </c>
      <c r="T999" s="27" t="n">
        <v>0.3598778754199041</v>
      </c>
      <c r="U999" s="26" t="n">
        <v>281.3740517232195</v>
      </c>
      <c r="V999" s="27" t="n">
        <v>0.3510652930478348</v>
      </c>
      <c r="W999" s="26" t="n">
        <v>281.5630794341521</v>
      </c>
      <c r="X999" s="27" t="n">
        <v>0.3506837442417653</v>
      </c>
      <c r="Y999" s="26" t="n">
        <v>274.2032381092778</v>
      </c>
      <c r="Z999" s="27" t="n">
        <v>0.3588770413443409</v>
      </c>
      <c r="AA999" s="26" t="n">
        <v>273.1924774380913</v>
      </c>
      <c r="AB999" s="27" t="n">
        <v>0.3616478780943141</v>
      </c>
    </row>
    <row r="1000">
      <c r="A1000" s="26" t="n">
        <v>300.1029307020526</v>
      </c>
      <c r="B1000" s="27" t="n">
        <v>0.3292025451692199</v>
      </c>
      <c r="C1000" s="26" t="n">
        <v>289.9284030852501</v>
      </c>
      <c r="D1000" s="27" t="n">
        <v>0.3407550213701593</v>
      </c>
      <c r="E1000" s="26" t="n">
        <v>305.2321875162291</v>
      </c>
      <c r="F1000" s="27" t="n">
        <v>0.3236013918041</v>
      </c>
      <c r="G1000" s="26" t="n">
        <v>310.692224903242</v>
      </c>
      <c r="H1000" s="27" t="n">
        <v>0.3177104243265201</v>
      </c>
      <c r="I1000" s="26" t="n">
        <v>311.8423069311407</v>
      </c>
      <c r="J1000" s="27" t="n">
        <v>0.3165601090333285</v>
      </c>
      <c r="K1000" s="26" t="n">
        <v>300.7652555024727</v>
      </c>
      <c r="L1000" s="27" t="n">
        <v>0.3282734923745047</v>
      </c>
      <c r="M1000" s="26" t="n">
        <v>294.8100438910327</v>
      </c>
      <c r="N1000" s="27" t="n">
        <v>0.3350609807277934</v>
      </c>
      <c r="O1000" s="26" t="n">
        <v>269.8562847249888</v>
      </c>
      <c r="P1000" s="27" t="n">
        <v>0.3658160573827913</v>
      </c>
      <c r="Q1000" s="26" t="n">
        <v>281.1523547478828</v>
      </c>
      <c r="R1000" s="27" t="n">
        <v>0.3514969035357682</v>
      </c>
      <c r="S1000" s="26" t="n">
        <v>274.6693575192585</v>
      </c>
      <c r="T1000" s="27" t="n">
        <v>0.3598326380121254</v>
      </c>
      <c r="U1000" s="26" t="n">
        <v>281.4590970176719</v>
      </c>
      <c r="V1000" s="27" t="n">
        <v>0.35106949605421</v>
      </c>
      <c r="W1000" s="26" t="n">
        <v>281.6412649262048</v>
      </c>
      <c r="X1000" s="27" t="n">
        <v>0.3507206863488304</v>
      </c>
      <c r="Y1000" s="26" t="n">
        <v>274.3086792758847</v>
      </c>
      <c r="Z1000" s="27" t="n">
        <v>0.359079712584478</v>
      </c>
      <c r="AA1000" s="26" t="n">
        <v>273.2726650997978</v>
      </c>
      <c r="AB1000" s="27" t="n">
        <v>0.3616446728353413</v>
      </c>
    </row>
    <row r="1001">
      <c r="A1001" s="26" t="n">
        <v>300.2686923652579</v>
      </c>
      <c r="B1001" s="27" t="n">
        <v>0.3291249798471322</v>
      </c>
      <c r="C1001" s="26" t="n">
        <v>290.0684525990649</v>
      </c>
      <c r="D1001" s="27" t="n">
        <v>0.3407005403405203</v>
      </c>
      <c r="E1001" s="26" t="n">
        <v>305.3452451705859</v>
      </c>
      <c r="F1001" s="27" t="n">
        <v>0.3236021221587757</v>
      </c>
      <c r="G1001" s="26" t="n">
        <v>310.7789473338477</v>
      </c>
      <c r="H1001" s="27" t="n">
        <v>0.3177811243624952</v>
      </c>
      <c r="I1001" s="26" t="n">
        <v>311.9226913596407</v>
      </c>
      <c r="J1001" s="27" t="n">
        <v>0.316633892155106</v>
      </c>
      <c r="K1001" s="26" t="n">
        <v>300.841497996829</v>
      </c>
      <c r="L1001" s="27" t="n">
        <v>0.3283412217686387</v>
      </c>
      <c r="M1001" s="26" t="n">
        <v>294.9013495931185</v>
      </c>
      <c r="N1001" s="27" t="n">
        <v>0.3350803075097808</v>
      </c>
      <c r="O1001" s="26" t="n">
        <v>269.9806894190773</v>
      </c>
      <c r="P1001" s="27" t="n">
        <v>0.3658193425978968</v>
      </c>
      <c r="Q1001" s="26" t="n">
        <v>281.2464415235157</v>
      </c>
      <c r="R1001" s="27" t="n">
        <v>0.3514783347572562</v>
      </c>
      <c r="S1001" s="26" t="n">
        <v>274.7757811272899</v>
      </c>
      <c r="T1001" s="27" t="n">
        <v>0.3597857781695066</v>
      </c>
      <c r="U1001" s="26" t="n">
        <v>281.5441423121242</v>
      </c>
      <c r="V1001" s="27" t="n">
        <v>0.3510714723524347</v>
      </c>
      <c r="W1001" s="26" t="n">
        <v>281.7194504182577</v>
      </c>
      <c r="X1001" s="27" t="n">
        <v>0.3507544799489826</v>
      </c>
      <c r="Y1001" s="26" t="n">
        <v>274.4141204424916</v>
      </c>
      <c r="Z1001" s="27" t="n">
        <v>0.3592682849188168</v>
      </c>
      <c r="AA1001" s="26" t="n">
        <v>273.3528527615044</v>
      </c>
      <c r="AB1001" s="27" t="n">
        <v>0.3616395408741365</v>
      </c>
    </row>
    <row r="1002">
      <c r="A1002" s="26" t="n">
        <v>300.4344540284633</v>
      </c>
      <c r="B1002" s="27" t="n">
        <v>0.3290453396101509</v>
      </c>
      <c r="C1002" s="26" t="n">
        <v>290.2085021128796</v>
      </c>
      <c r="D1002" s="27" t="n">
        <v>0.34064379372203</v>
      </c>
      <c r="E1002" s="26" t="n">
        <v>305.4583028249426</v>
      </c>
      <c r="F1002" s="27" t="n">
        <v>0.3236000256579665</v>
      </c>
      <c r="G1002" s="26" t="n">
        <v>310.8656697644532</v>
      </c>
      <c r="H1002" s="27" t="n">
        <v>0.3178471615650204</v>
      </c>
      <c r="I1002" s="26" t="n">
        <v>312.0030757881406</v>
      </c>
      <c r="J1002" s="27" t="n">
        <v>0.3167031970407302</v>
      </c>
      <c r="K1002" s="26" t="n">
        <v>300.9177404911853</v>
      </c>
      <c r="L1002" s="27" t="n">
        <v>0.3284047963447695</v>
      </c>
      <c r="M1002" s="26" t="n">
        <v>294.9926552952044</v>
      </c>
      <c r="N1002" s="27" t="n">
        <v>0.3350967665921484</v>
      </c>
      <c r="O1002" s="26" t="n">
        <v>270.1050941131658</v>
      </c>
      <c r="P1002" s="27" t="n">
        <v>0.3658178627512995</v>
      </c>
      <c r="Q1002" s="26" t="n">
        <v>281.3405282991487</v>
      </c>
      <c r="R1002" s="27" t="n">
        <v>0.3514578977850413</v>
      </c>
      <c r="S1002" s="26" t="n">
        <v>274.8822047353213</v>
      </c>
      <c r="T1002" s="27" t="n">
        <v>0.3597373174141144</v>
      </c>
      <c r="U1002" s="26" t="n">
        <v>281.6291876065765</v>
      </c>
      <c r="V1002" s="27" t="n">
        <v>0.3510712526649796</v>
      </c>
      <c r="W1002" s="26" t="n">
        <v>281.7976359103105</v>
      </c>
      <c r="X1002" s="27" t="n">
        <v>0.3507851715769293</v>
      </c>
      <c r="Y1002" s="26" t="n">
        <v>274.5195616090986</v>
      </c>
      <c r="Z1002" s="27" t="n">
        <v>0.3594429770105294</v>
      </c>
      <c r="AA1002" s="26" t="n">
        <v>273.433040423211</v>
      </c>
      <c r="AB1002" s="27" t="n">
        <v>0.3616325076858992</v>
      </c>
    </row>
    <row r="1003">
      <c r="A1003" s="26" t="n">
        <v>300.6002156916686</v>
      </c>
      <c r="B1003" s="27" t="n">
        <v>0.328963656497795</v>
      </c>
      <c r="C1003" s="26" t="n">
        <v>290.3485516266944</v>
      </c>
      <c r="D1003" s="27" t="n">
        <v>0.340584815786046</v>
      </c>
      <c r="E1003" s="26" t="n">
        <v>305.5713604792994</v>
      </c>
      <c r="F1003" s="27" t="n">
        <v>0.3235951457328575</v>
      </c>
      <c r="G1003" s="26" t="n">
        <v>310.9523921950588</v>
      </c>
      <c r="H1003" s="27" t="n">
        <v>0.3179086132706291</v>
      </c>
      <c r="I1003" s="26" t="n">
        <v>312.0834602166406</v>
      </c>
      <c r="J1003" s="27" t="n">
        <v>0.3167680972313586</v>
      </c>
      <c r="K1003" s="26" t="n">
        <v>300.9939829855417</v>
      </c>
      <c r="L1003" s="27" t="n">
        <v>0.3284642829603102</v>
      </c>
      <c r="M1003" s="26" t="n">
        <v>295.0839609972902</v>
      </c>
      <c r="N1003" s="27" t="n">
        <v>0.3351104011064168</v>
      </c>
      <c r="O1003" s="26" t="n">
        <v>270.2294988072543</v>
      </c>
      <c r="P1003" s="27" t="n">
        <v>0.3658116985519183</v>
      </c>
      <c r="Q1003" s="26" t="n">
        <v>281.4346150747816</v>
      </c>
      <c r="R1003" s="27" t="n">
        <v>0.351435618039166</v>
      </c>
      <c r="S1003" s="26" t="n">
        <v>274.9886283433527</v>
      </c>
      <c r="T1003" s="27" t="n">
        <v>0.3596872771882719</v>
      </c>
      <c r="U1003" s="26" t="n">
        <v>281.7142329010288</v>
      </c>
      <c r="V1003" s="27" t="n">
        <v>0.3510688676667407</v>
      </c>
      <c r="W1003" s="26" t="n">
        <v>281.8758214023633</v>
      </c>
      <c r="X1003" s="27" t="n">
        <v>0.3508128078427185</v>
      </c>
      <c r="Y1003" s="26" t="n">
        <v>274.6250027757054</v>
      </c>
      <c r="Z1003" s="27" t="n">
        <v>0.3596040214233225</v>
      </c>
      <c r="AA1003" s="26" t="n">
        <v>273.5132280849176</v>
      </c>
      <c r="AB1003" s="27" t="n">
        <v>0.3616235986792943</v>
      </c>
    </row>
    <row r="1004">
      <c r="A1004" s="26" t="n">
        <v>300.7659773548739</v>
      </c>
      <c r="B1004" s="27" t="n">
        <v>0.3288799624713235</v>
      </c>
      <c r="C1004" s="26" t="n">
        <v>290.4886011405092</v>
      </c>
      <c r="D1004" s="27" t="n">
        <v>0.3405236407383197</v>
      </c>
      <c r="E1004" s="26" t="n">
        <v>305.6844181336561</v>
      </c>
      <c r="F1004" s="27" t="n">
        <v>0.3235875258467113</v>
      </c>
      <c r="G1004" s="26" t="n">
        <v>311.0391146256644</v>
      </c>
      <c r="H1004" s="27" t="n">
        <v>0.3179655575075038</v>
      </c>
      <c r="I1004" s="26" t="n">
        <v>312.1638446451404</v>
      </c>
      <c r="J1004" s="27" t="n">
        <v>0.3168286668782637</v>
      </c>
      <c r="K1004" s="26" t="n">
        <v>301.070225479898</v>
      </c>
      <c r="L1004" s="27" t="n">
        <v>0.3285197488888253</v>
      </c>
      <c r="M1004" s="26" t="n">
        <v>295.175266699376</v>
      </c>
      <c r="N1004" s="27" t="n">
        <v>0.3351212542165872</v>
      </c>
      <c r="O1004" s="26" t="n">
        <v>270.3539035013429</v>
      </c>
      <c r="P1004" s="27" t="n">
        <v>0.3658009311741637</v>
      </c>
      <c r="Q1004" s="26" t="n">
        <v>281.5287018504146</v>
      </c>
      <c r="R1004" s="27" t="n">
        <v>0.3514115208665999</v>
      </c>
      <c r="S1004" s="26" t="n">
        <v>275.0950519513841</v>
      </c>
      <c r="T1004" s="27" t="n">
        <v>0.3596356788513718</v>
      </c>
      <c r="U1004" s="26" t="n">
        <v>281.7992781954811</v>
      </c>
      <c r="V1004" s="27" t="n">
        <v>0.3510643479773949</v>
      </c>
      <c r="W1004" s="26" t="n">
        <v>281.9540068944161</v>
      </c>
      <c r="X1004" s="27" t="n">
        <v>0.3508374354130854</v>
      </c>
      <c r="Y1004" s="26" t="n">
        <v>274.7304439423124</v>
      </c>
      <c r="Z1004" s="27" t="n">
        <v>0.3597516641933693</v>
      </c>
      <c r="AA1004" s="26" t="n">
        <v>273.5934157466242</v>
      </c>
      <c r="AB1004" s="27" t="n">
        <v>0.3616128391915296</v>
      </c>
    </row>
    <row r="1005">
      <c r="A1005" s="26" t="n">
        <v>300.9317390180792</v>
      </c>
      <c r="B1005" s="27" t="n">
        <v>0.3287942894057883</v>
      </c>
      <c r="C1005" s="26" t="n">
        <v>290.628650654324</v>
      </c>
      <c r="D1005" s="27" t="n">
        <v>0.3404603027098677</v>
      </c>
      <c r="E1005" s="26" t="n">
        <v>305.7974757880128</v>
      </c>
      <c r="F1005" s="27" t="n">
        <v>0.3235772094780092</v>
      </c>
      <c r="G1005" s="26" t="n">
        <v>311.12583705627</v>
      </c>
      <c r="H1005" s="27" t="n">
        <v>0.318018072936844</v>
      </c>
      <c r="I1005" s="26" t="n">
        <v>312.2442290736404</v>
      </c>
      <c r="J1005" s="27" t="n">
        <v>0.3168849806893792</v>
      </c>
      <c r="K1005" s="26" t="n">
        <v>301.1464679742544</v>
      </c>
      <c r="L1005" s="27" t="n">
        <v>0.3285712617776427</v>
      </c>
      <c r="M1005" s="26" t="n">
        <v>295.2665724014619</v>
      </c>
      <c r="N1005" s="27" t="n">
        <v>0.3351293691027458</v>
      </c>
      <c r="O1005" s="26" t="n">
        <v>270.4783081954315</v>
      </c>
      <c r="P1005" s="27" t="n">
        <v>0.3657856422059428</v>
      </c>
      <c r="Q1005" s="26" t="n">
        <v>281.6227886260475</v>
      </c>
      <c r="R1005" s="27" t="n">
        <v>0.3513856315363186</v>
      </c>
      <c r="S1005" s="26" t="n">
        <v>275.2014755594154</v>
      </c>
      <c r="T1005" s="27" t="n">
        <v>0.3595825436767368</v>
      </c>
      <c r="U1005" s="26" t="n">
        <v>281.8843234899334</v>
      </c>
      <c r="V1005" s="27" t="n">
        <v>0.3510577241538296</v>
      </c>
      <c r="W1005" s="26" t="n">
        <v>282.0321923864689</v>
      </c>
      <c r="X1005" s="27" t="n">
        <v>0.3508591009928637</v>
      </c>
      <c r="Y1005" s="26" t="n">
        <v>274.8358851089192</v>
      </c>
      <c r="Z1005" s="27" t="n">
        <v>0.3598861643479973</v>
      </c>
      <c r="AA1005" s="26" t="n">
        <v>273.6736034083308</v>
      </c>
      <c r="AB1005" s="27" t="n">
        <v>0.3616002544834934</v>
      </c>
    </row>
    <row r="1006">
      <c r="A1006" s="26" t="n">
        <v>301.0975006812845</v>
      </c>
      <c r="B1006" s="27" t="n">
        <v>0.3287066690821756</v>
      </c>
      <c r="C1006" s="26" t="n">
        <v>290.7687001681388</v>
      </c>
      <c r="D1006" s="27" t="n">
        <v>0.3403948357479352</v>
      </c>
      <c r="E1006" s="26" t="n">
        <v>305.9105334423696</v>
      </c>
      <c r="F1006" s="27" t="n">
        <v>0.3235642401036747</v>
      </c>
      <c r="G1006" s="26" t="n">
        <v>311.2125594868755</v>
      </c>
      <c r="H1006" s="27" t="n">
        <v>0.3180662387936615</v>
      </c>
      <c r="I1006" s="26" t="n">
        <v>312.3246135021403</v>
      </c>
      <c r="J1006" s="27" t="n">
        <v>0.316937113875391</v>
      </c>
      <c r="K1006" s="26" t="n">
        <v>301.2227104686108</v>
      </c>
      <c r="L1006" s="27" t="n">
        <v>0.3286188896052611</v>
      </c>
      <c r="M1006" s="26" t="n">
        <v>295.3578781035477</v>
      </c>
      <c r="N1006" s="27" t="n">
        <v>0.3351347889447478</v>
      </c>
      <c r="O1006" s="26" t="n">
        <v>270.60271288952</v>
      </c>
      <c r="P1006" s="27" t="n">
        <v>0.3657659135964218</v>
      </c>
      <c r="Q1006" s="26" t="n">
        <v>281.7168754016805</v>
      </c>
      <c r="R1006" s="27" t="n">
        <v>0.3513579752344442</v>
      </c>
      <c r="S1006" s="26" t="n">
        <v>275.3078991674468</v>
      </c>
      <c r="T1006" s="27" t="n">
        <v>0.3595278928485295</v>
      </c>
      <c r="U1006" s="26" t="n">
        <v>281.9693687843857</v>
      </c>
      <c r="V1006" s="27" t="n">
        <v>0.3510490266826482</v>
      </c>
      <c r="W1006" s="26" t="n">
        <v>282.1103778785217</v>
      </c>
      <c r="X1006" s="27" t="n">
        <v>0.3508778513064721</v>
      </c>
      <c r="Y1006" s="26" t="n">
        <v>274.9413262755262</v>
      </c>
      <c r="Z1006" s="27" t="n">
        <v>0.3600077933716959</v>
      </c>
      <c r="AA1006" s="26" t="n">
        <v>273.7537910700374</v>
      </c>
      <c r="AB1006" s="27" t="n">
        <v>0.3615858697349523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A4:B4"/>
    <mergeCell ref="G4:H4"/>
    <mergeCell ref="E4:F4"/>
    <mergeCell ref="W4:X4"/>
    <mergeCell ref="I4:J4"/>
    <mergeCell ref="Y4:Z4"/>
    <mergeCell ref="U4:V4"/>
    <mergeCell ref="AA4:AB4"/>
    <mergeCell ref="K4:L4"/>
    <mergeCell ref="O4:P4"/>
    <mergeCell ref="M4:N4"/>
    <mergeCell ref="S4:T4"/>
    <mergeCell ref="Q4:R4"/>
    <mergeCell ref="C4:D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nl-BE</dc:language>
  <dcterms:created xsi:type="dcterms:W3CDTF">2026-10-30T09:17:59Z</dcterms:created>
  <dcterms:modified xsi:type="dcterms:W3CDTF">2026-10-30T09:17:59Z</dcterms:modified>
</cp:coreProperties>
</file>